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exTech\Documents\Darou Louqmane\"/>
    </mc:Choice>
  </mc:AlternateContent>
  <bookViews>
    <workbookView xWindow="0" yWindow="0" windowWidth="19200" windowHeight="6930" tabRatio="852" activeTab="2"/>
  </bookViews>
  <sheets>
    <sheet name="Salaires" sheetId="59" r:id="rId1"/>
    <sheet name="Enseignants" sheetId="38" r:id="rId2"/>
    <sheet name="GARDERIE" sheetId="75" r:id="rId3"/>
    <sheet name="PS" sheetId="82" r:id="rId4"/>
    <sheet name="MS" sheetId="83" r:id="rId5"/>
    <sheet name="GS" sheetId="84" r:id="rId6"/>
    <sheet name="CI" sheetId="76" r:id="rId7"/>
    <sheet name="CP" sheetId="77" r:id="rId8"/>
    <sheet name="CE1" sheetId="78" r:id="rId9"/>
    <sheet name="CE2" sheetId="79" r:id="rId10"/>
    <sheet name="CM1" sheetId="80" r:id="rId11"/>
    <sheet name="CM2" sheetId="81" r:id="rId12"/>
    <sheet name="ENCAIS" sheetId="74" r:id="rId13"/>
    <sheet name="Rapport Bilan" sheetId="46" r:id="rId14"/>
    <sheet name="DEPENSES" sheetId="4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mtn1" localSheetId="8">'[1]&lt;= 3 ans'!#REF!</definedName>
    <definedName name="__mtn1" localSheetId="9">'[1]&lt;= 3 ans'!#REF!</definedName>
    <definedName name="__mtn1" localSheetId="6">'[1]&lt;= 3 ans'!#REF!</definedName>
    <definedName name="__mtn1" localSheetId="10">'[1]&lt;= 3 ans'!#REF!</definedName>
    <definedName name="__mtn1" localSheetId="11">'[1]&lt;= 3 ans'!#REF!</definedName>
    <definedName name="__mtn1" localSheetId="7">'[1]&lt;= 3 ans'!#REF!</definedName>
    <definedName name="__mtn1" localSheetId="12">'[1]&lt;= 3 ans'!#REF!</definedName>
    <definedName name="__mtn1" localSheetId="2">'[1]&lt;= 3 ans'!#REF!</definedName>
    <definedName name="__mtn1" localSheetId="0">'[1]&lt;= 3 ans'!#REF!</definedName>
    <definedName name="__mtn1">'[1]&lt;= 3 ans'!#REF!</definedName>
    <definedName name="__mtn3" localSheetId="8">#REF!</definedName>
    <definedName name="__mtn3" localSheetId="9">#REF!</definedName>
    <definedName name="__mtn3" localSheetId="6">#REF!</definedName>
    <definedName name="__mtn3" localSheetId="10">#REF!</definedName>
    <definedName name="__mtn3" localSheetId="11">#REF!</definedName>
    <definedName name="__mtn3" localSheetId="7">#REF!</definedName>
    <definedName name="__mtn3" localSheetId="12">#REF!</definedName>
    <definedName name="__mtn3" localSheetId="2">#REF!</definedName>
    <definedName name="__mtn3" localSheetId="0">#REF!</definedName>
    <definedName name="__mtn3">#REF!</definedName>
    <definedName name="_xlnm._FilterDatabase" localSheetId="8" hidden="1">'CE1'!$C$8:$U$24</definedName>
    <definedName name="_xlnm._FilterDatabase" localSheetId="9" hidden="1">'CE2'!$C$8:$R$8</definedName>
    <definedName name="_xlnm._FilterDatabase" localSheetId="6" hidden="1">CI!$C$8:$R$22</definedName>
    <definedName name="_xlnm._FilterDatabase" localSheetId="11" hidden="1">'CM2'!$C$8:$Y$23</definedName>
    <definedName name="_xlnm._FilterDatabase" localSheetId="7" hidden="1">CP!$C$8:$R$24</definedName>
    <definedName name="_xlnm._FilterDatabase" localSheetId="14" hidden="1">DEPENSES!$A$3:$L$49</definedName>
    <definedName name="_xlnm._FilterDatabase" localSheetId="12" hidden="1">ENCAIS!$B$4:$K$28</definedName>
    <definedName name="_xlnm._FilterDatabase" localSheetId="2" hidden="1">GARDERIE!$C$8:$U$28</definedName>
    <definedName name="_xlnm._FilterDatabase" localSheetId="0" hidden="1">Salaires!$C$6:$P$19</definedName>
    <definedName name="_mtn1" localSheetId="8">'[1]&lt;= 3 ans'!#REF!</definedName>
    <definedName name="_mtn1" localSheetId="9">'[1]&lt;= 3 ans'!#REF!</definedName>
    <definedName name="_mtn1" localSheetId="6">'[1]&lt;= 3 ans'!#REF!</definedName>
    <definedName name="_mtn1" localSheetId="10">'[1]&lt;= 3 ans'!#REF!</definedName>
    <definedName name="_mtn1" localSheetId="11">'[1]&lt;= 3 ans'!#REF!</definedName>
    <definedName name="_mtn1" localSheetId="7">'[1]&lt;= 3 ans'!#REF!</definedName>
    <definedName name="_mtn1" localSheetId="12">'[1]&lt;= 3 ans'!#REF!</definedName>
    <definedName name="_mtn1" localSheetId="2">'[1]&lt;= 3 ans'!#REF!</definedName>
    <definedName name="_mtn1" localSheetId="0">'[1]&lt;= 3 ans'!#REF!</definedName>
    <definedName name="_mtn1">'[1]&lt;= 3 ans'!#REF!</definedName>
    <definedName name="_mtn3" localSheetId="8">#REF!</definedName>
    <definedName name="_mtn3" localSheetId="9">#REF!</definedName>
    <definedName name="_mtn3" localSheetId="6">#REF!</definedName>
    <definedName name="_mtn3" localSheetId="10">#REF!</definedName>
    <definedName name="_mtn3" localSheetId="11">#REF!</definedName>
    <definedName name="_mtn3" localSheetId="7">#REF!</definedName>
    <definedName name="_mtn3" localSheetId="12">#REF!</definedName>
    <definedName name="_mtn3" localSheetId="2">#REF!</definedName>
    <definedName name="_mtn3" localSheetId="0">#REF!</definedName>
    <definedName name="_mtn3">#REF!</definedName>
    <definedName name="accessoi">[2]fiche!$A$38</definedName>
    <definedName name="ANALYTIQUE">'[3]Liste immo'!$G$8:$G$19</definedName>
    <definedName name="AVANCEMENT" localSheetId="8">#REF!</definedName>
    <definedName name="AVANCEMENT" localSheetId="9">#REF!</definedName>
    <definedName name="AVANCEMENT" localSheetId="6">#REF!</definedName>
    <definedName name="AVANCEMENT" localSheetId="10">#REF!</definedName>
    <definedName name="AVANCEMENT" localSheetId="11">#REF!</definedName>
    <definedName name="AVANCEMENT" localSheetId="7">#REF!</definedName>
    <definedName name="AVANCEMENT" localSheetId="12">#REF!</definedName>
    <definedName name="AVANCEMENT" localSheetId="2">#REF!</definedName>
    <definedName name="AVANCEMENT" localSheetId="0">#REF!</definedName>
    <definedName name="AVANCEMENT">#REF!</definedName>
    <definedName name="BATIMENT" localSheetId="8">#REF!</definedName>
    <definedName name="BATIMENT" localSheetId="9">#REF!</definedName>
    <definedName name="BATIMENT" localSheetId="6">#REF!</definedName>
    <definedName name="BATIMENT" localSheetId="10">#REF!</definedName>
    <definedName name="BATIMENT" localSheetId="11">#REF!</definedName>
    <definedName name="BATIMENT" localSheetId="7">#REF!</definedName>
    <definedName name="BATIMENT" localSheetId="12">#REF!</definedName>
    <definedName name="BATIMENT" localSheetId="2">#REF!</definedName>
    <definedName name="BATIMENT" localSheetId="0">#REF!</definedName>
    <definedName name="BATIMENT">#REF!</definedName>
    <definedName name="BE" localSheetId="8">#REF!</definedName>
    <definedName name="BE" localSheetId="9">#REF!</definedName>
    <definedName name="BE" localSheetId="6">#REF!</definedName>
    <definedName name="BE" localSheetId="10">#REF!</definedName>
    <definedName name="BE" localSheetId="11">#REF!</definedName>
    <definedName name="BE" localSheetId="7">#REF!</definedName>
    <definedName name="BE" localSheetId="12">#REF!</definedName>
    <definedName name="BE" localSheetId="2">#REF!</definedName>
    <definedName name="BE" localSheetId="0">#REF!</definedName>
    <definedName name="BE">#REF!</definedName>
    <definedName name="BNS">[2]fiche!$A$36</definedName>
    <definedName name="CAAOUT">'[4]CAAOUT&amp;SEPT'!$C$5:$K$114</definedName>
    <definedName name="CASEPT">'[4]CAAOUT&amp;SEPT'!$C$5:$L$114</definedName>
    <definedName name="CATEGORIE" localSheetId="8">#REF!</definedName>
    <definedName name="CATEGORIE" localSheetId="9">#REF!</definedName>
    <definedName name="CATEGORIE" localSheetId="6">#REF!</definedName>
    <definedName name="CATEGORIE" localSheetId="10">#REF!</definedName>
    <definedName name="CATEGORIE" localSheetId="11">#REF!</definedName>
    <definedName name="CATEGORIE" localSheetId="7">#REF!</definedName>
    <definedName name="CATEGORIE" localSheetId="12">#REF!</definedName>
    <definedName name="CATEGORIE" localSheetId="2">#REF!</definedName>
    <definedName name="CATEGORIE" localSheetId="0">#REF!</definedName>
    <definedName name="CATEGORIE">#REF!</definedName>
    <definedName name="celAssure" localSheetId="8">#REF!</definedName>
    <definedName name="celAssure" localSheetId="9">#REF!</definedName>
    <definedName name="celAssure" localSheetId="6">#REF!</definedName>
    <definedName name="celAssure" localSheetId="10">#REF!</definedName>
    <definedName name="celAssure" localSheetId="11">#REF!</definedName>
    <definedName name="celAssure" localSheetId="7">#REF!</definedName>
    <definedName name="celAssure" localSheetId="12">#REF!</definedName>
    <definedName name="celAssure" localSheetId="2">#REF!</definedName>
    <definedName name="celAssure" localSheetId="0">#REF!</definedName>
    <definedName name="celAssure">#REF!</definedName>
    <definedName name="celAu" localSheetId="8">#REF!</definedName>
    <definedName name="celAu" localSheetId="9">#REF!</definedName>
    <definedName name="celAu" localSheetId="6">#REF!</definedName>
    <definedName name="celAu" localSheetId="10">#REF!</definedName>
    <definedName name="celAu" localSheetId="11">#REF!</definedName>
    <definedName name="celAu" localSheetId="7">#REF!</definedName>
    <definedName name="celAu" localSheetId="12">#REF!</definedName>
    <definedName name="celAu" localSheetId="2">#REF!</definedName>
    <definedName name="celAu" localSheetId="0">#REF!</definedName>
    <definedName name="celAu">#REF!</definedName>
    <definedName name="celCompagnie" localSheetId="8">#REF!</definedName>
    <definedName name="celCompagnie" localSheetId="9">#REF!</definedName>
    <definedName name="celCompagnie" localSheetId="6">#REF!</definedName>
    <definedName name="celCompagnie" localSheetId="10">#REF!</definedName>
    <definedName name="celCompagnie" localSheetId="11">#REF!</definedName>
    <definedName name="celCompagnie" localSheetId="7">#REF!</definedName>
    <definedName name="celCompagnie" localSheetId="12">#REF!</definedName>
    <definedName name="celCompagnie" localSheetId="2">#REF!</definedName>
    <definedName name="celCompagnie" localSheetId="0">#REF!</definedName>
    <definedName name="celCompagnie">#REF!</definedName>
    <definedName name="celDu" localSheetId="8">#REF!</definedName>
    <definedName name="celDu" localSheetId="9">#REF!</definedName>
    <definedName name="celDu" localSheetId="6">#REF!</definedName>
    <definedName name="celDu" localSheetId="10">#REF!</definedName>
    <definedName name="celDu" localSheetId="11">#REF!</definedName>
    <definedName name="celDu" localSheetId="7">#REF!</definedName>
    <definedName name="celDu" localSheetId="12">#REF!</definedName>
    <definedName name="celDu" localSheetId="2">#REF!</definedName>
    <definedName name="celDu" localSheetId="0">#REF!</definedName>
    <definedName name="celDu">#REF!</definedName>
    <definedName name="CelDu2" localSheetId="8">#REF!</definedName>
    <definedName name="CelDu2" localSheetId="9">#REF!</definedName>
    <definedName name="CelDu2" localSheetId="6">#REF!</definedName>
    <definedName name="CelDu2" localSheetId="10">#REF!</definedName>
    <definedName name="CelDu2" localSheetId="11">#REF!</definedName>
    <definedName name="CelDu2" localSheetId="7">#REF!</definedName>
    <definedName name="CelDu2" localSheetId="12">#REF!</definedName>
    <definedName name="CelDu2" localSheetId="2">#REF!</definedName>
    <definedName name="CelDu2" localSheetId="0">#REF!</definedName>
    <definedName name="CelDu2">#REF!</definedName>
    <definedName name="celPNTot" localSheetId="8">#REF!</definedName>
    <definedName name="celPNTot" localSheetId="9">#REF!</definedName>
    <definedName name="celPNTot" localSheetId="6">#REF!</definedName>
    <definedName name="celPNTot" localSheetId="10">#REF!</definedName>
    <definedName name="celPNTot" localSheetId="11">#REF!</definedName>
    <definedName name="celPNTot" localSheetId="7">#REF!</definedName>
    <definedName name="celPNTot" localSheetId="12">#REF!</definedName>
    <definedName name="celPNTot" localSheetId="2">#REF!</definedName>
    <definedName name="celPNTot" localSheetId="0">#REF!</definedName>
    <definedName name="celPNTot">#REF!</definedName>
    <definedName name="CelPNTot2" localSheetId="8">#REF!</definedName>
    <definedName name="CelPNTot2" localSheetId="9">#REF!</definedName>
    <definedName name="CelPNTot2" localSheetId="6">#REF!</definedName>
    <definedName name="CelPNTot2" localSheetId="10">#REF!</definedName>
    <definedName name="CelPNTot2" localSheetId="11">#REF!</definedName>
    <definedName name="CelPNTot2" localSheetId="7">#REF!</definedName>
    <definedName name="CelPNTot2" localSheetId="12">#REF!</definedName>
    <definedName name="CelPNTot2" localSheetId="2">#REF!</definedName>
    <definedName name="CelPNTot2" localSheetId="0">#REF!</definedName>
    <definedName name="CelPNTot2">#REF!</definedName>
    <definedName name="celPolice" localSheetId="8">#REF!</definedName>
    <definedName name="celPolice" localSheetId="9">#REF!</definedName>
    <definedName name="celPolice" localSheetId="6">#REF!</definedName>
    <definedName name="celPolice" localSheetId="10">#REF!</definedName>
    <definedName name="celPolice" localSheetId="11">#REF!</definedName>
    <definedName name="celPolice" localSheetId="7">#REF!</definedName>
    <definedName name="celPolice" localSheetId="12">#REF!</definedName>
    <definedName name="celPolice" localSheetId="2">#REF!</definedName>
    <definedName name="celPolice" localSheetId="0">#REF!</definedName>
    <definedName name="celPolice">#REF!</definedName>
    <definedName name="celPTTCTOT" localSheetId="8">#REF!</definedName>
    <definedName name="celPTTCTOT" localSheetId="9">#REF!</definedName>
    <definedName name="celPTTCTOT" localSheetId="6">#REF!</definedName>
    <definedName name="celPTTCTOT" localSheetId="10">#REF!</definedName>
    <definedName name="celPTTCTOT" localSheetId="11">#REF!</definedName>
    <definedName name="celPTTCTOT" localSheetId="7">#REF!</definedName>
    <definedName name="celPTTCTOT" localSheetId="12">#REF!</definedName>
    <definedName name="celPTTCTOT" localSheetId="2">#REF!</definedName>
    <definedName name="celPTTCTOT" localSheetId="0">#REF!</definedName>
    <definedName name="celPTTCTOT">#REF!</definedName>
    <definedName name="commerciale">[2]fiche!$A$27</definedName>
    <definedName name="CONTRAT" localSheetId="8">#REF!</definedName>
    <definedName name="CONTRAT" localSheetId="9">#REF!</definedName>
    <definedName name="CONTRAT" localSheetId="6">#REF!</definedName>
    <definedName name="CONTRAT" localSheetId="10">#REF!</definedName>
    <definedName name="CONTRAT" localSheetId="11">#REF!</definedName>
    <definedName name="CONTRAT" localSheetId="7">#REF!</definedName>
    <definedName name="CONTRAT" localSheetId="12">#REF!</definedName>
    <definedName name="CONTRAT" localSheetId="2">#REF!</definedName>
    <definedName name="CONTRAT" localSheetId="0">#REF!</definedName>
    <definedName name="CONTRAT">#REF!</definedName>
    <definedName name="DATE" localSheetId="8">#REF!</definedName>
    <definedName name="DATE" localSheetId="9">#REF!</definedName>
    <definedName name="DATE" localSheetId="6">#REF!</definedName>
    <definedName name="DATE" localSheetId="10">#REF!</definedName>
    <definedName name="DATE" localSheetId="11">#REF!</definedName>
    <definedName name="DATE" localSheetId="7">#REF!</definedName>
    <definedName name="DATE" localSheetId="12">#REF!</definedName>
    <definedName name="DATE" localSheetId="2">#REF!</definedName>
    <definedName name="DATE" localSheetId="0">#REF!</definedName>
    <definedName name="DATE">#REF!</definedName>
    <definedName name="Date_Paie" localSheetId="8">#REF!</definedName>
    <definedName name="Date_Paie" localSheetId="9">#REF!</definedName>
    <definedName name="Date_Paie" localSheetId="6">#REF!</definedName>
    <definedName name="Date_Paie" localSheetId="10">#REF!</definedName>
    <definedName name="Date_Paie" localSheetId="11">#REF!</definedName>
    <definedName name="Date_Paie" localSheetId="7">#REF!</definedName>
    <definedName name="Date_Paie" localSheetId="12">#REF!</definedName>
    <definedName name="Date_Paie" localSheetId="2">#REF!</definedName>
    <definedName name="Date_Paie" localSheetId="0">#REF!</definedName>
    <definedName name="Date_Paie">#REF!</definedName>
    <definedName name="Date_Paiement" localSheetId="8">DATE(YEAR('CE1'!Début_Prêt),MONTH('CE1'!Début_Prêt)+Payment_Number,DAY('CE1'!Début_Prêt))</definedName>
    <definedName name="Date_Paiement" localSheetId="9">DATE(YEAR('CE2'!Début_Prêt),MONTH('CE2'!Début_Prêt)+Payment_Number,DAY('CE2'!Début_Prêt))</definedName>
    <definedName name="Date_Paiement" localSheetId="6">DATE(YEAR(CI!Début_Prêt),MONTH(CI!Début_Prêt)+Payment_Number,DAY(CI!Début_Prêt))</definedName>
    <definedName name="Date_Paiement" localSheetId="10">DATE(YEAR('CM1'!Début_Prêt),MONTH('CM1'!Début_Prêt)+Payment_Number,DAY('CM1'!Début_Prêt))</definedName>
    <definedName name="Date_Paiement" localSheetId="11">DATE(YEAR('CM2'!Début_Prêt),MONTH('CM2'!Début_Prêt)+Payment_Number,DAY('CM2'!Début_Prêt))</definedName>
    <definedName name="Date_Paiement" localSheetId="7">DATE(YEAR(CP!Début_Prêt),MONTH(CP!Début_Prêt)+Payment_Number,DAY(CP!Début_Prêt))</definedName>
    <definedName name="Date_Paiement" localSheetId="12">DATE(YEAR(ENCAIS!Début_Prêt),MONTH(ENCAIS!Début_Prêt)+Payment_Number,DAY(ENCAIS!Début_Prêt))</definedName>
    <definedName name="Date_Paiement" localSheetId="2">DATE(YEAR(GARDERIE!Début_Prêt),MONTH(GARDERIE!Début_Prêt)+Payment_Number,DAY(GARDERIE!Début_Prêt))</definedName>
    <definedName name="Date_Paiement" localSheetId="0">DATE(YEAR([5]!Début_Prêt),MONTH([5]!Début_Prêt)+Payment_Number,DAY([5]!Début_Prêt))</definedName>
    <definedName name="Date_Paiement">DATE(YEAR(Début_Prêt),MONTH(Début_Prêt)+Payment_Number,DAY(Début_Prêt))</definedName>
    <definedName name="Début_Prêt" localSheetId="8">#REF!</definedName>
    <definedName name="Début_Prêt" localSheetId="9">#REF!</definedName>
    <definedName name="Début_Prêt" localSheetId="6">#REF!</definedName>
    <definedName name="Début_Prêt" localSheetId="10">#REF!</definedName>
    <definedName name="Début_Prêt" localSheetId="11">#REF!</definedName>
    <definedName name="Début_Prêt" localSheetId="7">#REF!</definedName>
    <definedName name="Début_Prêt" localSheetId="12">#REF!</definedName>
    <definedName name="Début_Prêt" localSheetId="2">#REF!</definedName>
    <definedName name="Début_Prêt" localSheetId="0">#REF!</definedName>
    <definedName name="Début_Prêt">#REF!</definedName>
    <definedName name="Débutexercicecomptable" localSheetId="8">#REF!</definedName>
    <definedName name="Débutexercicecomptable" localSheetId="9">#REF!</definedName>
    <definedName name="Débutexercicecomptable" localSheetId="6">#REF!</definedName>
    <definedName name="Débutexercicecomptable" localSheetId="10">#REF!</definedName>
    <definedName name="Débutexercicecomptable" localSheetId="11">#REF!</definedName>
    <definedName name="Débutexercicecomptable" localSheetId="7">#REF!</definedName>
    <definedName name="Débutexercicecomptable" localSheetId="14">#REF!</definedName>
    <definedName name="Débutexercicecomptable" localSheetId="12">#REF!</definedName>
    <definedName name="Débutexercicecomptable" localSheetId="2">#REF!</definedName>
    <definedName name="Débutexercicecomptable" localSheetId="13">#REF!</definedName>
    <definedName name="Débutexercicecomptable" localSheetId="0">#REF!</definedName>
    <definedName name="Débutexercicecomptable">#REF!</definedName>
    <definedName name="DEPART" localSheetId="8">#REF!</definedName>
    <definedName name="DEPART" localSheetId="9">#REF!</definedName>
    <definedName name="DEPART" localSheetId="6">#REF!</definedName>
    <definedName name="DEPART" localSheetId="10">#REF!</definedName>
    <definedName name="DEPART" localSheetId="11">#REF!</definedName>
    <definedName name="DEPART" localSheetId="7">#REF!</definedName>
    <definedName name="DEPART" localSheetId="12">#REF!</definedName>
    <definedName name="DEPART" localSheetId="2">#REF!</definedName>
    <definedName name="DEPART" localSheetId="0">#REF!</definedName>
    <definedName name="DEPART">#REF!</definedName>
    <definedName name="Dernière_Ligne" localSheetId="8">IF('CE1'!Valeurs_Entrées,'CE1'!Ligne_EnTête+'CE1'!Nbre_de_Paiements,'CE1'!Ligne_EnTête)</definedName>
    <definedName name="Dernière_Ligne" localSheetId="9">IF('CE2'!Valeurs_Entrées,'CE2'!Ligne_EnTête+'CE2'!Nbre_de_Paiements,'CE2'!Ligne_EnTête)</definedName>
    <definedName name="Dernière_Ligne" localSheetId="6">IF(CI!Valeurs_Entrées,CI!Ligne_EnTête+CI!Nbre_de_Paiements,CI!Ligne_EnTête)</definedName>
    <definedName name="Dernière_Ligne" localSheetId="10">IF('CM1'!Valeurs_Entrées,'CM1'!Ligne_EnTête+'CM1'!Nbre_de_Paiements,'CM1'!Ligne_EnTête)</definedName>
    <definedName name="Dernière_Ligne" localSheetId="11">IF('CM2'!Valeurs_Entrées,'CM2'!Ligne_EnTête+'CM2'!Nbre_de_Paiements,'CM2'!Ligne_EnTête)</definedName>
    <definedName name="Dernière_Ligne" localSheetId="7">IF(CP!Valeurs_Entrées,CP!Ligne_EnTête+CP!Nbre_de_Paiements,CP!Ligne_EnTête)</definedName>
    <definedName name="Dernière_Ligne" localSheetId="12">IF(ENCAIS!Valeurs_Entrées,ENCAIS!Ligne_EnTête+ENCAIS!Nbre_de_Paiements,ENCAIS!Ligne_EnTête)</definedName>
    <definedName name="Dernière_Ligne" localSheetId="2">IF(GARDERIE!Valeurs_Entrées,GARDERIE!Ligne_EnTête+GARDERIE!Nbre_de_Paiements,GARDERIE!Ligne_EnTête)</definedName>
    <definedName name="Dernière_Ligne" localSheetId="0">IF(Salaires!Valeurs_Entrées,Salaires!Ligne_EnTête+Salaires!Nbre_de_Paiements,Salaires!Ligne_EnTête)</definedName>
    <definedName name="Dernière_Ligne">IF(Valeurs_Entrées,Ligne_EnTête+Nbre_de_Paiements,Ligne_EnTête)</definedName>
    <definedName name="Données" localSheetId="8">#REF!</definedName>
    <definedName name="Données" localSheetId="9">#REF!</definedName>
    <definedName name="Données" localSheetId="6">#REF!</definedName>
    <definedName name="Données" localSheetId="10">#REF!</definedName>
    <definedName name="Données" localSheetId="11">#REF!</definedName>
    <definedName name="Données" localSheetId="7">#REF!</definedName>
    <definedName name="Données" localSheetId="12">#REF!</definedName>
    <definedName name="Données" localSheetId="2">#REF!</definedName>
    <definedName name="Données" localSheetId="0">#REF!</definedName>
    <definedName name="Données">#REF!</definedName>
    <definedName name="Durée_Prêt" localSheetId="8">#REF!</definedName>
    <definedName name="Durée_Prêt" localSheetId="9">#REF!</definedName>
    <definedName name="Durée_Prêt" localSheetId="6">#REF!</definedName>
    <definedName name="Durée_Prêt" localSheetId="10">#REF!</definedName>
    <definedName name="Durée_Prêt" localSheetId="11">#REF!</definedName>
    <definedName name="Durée_Prêt" localSheetId="7">#REF!</definedName>
    <definedName name="Durée_Prêt" localSheetId="12">#REF!</definedName>
    <definedName name="Durée_Prêt" localSheetId="2">#REF!</definedName>
    <definedName name="Durée_Prêt" localSheetId="0">#REF!</definedName>
    <definedName name="Durée_Prêt">#REF!</definedName>
    <definedName name="DZEFV">'[6]Liste immo'!$H$7:$H$18</definedName>
    <definedName name="Ent" localSheetId="8">#REF!</definedName>
    <definedName name="Ent" localSheetId="9">#REF!</definedName>
    <definedName name="Ent" localSheetId="6">#REF!</definedName>
    <definedName name="Ent" localSheetId="10">#REF!</definedName>
    <definedName name="Ent" localSheetId="11">#REF!</definedName>
    <definedName name="Ent" localSheetId="7">#REF!</definedName>
    <definedName name="Ent" localSheetId="12">#REF!</definedName>
    <definedName name="Ent" localSheetId="2">#REF!</definedName>
    <definedName name="Ent" localSheetId="0">#REF!</definedName>
    <definedName name="Ent">#REF!</definedName>
    <definedName name="etj" localSheetId="8">'[1]&lt;= 3 ans'!#REF!</definedName>
    <definedName name="etj" localSheetId="9">'[1]&lt;= 3 ans'!#REF!</definedName>
    <definedName name="etj" localSheetId="6">'[1]&lt;= 3 ans'!#REF!</definedName>
    <definedName name="etj" localSheetId="10">'[1]&lt;= 3 ans'!#REF!</definedName>
    <definedName name="etj" localSheetId="11">'[1]&lt;= 3 ans'!#REF!</definedName>
    <definedName name="etj" localSheetId="7">'[1]&lt;= 3 ans'!#REF!</definedName>
    <definedName name="etj" localSheetId="12">'[1]&lt;= 3 ans'!#REF!</definedName>
    <definedName name="etj" localSheetId="2">'[1]&lt;= 3 ans'!#REF!</definedName>
    <definedName name="etj" localSheetId="0">'[1]&lt;= 3 ans'!#REF!</definedName>
    <definedName name="etj">'[1]&lt;= 3 ans'!#REF!</definedName>
    <definedName name="FONCTION" localSheetId="8">#REF!</definedName>
    <definedName name="FONCTION" localSheetId="9">#REF!</definedName>
    <definedName name="FONCTION" localSheetId="6">#REF!</definedName>
    <definedName name="FONCTION" localSheetId="10">#REF!</definedName>
    <definedName name="FONCTION" localSheetId="11">#REF!</definedName>
    <definedName name="FONCTION" localSheetId="7">#REF!</definedName>
    <definedName name="FONCTION" localSheetId="12">#REF!</definedName>
    <definedName name="FONCTION" localSheetId="2">#REF!</definedName>
    <definedName name="FONCTION" localSheetId="0">#REF!</definedName>
    <definedName name="FONCTION">#REF!</definedName>
    <definedName name="Impression_Entière" localSheetId="8">#REF!</definedName>
    <definedName name="Impression_Entière" localSheetId="9">#REF!</definedName>
    <definedName name="Impression_Entière" localSheetId="6">#REF!</definedName>
    <definedName name="Impression_Entière" localSheetId="10">#REF!</definedName>
    <definedName name="Impression_Entière" localSheetId="11">#REF!</definedName>
    <definedName name="Impression_Entière" localSheetId="7">#REF!</definedName>
    <definedName name="Impression_Entière" localSheetId="12">#REF!</definedName>
    <definedName name="Impression_Entière" localSheetId="2">#REF!</definedName>
    <definedName name="Impression_Entière" localSheetId="0">#REF!</definedName>
    <definedName name="Impression_Entière">#REF!</definedName>
    <definedName name="Intérêt_Total" localSheetId="8">#REF!</definedName>
    <definedName name="Intérêt_Total" localSheetId="9">#REF!</definedName>
    <definedName name="Intérêt_Total" localSheetId="6">#REF!</definedName>
    <definedName name="Intérêt_Total" localSheetId="10">#REF!</definedName>
    <definedName name="Intérêt_Total" localSheetId="11">#REF!</definedName>
    <definedName name="Intérêt_Total" localSheetId="7">#REF!</definedName>
    <definedName name="Intérêt_Total" localSheetId="12">#REF!</definedName>
    <definedName name="Intérêt_Total" localSheetId="2">#REF!</definedName>
    <definedName name="Intérêt_Total" localSheetId="0">#REF!</definedName>
    <definedName name="Intérêt_Total">#REF!</definedName>
    <definedName name="Intérêts_Cumulés" localSheetId="8">#REF!</definedName>
    <definedName name="Intérêts_Cumulés" localSheetId="9">#REF!</definedName>
    <definedName name="Intérêts_Cumulés" localSheetId="6">#REF!</definedName>
    <definedName name="Intérêts_Cumulés" localSheetId="10">#REF!</definedName>
    <definedName name="Intérêts_Cumulés" localSheetId="11">#REF!</definedName>
    <definedName name="Intérêts_Cumulés" localSheetId="7">#REF!</definedName>
    <definedName name="Intérêts_Cumulés" localSheetId="12">#REF!</definedName>
    <definedName name="Intérêts_Cumulés" localSheetId="2">#REF!</definedName>
    <definedName name="Intérêts_Cumulés" localSheetId="0">#REF!</definedName>
    <definedName name="Intérêts_Cumulés">#REF!</definedName>
    <definedName name="Ligne_EnTête" localSheetId="8">ROW(#REF!)</definedName>
    <definedName name="Ligne_EnTête" localSheetId="9">ROW(#REF!)</definedName>
    <definedName name="Ligne_EnTête" localSheetId="6">ROW(#REF!)</definedName>
    <definedName name="Ligne_EnTête" localSheetId="10">ROW(#REF!)</definedName>
    <definedName name="Ligne_EnTête" localSheetId="11">ROW(#REF!)</definedName>
    <definedName name="Ligne_EnTête" localSheetId="7">ROW(#REF!)</definedName>
    <definedName name="Ligne_EnTête" localSheetId="12">ROW(#REF!)</definedName>
    <definedName name="Ligne_EnTête" localSheetId="2">ROW(#REF!)</definedName>
    <definedName name="Ligne_EnTête" localSheetId="0">ROW(#REF!)</definedName>
    <definedName name="Ligne_EnTête">ROW(#REF!)</definedName>
    <definedName name="MATERIELINFORMATIQUE" localSheetId="8">#REF!</definedName>
    <definedName name="MATERIELINFORMATIQUE" localSheetId="9">#REF!</definedName>
    <definedName name="MATERIELINFORMATIQUE" localSheetId="6">#REF!</definedName>
    <definedName name="MATERIELINFORMATIQUE" localSheetId="10">#REF!</definedName>
    <definedName name="MATERIELINFORMATIQUE" localSheetId="11">#REF!</definedName>
    <definedName name="MATERIELINFORMATIQUE" localSheetId="7">#REF!</definedName>
    <definedName name="MATERIELINFORMATIQUE" localSheetId="12">#REF!</definedName>
    <definedName name="MATERIELINFORMATIQUE" localSheetId="2">#REF!</definedName>
    <definedName name="MATERIELINFORMATIQUE" localSheetId="0">#REF!</definedName>
    <definedName name="MATERIELINFORMATIQUE">#REF!</definedName>
    <definedName name="MATERIELROULANT" localSheetId="8">#REF!</definedName>
    <definedName name="MATERIELROULANT" localSheetId="9">#REF!</definedName>
    <definedName name="MATERIELROULANT" localSheetId="6">#REF!</definedName>
    <definedName name="MATERIELROULANT" localSheetId="10">#REF!</definedName>
    <definedName name="MATERIELROULANT" localSheetId="11">#REF!</definedName>
    <definedName name="MATERIELROULANT" localSheetId="7">#REF!</definedName>
    <definedName name="MATERIELROULANT" localSheetId="12">#REF!</definedName>
    <definedName name="MATERIELROULANT" localSheetId="2">#REF!</definedName>
    <definedName name="MATERIELROULANT" localSheetId="0">#REF!</definedName>
    <definedName name="MATERIELROULANT">#REF!</definedName>
    <definedName name="MATERIELTECHNIQUE">'[3]Liste immo'!$B$8:$B$113</definedName>
    <definedName name="MATRICULE" localSheetId="8">#REF!</definedName>
    <definedName name="MATRICULE" localSheetId="9">#REF!</definedName>
    <definedName name="MATRICULE" localSheetId="6">#REF!</definedName>
    <definedName name="MATRICULE" localSheetId="10">#REF!</definedName>
    <definedName name="MATRICULE" localSheetId="11">#REF!</definedName>
    <definedName name="MATRICULE" localSheetId="7">#REF!</definedName>
    <definedName name="MATRICULE" localSheetId="12">#REF!</definedName>
    <definedName name="MATRICULE" localSheetId="2">#REF!</definedName>
    <definedName name="MATRICULE" localSheetId="0">#REF!</definedName>
    <definedName name="MATRICULE">#REF!</definedName>
    <definedName name="mo">'[7]Liste immo'!$F$5:$F$35</definedName>
    <definedName name="MOBILIERBUREAU">'[3]Liste immo'!$E$8:$E$99</definedName>
    <definedName name="MOIS2015">'[3]Liste immo'!$F$8:$F$19</definedName>
    <definedName name="Montant_Prêt" localSheetId="8">#REF!</definedName>
    <definedName name="Montant_Prêt" localSheetId="9">#REF!</definedName>
    <definedName name="Montant_Prêt" localSheetId="6">#REF!</definedName>
    <definedName name="Montant_Prêt" localSheetId="10">#REF!</definedName>
    <definedName name="Montant_Prêt" localSheetId="11">#REF!</definedName>
    <definedName name="Montant_Prêt" localSheetId="7">#REF!</definedName>
    <definedName name="Montant_Prêt" localSheetId="12">#REF!</definedName>
    <definedName name="Montant_Prêt" localSheetId="2">#REF!</definedName>
    <definedName name="Montant_Prêt" localSheetId="0">#REF!</definedName>
    <definedName name="Montant_Prêt">#REF!</definedName>
    <definedName name="mtnv" localSheetId="8">'[1]&lt;= 3 ans'!#REF!</definedName>
    <definedName name="mtnv" localSheetId="9">'[1]&lt;= 3 ans'!#REF!</definedName>
    <definedName name="mtnv" localSheetId="6">'[1]&lt;= 3 ans'!#REF!</definedName>
    <definedName name="mtnv" localSheetId="10">'[1]&lt;= 3 ans'!#REF!</definedName>
    <definedName name="mtnv" localSheetId="11">'[1]&lt;= 3 ans'!#REF!</definedName>
    <definedName name="mtnv" localSheetId="7">'[1]&lt;= 3 ans'!#REF!</definedName>
    <definedName name="mtnv" localSheetId="12">'[1]&lt;= 3 ans'!#REF!</definedName>
    <definedName name="mtnv" localSheetId="2">'[1]&lt;= 3 ans'!#REF!</definedName>
    <definedName name="mtnv" localSheetId="0">'[1]&lt;= 3 ans'!#REF!</definedName>
    <definedName name="mtnv">'[1]&lt;= 3 ans'!#REF!</definedName>
    <definedName name="Nbre_de_Paiements" localSheetId="8">MATCH(0.01,'CE1'!Solde_Final,-1)+1</definedName>
    <definedName name="Nbre_de_Paiements" localSheetId="9">MATCH(0.01,'CE2'!Solde_Final,-1)+1</definedName>
    <definedName name="Nbre_de_Paiements" localSheetId="6">MATCH(0.01,CI!Solde_Final,-1)+1</definedName>
    <definedName name="Nbre_de_Paiements" localSheetId="10">MATCH(0.01,'CM1'!Solde_Final,-1)+1</definedName>
    <definedName name="Nbre_de_Paiements" localSheetId="11">MATCH(0.01,'CM2'!Solde_Final,-1)+1</definedName>
    <definedName name="Nbre_de_Paiements" localSheetId="7">MATCH(0.01,CP!Solde_Final,-1)+1</definedName>
    <definedName name="Nbre_de_Paiements" localSheetId="12">MATCH(0.01,ENCAIS!Solde_Final,-1)+1</definedName>
    <definedName name="Nbre_de_Paiements" localSheetId="2">MATCH(0.01,GARDERIE!Solde_Final,-1)+1</definedName>
    <definedName name="Nbre_de_Paiements" localSheetId="0">MATCH(0.01,Salaires!Solde_Final,-1)+1</definedName>
    <definedName name="Nbre_de_Paiements">MATCH(0.01,Solde_Final,-1)+1</definedName>
    <definedName name="Nbre_Pmt" localSheetId="8">#REF!</definedName>
    <definedName name="Nbre_Pmt" localSheetId="9">#REF!</definedName>
    <definedName name="Nbre_Pmt" localSheetId="6">#REF!</definedName>
    <definedName name="Nbre_Pmt" localSheetId="10">#REF!</definedName>
    <definedName name="Nbre_Pmt" localSheetId="11">#REF!</definedName>
    <definedName name="Nbre_Pmt" localSheetId="7">#REF!</definedName>
    <definedName name="Nbre_Pmt" localSheetId="12">#REF!</definedName>
    <definedName name="Nbre_Pmt" localSheetId="2">#REF!</definedName>
    <definedName name="Nbre_Pmt" localSheetId="0">#REF!</definedName>
    <definedName name="Nbre_Pmt">#REF!</definedName>
    <definedName name="Nbre_Pmt_Par_An" localSheetId="8">#REF!</definedName>
    <definedName name="Nbre_Pmt_Par_An" localSheetId="9">#REF!</definedName>
    <definedName name="Nbre_Pmt_Par_An" localSheetId="6">#REF!</definedName>
    <definedName name="Nbre_Pmt_Par_An" localSheetId="10">#REF!</definedName>
    <definedName name="Nbre_Pmt_Par_An" localSheetId="11">#REF!</definedName>
    <definedName name="Nbre_Pmt_Par_An" localSheetId="7">#REF!</definedName>
    <definedName name="Nbre_Pmt_Par_An" localSheetId="12">#REF!</definedName>
    <definedName name="Nbre_Pmt_Par_An" localSheetId="2">#REF!</definedName>
    <definedName name="Nbre_Pmt_Par_An" localSheetId="0">#REF!</definedName>
    <definedName name="Nbre_Pmt_Par_An">#REF!</definedName>
    <definedName name="neuve">[2]fiche!$I$18</definedName>
    <definedName name="nomconduct">[2]fiche!$D$12</definedName>
    <definedName name="ogv" localSheetId="8">'[1]&lt;= 3 ans'!#REF!</definedName>
    <definedName name="ogv" localSheetId="9">'[1]&lt;= 3 ans'!#REF!</definedName>
    <definedName name="ogv" localSheetId="6">'[1]&lt;= 3 ans'!#REF!</definedName>
    <definedName name="ogv" localSheetId="10">'[1]&lt;= 3 ans'!#REF!</definedName>
    <definedName name="ogv" localSheetId="11">'[1]&lt;= 3 ans'!#REF!</definedName>
    <definedName name="ogv" localSheetId="7">'[1]&lt;= 3 ans'!#REF!</definedName>
    <definedName name="ogv" localSheetId="12">'[1]&lt;= 3 ans'!#REF!</definedName>
    <definedName name="ogv" localSheetId="2">'[1]&lt;= 3 ans'!#REF!</definedName>
    <definedName name="ogv" localSheetId="0">'[1]&lt;= 3 ans'!#REF!</definedName>
    <definedName name="ogv">'[1]&lt;= 3 ans'!#REF!</definedName>
    <definedName name="Pmt_Mensuel_Programmé" localSheetId="8">#REF!</definedName>
    <definedName name="Pmt_Mensuel_Programmé" localSheetId="9">#REF!</definedName>
    <definedName name="Pmt_Mensuel_Programmé" localSheetId="6">#REF!</definedName>
    <definedName name="Pmt_Mensuel_Programmé" localSheetId="10">#REF!</definedName>
    <definedName name="Pmt_Mensuel_Programmé" localSheetId="11">#REF!</definedName>
    <definedName name="Pmt_Mensuel_Programmé" localSheetId="7">#REF!</definedName>
    <definedName name="Pmt_Mensuel_Programmé" localSheetId="12">#REF!</definedName>
    <definedName name="Pmt_Mensuel_Programmé" localSheetId="2">#REF!</definedName>
    <definedName name="Pmt_Mensuel_Programmé" localSheetId="0">#REF!</definedName>
    <definedName name="Pmt_Mensuel_Programmé">#REF!</definedName>
    <definedName name="Pmt_Programmé" localSheetId="8">#REF!</definedName>
    <definedName name="Pmt_Programmé" localSheetId="9">#REF!</definedName>
    <definedName name="Pmt_Programmé" localSheetId="6">#REF!</definedName>
    <definedName name="Pmt_Programmé" localSheetId="10">#REF!</definedName>
    <definedName name="Pmt_Programmé" localSheetId="11">#REF!</definedName>
    <definedName name="Pmt_Programmé" localSheetId="7">#REF!</definedName>
    <definedName name="Pmt_Programmé" localSheetId="12">#REF!</definedName>
    <definedName name="Pmt_Programmé" localSheetId="2">#REF!</definedName>
    <definedName name="Pmt_Programmé" localSheetId="0">#REF!</definedName>
    <definedName name="Pmt_Programmé">#REF!</definedName>
    <definedName name="Pmt_Supplémentaire" localSheetId="8">#REF!</definedName>
    <definedName name="Pmt_Supplémentaire" localSheetId="9">#REF!</definedName>
    <definedName name="Pmt_Supplémentaire" localSheetId="6">#REF!</definedName>
    <definedName name="Pmt_Supplémentaire" localSheetId="10">#REF!</definedName>
    <definedName name="Pmt_Supplémentaire" localSheetId="11">#REF!</definedName>
    <definedName name="Pmt_Supplémentaire" localSheetId="7">#REF!</definedName>
    <definedName name="Pmt_Supplémentaire" localSheetId="12">#REF!</definedName>
    <definedName name="Pmt_Supplémentaire" localSheetId="2">#REF!</definedName>
    <definedName name="Pmt_Supplémentaire" localSheetId="0">#REF!</definedName>
    <definedName name="Pmt_Supplémentaire">#REF!</definedName>
    <definedName name="Pmt_Total" localSheetId="8">#REF!</definedName>
    <definedName name="Pmt_Total" localSheetId="9">#REF!</definedName>
    <definedName name="Pmt_Total" localSheetId="6">#REF!</definedName>
    <definedName name="Pmt_Total" localSheetId="10">#REF!</definedName>
    <definedName name="Pmt_Total" localSheetId="11">#REF!</definedName>
    <definedName name="Pmt_Total" localSheetId="7">#REF!</definedName>
    <definedName name="Pmt_Total" localSheetId="12">#REF!</definedName>
    <definedName name="Pmt_Total" localSheetId="2">#REF!</definedName>
    <definedName name="Pmt_Total" localSheetId="0">#REF!</definedName>
    <definedName name="Pmt_Total">#REF!</definedName>
    <definedName name="Pmts_Supplémentaires_Programmés" localSheetId="8">#REF!</definedName>
    <definedName name="Pmts_Supplémentaires_Programmés" localSheetId="9">#REF!</definedName>
    <definedName name="Pmts_Supplémentaires_Programmés" localSheetId="6">#REF!</definedName>
    <definedName name="Pmts_Supplémentaires_Programmés" localSheetId="10">#REF!</definedName>
    <definedName name="Pmts_Supplémentaires_Programmés" localSheetId="11">#REF!</definedName>
    <definedName name="Pmts_Supplémentaires_Programmés" localSheetId="7">#REF!</definedName>
    <definedName name="Pmts_Supplémentaires_Programmés" localSheetId="12">#REF!</definedName>
    <definedName name="Pmts_Supplémentaires_Programmés" localSheetId="2">#REF!</definedName>
    <definedName name="Pmts_Supplémentaires_Programmés" localSheetId="0">#REF!</definedName>
    <definedName name="Pmts_Supplémentaires_Programmés">#REF!</definedName>
    <definedName name="poi" localSheetId="8">#REF!</definedName>
    <definedName name="poi" localSheetId="9">#REF!</definedName>
    <definedName name="poi" localSheetId="6">#REF!</definedName>
    <definedName name="poi" localSheetId="10">#REF!</definedName>
    <definedName name="poi" localSheetId="11">#REF!</definedName>
    <definedName name="poi" localSheetId="7">#REF!</definedName>
    <definedName name="poi" localSheetId="12">#REF!</definedName>
    <definedName name="poi" localSheetId="2">#REF!</definedName>
    <definedName name="poi" localSheetId="0">#REF!</definedName>
    <definedName name="poi">#REF!</definedName>
    <definedName name="Princ" localSheetId="8">#REF!</definedName>
    <definedName name="Princ" localSheetId="9">#REF!</definedName>
    <definedName name="Princ" localSheetId="6">#REF!</definedName>
    <definedName name="Princ" localSheetId="10">#REF!</definedName>
    <definedName name="Princ" localSheetId="11">#REF!</definedName>
    <definedName name="Princ" localSheetId="7">#REF!</definedName>
    <definedName name="Princ" localSheetId="12">#REF!</definedName>
    <definedName name="Princ" localSheetId="2">#REF!</definedName>
    <definedName name="Princ" localSheetId="0">#REF!</definedName>
    <definedName name="Princ">#REF!</definedName>
    <definedName name="prorata">[2]fiche!$A$25</definedName>
    <definedName name="Réinit_Zone_Impression" localSheetId="8">OFFSET('CE1'!Impression_Entière,0,0,'CE1'!Dernière_Ligne)</definedName>
    <definedName name="Réinit_Zone_Impression" localSheetId="9">OFFSET('CE2'!Impression_Entière,0,0,'CE2'!Dernière_Ligne)</definedName>
    <definedName name="Réinit_Zone_Impression" localSheetId="6">OFFSET(CI!Impression_Entière,0,0,CI!Dernière_Ligne)</definedName>
    <definedName name="Réinit_Zone_Impression" localSheetId="10">OFFSET('CM1'!Impression_Entière,0,0,'CM1'!Dernière_Ligne)</definedName>
    <definedName name="Réinit_Zone_Impression" localSheetId="11">OFFSET('CM2'!Impression_Entière,0,0,'CM2'!Dernière_Ligne)</definedName>
    <definedName name="Réinit_Zone_Impression" localSheetId="7">OFFSET(CP!Impression_Entière,0,0,CP!Dernière_Ligne)</definedName>
    <definedName name="Réinit_Zone_Impression" localSheetId="12">OFFSET(ENCAIS!Impression_Entière,0,0,ENCAIS!Dernière_Ligne)</definedName>
    <definedName name="Réinit_Zone_Impression" localSheetId="2">OFFSET(GARDERIE!Impression_Entière,0,0,GARDERIE!Dernière_Ligne)</definedName>
    <definedName name="Réinit_Zone_Impression" localSheetId="0">OFFSET(Salaires!Impression_Entière,0,0,Salaires!Dernière_Ligne)</definedName>
    <definedName name="Réinit_Zone_Impression">OFFSET(Impression_Entière,0,0,Dernière_Ligne)</definedName>
    <definedName name="Solde_Départ" localSheetId="8">#REF!</definedName>
    <definedName name="Solde_Départ" localSheetId="9">#REF!</definedName>
    <definedName name="Solde_Départ" localSheetId="6">#REF!</definedName>
    <definedName name="Solde_Départ" localSheetId="10">#REF!</definedName>
    <definedName name="Solde_Départ" localSheetId="11">#REF!</definedName>
    <definedName name="Solde_Départ" localSheetId="7">#REF!</definedName>
    <definedName name="Solde_Départ" localSheetId="12">#REF!</definedName>
    <definedName name="Solde_Départ" localSheetId="2">#REF!</definedName>
    <definedName name="Solde_Départ" localSheetId="0">#REF!</definedName>
    <definedName name="Solde_Départ">#REF!</definedName>
    <definedName name="Solde_Final" localSheetId="8">#REF!</definedName>
    <definedName name="Solde_Final" localSheetId="9">#REF!</definedName>
    <definedName name="Solde_Final" localSheetId="6">#REF!</definedName>
    <definedName name="Solde_Final" localSheetId="10">#REF!</definedName>
    <definedName name="Solde_Final" localSheetId="11">#REF!</definedName>
    <definedName name="Solde_Final" localSheetId="7">#REF!</definedName>
    <definedName name="Solde_Final" localSheetId="12">#REF!</definedName>
    <definedName name="Solde_Final" localSheetId="2">#REF!</definedName>
    <definedName name="Solde_Final" localSheetId="0">#REF!</definedName>
    <definedName name="Solde_Final">#REF!</definedName>
    <definedName name="Taux_Intérêt" localSheetId="8">#REF!</definedName>
    <definedName name="Taux_Intérêt" localSheetId="9">#REF!</definedName>
    <definedName name="Taux_Intérêt" localSheetId="6">#REF!</definedName>
    <definedName name="Taux_Intérêt" localSheetId="10">#REF!</definedName>
    <definedName name="Taux_Intérêt" localSheetId="11">#REF!</definedName>
    <definedName name="Taux_Intérêt" localSheetId="7">#REF!</definedName>
    <definedName name="Taux_Intérêt" localSheetId="12">#REF!</definedName>
    <definedName name="Taux_Intérêt" localSheetId="2">#REF!</definedName>
    <definedName name="Taux_Intérêt" localSheetId="0">#REF!</definedName>
    <definedName name="Taux_Intérêt">#REF!</definedName>
    <definedName name="Taux_Intérêt_Programmé" localSheetId="8">#REF!</definedName>
    <definedName name="Taux_Intérêt_Programmé" localSheetId="9">#REF!</definedName>
    <definedName name="Taux_Intérêt_Programmé" localSheetId="6">#REF!</definedName>
    <definedName name="Taux_Intérêt_Programmé" localSheetId="10">#REF!</definedName>
    <definedName name="Taux_Intérêt_Programmé" localSheetId="11">#REF!</definedName>
    <definedName name="Taux_Intérêt_Programmé" localSheetId="7">#REF!</definedName>
    <definedName name="Taux_Intérêt_Programmé" localSheetId="12">#REF!</definedName>
    <definedName name="Taux_Intérêt_Programmé" localSheetId="2">#REF!</definedName>
    <definedName name="Taux_Intérêt_Programmé" localSheetId="0">#REF!</definedName>
    <definedName name="Taux_Intérêt_Programmé">#REF!</definedName>
    <definedName name="TOTAL_AR" localSheetId="8">[8]Feuil1!#REF!</definedName>
    <definedName name="TOTAL_AR" localSheetId="9">[8]Feuil1!#REF!</definedName>
    <definedName name="TOTAL_AR" localSheetId="6">[8]Feuil1!#REF!</definedName>
    <definedName name="TOTAL_AR" localSheetId="10">[8]Feuil1!#REF!</definedName>
    <definedName name="TOTAL_AR" localSheetId="11">[8]Feuil1!#REF!</definedName>
    <definedName name="TOTAL_AR" localSheetId="7">[8]Feuil1!#REF!</definedName>
    <definedName name="TOTAL_AR" localSheetId="12">[8]Feuil1!#REF!</definedName>
    <definedName name="TOTAL_AR" localSheetId="2">[8]Feuil1!#REF!</definedName>
    <definedName name="TOTAL_AR" localSheetId="0">[8]Feuil1!#REF!</definedName>
    <definedName name="TOTAL_AR">[8]Feuil1!#REF!</definedName>
    <definedName name="TOTAL_DTR" localSheetId="8">[8]Feuil1!#REF!</definedName>
    <definedName name="TOTAL_DTR" localSheetId="9">[8]Feuil1!#REF!</definedName>
    <definedName name="TOTAL_DTR" localSheetId="6">[8]Feuil1!#REF!</definedName>
    <definedName name="TOTAL_DTR" localSheetId="10">[8]Feuil1!#REF!</definedName>
    <definedName name="TOTAL_DTR" localSheetId="11">[8]Feuil1!#REF!</definedName>
    <definedName name="TOTAL_DTR" localSheetId="7">[8]Feuil1!#REF!</definedName>
    <definedName name="TOTAL_DTR" localSheetId="12">[8]Feuil1!#REF!</definedName>
    <definedName name="TOTAL_DTR" localSheetId="2">[8]Feuil1!#REF!</definedName>
    <definedName name="TOTAL_DTR" localSheetId="0">[8]Feuil1!#REF!</definedName>
    <definedName name="TOTAL_DTR">[8]Feuil1!#REF!</definedName>
    <definedName name="treduccond">[2]fiche!$A$19</definedName>
    <definedName name="treducprof">[2]fiche!$A$18</definedName>
    <definedName name="Valeurs_Entrées" localSheetId="8">IF('CE1'!Montant_Prêt*'CE1'!Taux_Intérêt*'CE1'!Durée_Prêt*'CE1'!Début_Prêt&gt;0,1,0)</definedName>
    <definedName name="Valeurs_Entrées" localSheetId="9">IF('CE2'!Montant_Prêt*'CE2'!Taux_Intérêt*'CE2'!Durée_Prêt*'CE2'!Début_Prêt&gt;0,1,0)</definedName>
    <definedName name="Valeurs_Entrées" localSheetId="6">IF(CI!Montant_Prêt*CI!Taux_Intérêt*CI!Durée_Prêt*CI!Début_Prêt&gt;0,1,0)</definedName>
    <definedName name="Valeurs_Entrées" localSheetId="10">IF('CM1'!Montant_Prêt*'CM1'!Taux_Intérêt*'CM1'!Durée_Prêt*'CM1'!Début_Prêt&gt;0,1,0)</definedName>
    <definedName name="Valeurs_Entrées" localSheetId="11">IF('CM2'!Montant_Prêt*'CM2'!Taux_Intérêt*'CM2'!Durée_Prêt*'CM2'!Début_Prêt&gt;0,1,0)</definedName>
    <definedName name="Valeurs_Entrées" localSheetId="7">IF(CP!Montant_Prêt*CP!Taux_Intérêt*CP!Durée_Prêt*CP!Début_Prêt&gt;0,1,0)</definedName>
    <definedName name="Valeurs_Entrées" localSheetId="12">IF(ENCAIS!Montant_Prêt*ENCAIS!Taux_Intérêt*ENCAIS!Durée_Prêt*ENCAIS!Début_Prêt&gt;0,1,0)</definedName>
    <definedName name="Valeurs_Entrées" localSheetId="2">IF(GARDERIE!Montant_Prêt*GARDERIE!Taux_Intérêt*GARDERIE!Durée_Prêt*GARDERIE!Début_Prêt&gt;0,1,0)</definedName>
    <definedName name="Valeurs_Entrées" localSheetId="0">IF(Salaires!Montant_Prêt*Salaires!Taux_Intérêt*Salaires!Durée_Prêt*Salaires!Début_Prêt&gt;0,1,0)</definedName>
    <definedName name="Valeurs_Entrées">IF(Montant_Prêt*Taux_Intérêt*Durée_Prêt*Début_Prêt&gt;0,1,0)</definedName>
    <definedName name="vehflotte">[2]fiche!$A$13</definedName>
    <definedName name="venale">[2]fiche!$I$19</definedName>
    <definedName name="_xlnm.Print_Area" localSheetId="8">'CE1'!$B$2:$AZ$29</definedName>
    <definedName name="_xlnm.Print_Area" localSheetId="9">'CE2'!$B$2:$AZ$29</definedName>
    <definedName name="_xlnm.Print_Area" localSheetId="6">CI!$B$2:$AZ$29</definedName>
    <definedName name="_xlnm.Print_Area" localSheetId="10">'CM1'!$B$2:$AZ$29</definedName>
    <definedName name="_xlnm.Print_Area" localSheetId="11">'CM2'!$B$2:$AZ$29</definedName>
    <definedName name="_xlnm.Print_Area" localSheetId="7">CP!$B$2:$AZ$29</definedName>
    <definedName name="_xlnm.Print_Area" localSheetId="14">DEPENSES!$B$1:$K$50</definedName>
    <definedName name="_xlnm.Print_Area" localSheetId="12">ENCAIS!$B$2:$R$88</definedName>
    <definedName name="_xlnm.Print_Area" localSheetId="1">Enseignants!$B$2:$W$20</definedName>
    <definedName name="_xlnm.Print_Area" localSheetId="2">GARDERIE!$B$2:$AZ$42</definedName>
    <definedName name="_xlnm.Print_Area" localSheetId="5">GS!$B$2:$AZ$29</definedName>
    <definedName name="_xlnm.Print_Area" localSheetId="4">MS!$B$2:$AZ$29</definedName>
    <definedName name="_xlnm.Print_Area" localSheetId="3">PS!$B$2:$AZ$43</definedName>
    <definedName name="_xlnm.Print_Area" localSheetId="13">'Rapport Bilan'!$B$2:$S$56</definedName>
    <definedName name="_xlnm.Print_Area" localSheetId="0">Salaires!$B$2:$R$20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4" i="74" l="1"/>
  <c r="G73" i="74"/>
  <c r="D14" i="74" l="1"/>
  <c r="D26" i="74" s="1"/>
  <c r="D13" i="74"/>
  <c r="D25" i="74" s="1"/>
  <c r="D12" i="74"/>
  <c r="D24" i="74" s="1"/>
  <c r="D11" i="74"/>
  <c r="K45" i="46" s="1"/>
  <c r="D10" i="74"/>
  <c r="J45" i="46" s="1"/>
  <c r="D9" i="74"/>
  <c r="I45" i="46" s="1"/>
  <c r="D8" i="74"/>
  <c r="H45" i="46" s="1"/>
  <c r="D7" i="74"/>
  <c r="D19" i="74" s="1"/>
  <c r="D6" i="74"/>
  <c r="D18" i="74" s="1"/>
  <c r="D5" i="74"/>
  <c r="E45" i="46" s="1"/>
  <c r="M45" i="46" l="1"/>
  <c r="L45" i="46"/>
  <c r="D23" i="74"/>
  <c r="D22" i="74"/>
  <c r="D21" i="74"/>
  <c r="D20" i="74"/>
  <c r="G45" i="46"/>
  <c r="F45" i="46"/>
  <c r="N45" i="46"/>
  <c r="L8" i="81"/>
  <c r="K8" i="81"/>
  <c r="J8" i="81"/>
  <c r="I8" i="81"/>
  <c r="H8" i="81"/>
  <c r="L8" i="80"/>
  <c r="K8" i="80"/>
  <c r="J8" i="80"/>
  <c r="I8" i="80"/>
  <c r="H8" i="80"/>
  <c r="L8" i="79"/>
  <c r="K8" i="79"/>
  <c r="J8" i="79"/>
  <c r="I8" i="79"/>
  <c r="H8" i="79"/>
  <c r="L8" i="78"/>
  <c r="K8" i="78"/>
  <c r="J8" i="78"/>
  <c r="I8" i="78"/>
  <c r="H8" i="78"/>
  <c r="L8" i="77"/>
  <c r="K8" i="77"/>
  <c r="J8" i="77"/>
  <c r="I8" i="77"/>
  <c r="H8" i="77"/>
  <c r="L8" i="76"/>
  <c r="K8" i="76"/>
  <c r="J8" i="76"/>
  <c r="I8" i="76"/>
  <c r="H8" i="76"/>
  <c r="L8" i="84"/>
  <c r="K8" i="84"/>
  <c r="F74" i="74" s="1"/>
  <c r="J8" i="84"/>
  <c r="I8" i="84"/>
  <c r="E8" i="74" s="1"/>
  <c r="Q8" i="74" s="1"/>
  <c r="H8" i="84"/>
  <c r="L8" i="83"/>
  <c r="K8" i="83"/>
  <c r="F73" i="74" s="1"/>
  <c r="J8" i="83"/>
  <c r="I8" i="83"/>
  <c r="E7" i="74" s="1"/>
  <c r="Q7" i="74" s="1"/>
  <c r="H8" i="83"/>
  <c r="L8" i="82"/>
  <c r="G72" i="74" s="1"/>
  <c r="K8" i="82"/>
  <c r="F72" i="74" s="1"/>
  <c r="J8" i="82"/>
  <c r="E72" i="74" s="1"/>
  <c r="I8" i="82"/>
  <c r="E6" i="74" s="1"/>
  <c r="Q6" i="74" s="1"/>
  <c r="H8" i="82"/>
  <c r="H8" i="75"/>
  <c r="C29" i="82"/>
  <c r="C30" i="82"/>
  <c r="C31" i="82" s="1"/>
  <c r="C32" i="82" s="1"/>
  <c r="C33" i="82" s="1"/>
  <c r="C34" i="82" s="1"/>
  <c r="C35" i="82" s="1"/>
  <c r="C36" i="82" s="1"/>
  <c r="C37" i="82" s="1"/>
  <c r="C38" i="82" s="1"/>
  <c r="C39" i="82" s="1"/>
  <c r="C40" i="82" s="1"/>
  <c r="C41" i="82" s="1"/>
  <c r="C29" i="75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11" i="84"/>
  <c r="C12" i="84" s="1"/>
  <c r="C13" i="84" s="1"/>
  <c r="C14" i="84" s="1"/>
  <c r="C15" i="84" s="1"/>
  <c r="C16" i="84" s="1"/>
  <c r="C17" i="84" s="1"/>
  <c r="C18" i="84" s="1"/>
  <c r="C19" i="84" s="1"/>
  <c r="C20" i="84" s="1"/>
  <c r="C21" i="84" s="1"/>
  <c r="C22" i="84" s="1"/>
  <c r="C23" i="84" s="1"/>
  <c r="C24" i="84" s="1"/>
  <c r="C25" i="84" s="1"/>
  <c r="C26" i="84" s="1"/>
  <c r="C27" i="84" s="1"/>
  <c r="C28" i="84" s="1"/>
  <c r="C10" i="84"/>
  <c r="AY8" i="84"/>
  <c r="AX8" i="84"/>
  <c r="AW8" i="84"/>
  <c r="AV8" i="84"/>
  <c r="AU8" i="84"/>
  <c r="AT8" i="84"/>
  <c r="AS8" i="84"/>
  <c r="AR8" i="84"/>
  <c r="AQ8" i="84"/>
  <c r="AO8" i="84"/>
  <c r="M58" i="74" s="1"/>
  <c r="AN8" i="84"/>
  <c r="L58" i="74" s="1"/>
  <c r="AM8" i="84"/>
  <c r="K58" i="74" s="1"/>
  <c r="AL8" i="84"/>
  <c r="J58" i="74" s="1"/>
  <c r="AK8" i="84"/>
  <c r="I58" i="74" s="1"/>
  <c r="AJ8" i="84"/>
  <c r="H58" i="74" s="1"/>
  <c r="AI8" i="84"/>
  <c r="G58" i="74" s="1"/>
  <c r="AH8" i="84"/>
  <c r="F58" i="74" s="1"/>
  <c r="AG8" i="84"/>
  <c r="E58" i="74" s="1"/>
  <c r="AE8" i="84"/>
  <c r="M41" i="74" s="1"/>
  <c r="AD8" i="84"/>
  <c r="L41" i="74" s="1"/>
  <c r="AC8" i="84"/>
  <c r="K41" i="74" s="1"/>
  <c r="AB8" i="84"/>
  <c r="J41" i="74" s="1"/>
  <c r="AA8" i="84"/>
  <c r="I41" i="74" s="1"/>
  <c r="Z8" i="84"/>
  <c r="H41" i="74" s="1"/>
  <c r="Y8" i="84"/>
  <c r="G41" i="74" s="1"/>
  <c r="X8" i="84"/>
  <c r="F41" i="74" s="1"/>
  <c r="W8" i="84"/>
  <c r="E41" i="74" s="1"/>
  <c r="U8" i="84"/>
  <c r="M20" i="74" s="1"/>
  <c r="T8" i="84"/>
  <c r="L20" i="74" s="1"/>
  <c r="S8" i="84"/>
  <c r="K20" i="74" s="1"/>
  <c r="R8" i="84"/>
  <c r="J20" i="74" s="1"/>
  <c r="Q8" i="84"/>
  <c r="I20" i="74" s="1"/>
  <c r="P8" i="84"/>
  <c r="H20" i="74" s="1"/>
  <c r="O8" i="84"/>
  <c r="G20" i="74" s="1"/>
  <c r="N8" i="84"/>
  <c r="F20" i="74" s="1"/>
  <c r="M8" i="84"/>
  <c r="E20" i="74" s="1"/>
  <c r="C11" i="83"/>
  <c r="C12" i="83" s="1"/>
  <c r="C13" i="83" s="1"/>
  <c r="C14" i="83" s="1"/>
  <c r="C15" i="83" s="1"/>
  <c r="C16" i="83" s="1"/>
  <c r="C17" i="83" s="1"/>
  <c r="C18" i="83" s="1"/>
  <c r="C19" i="83" s="1"/>
  <c r="C20" i="83" s="1"/>
  <c r="C21" i="83" s="1"/>
  <c r="C22" i="83" s="1"/>
  <c r="C23" i="83" s="1"/>
  <c r="C24" i="83" s="1"/>
  <c r="C25" i="83" s="1"/>
  <c r="C26" i="83" s="1"/>
  <c r="C27" i="83" s="1"/>
  <c r="C28" i="83" s="1"/>
  <c r="C10" i="83"/>
  <c r="AY8" i="83"/>
  <c r="AX8" i="83"/>
  <c r="AW8" i="83"/>
  <c r="AV8" i="83"/>
  <c r="AU8" i="83"/>
  <c r="AT8" i="83"/>
  <c r="AS8" i="83"/>
  <c r="AR8" i="83"/>
  <c r="AQ8" i="83"/>
  <c r="AO8" i="83"/>
  <c r="M57" i="74" s="1"/>
  <c r="AN8" i="83"/>
  <c r="L57" i="74" s="1"/>
  <c r="AM8" i="83"/>
  <c r="K57" i="74" s="1"/>
  <c r="AL8" i="83"/>
  <c r="J57" i="74" s="1"/>
  <c r="AK8" i="83"/>
  <c r="I57" i="74" s="1"/>
  <c r="AJ8" i="83"/>
  <c r="H57" i="74" s="1"/>
  <c r="AI8" i="83"/>
  <c r="G57" i="74" s="1"/>
  <c r="AH8" i="83"/>
  <c r="F57" i="74" s="1"/>
  <c r="AG8" i="83"/>
  <c r="E57" i="74" s="1"/>
  <c r="AE8" i="83"/>
  <c r="M40" i="74" s="1"/>
  <c r="AD8" i="83"/>
  <c r="L40" i="74" s="1"/>
  <c r="AC8" i="83"/>
  <c r="K40" i="74" s="1"/>
  <c r="AB8" i="83"/>
  <c r="J40" i="74" s="1"/>
  <c r="AA8" i="83"/>
  <c r="I40" i="74" s="1"/>
  <c r="Z8" i="83"/>
  <c r="H40" i="74" s="1"/>
  <c r="Y8" i="83"/>
  <c r="G40" i="74" s="1"/>
  <c r="X8" i="83"/>
  <c r="F40" i="74" s="1"/>
  <c r="W8" i="83"/>
  <c r="E40" i="74" s="1"/>
  <c r="U8" i="83"/>
  <c r="M19" i="74" s="1"/>
  <c r="T8" i="83"/>
  <c r="L19" i="74" s="1"/>
  <c r="S8" i="83"/>
  <c r="K19" i="74" s="1"/>
  <c r="R8" i="83"/>
  <c r="J19" i="74" s="1"/>
  <c r="Q8" i="83"/>
  <c r="I19" i="74" s="1"/>
  <c r="P8" i="83"/>
  <c r="H19" i="74" s="1"/>
  <c r="O8" i="83"/>
  <c r="G19" i="74" s="1"/>
  <c r="N8" i="83"/>
  <c r="F19" i="74" s="1"/>
  <c r="M8" i="83"/>
  <c r="E19" i="74" s="1"/>
  <c r="C11" i="82"/>
  <c r="C12" i="82" s="1"/>
  <c r="C13" i="82" s="1"/>
  <c r="C14" i="82" s="1"/>
  <c r="C15" i="82" s="1"/>
  <c r="C16" i="82" s="1"/>
  <c r="C17" i="82" s="1"/>
  <c r="C18" i="82" s="1"/>
  <c r="C19" i="82" s="1"/>
  <c r="C20" i="82" s="1"/>
  <c r="C21" i="82" s="1"/>
  <c r="C22" i="82" s="1"/>
  <c r="C23" i="82" s="1"/>
  <c r="C24" i="82" s="1"/>
  <c r="C25" i="82" s="1"/>
  <c r="C26" i="82" s="1"/>
  <c r="C27" i="82" s="1"/>
  <c r="C28" i="82" s="1"/>
  <c r="C10" i="82"/>
  <c r="AY8" i="82"/>
  <c r="AX8" i="82"/>
  <c r="AW8" i="82"/>
  <c r="AV8" i="82"/>
  <c r="AU8" i="82"/>
  <c r="AT8" i="82"/>
  <c r="AS8" i="82"/>
  <c r="AR8" i="82"/>
  <c r="AQ8" i="82"/>
  <c r="AO8" i="82"/>
  <c r="M56" i="74" s="1"/>
  <c r="AN8" i="82"/>
  <c r="L56" i="74" s="1"/>
  <c r="AM8" i="82"/>
  <c r="K56" i="74" s="1"/>
  <c r="AL8" i="82"/>
  <c r="J56" i="74" s="1"/>
  <c r="AK8" i="82"/>
  <c r="I56" i="74" s="1"/>
  <c r="AJ8" i="82"/>
  <c r="H56" i="74" s="1"/>
  <c r="AI8" i="82"/>
  <c r="G56" i="74" s="1"/>
  <c r="AH8" i="82"/>
  <c r="F56" i="74" s="1"/>
  <c r="AG8" i="82"/>
  <c r="E56" i="74" s="1"/>
  <c r="AE8" i="82"/>
  <c r="M39" i="74" s="1"/>
  <c r="AD8" i="82"/>
  <c r="L39" i="74" s="1"/>
  <c r="AC8" i="82"/>
  <c r="K39" i="74" s="1"/>
  <c r="AB8" i="82"/>
  <c r="J39" i="74" s="1"/>
  <c r="AA8" i="82"/>
  <c r="I39" i="74" s="1"/>
  <c r="Z8" i="82"/>
  <c r="H39" i="74" s="1"/>
  <c r="Y8" i="82"/>
  <c r="G39" i="74" s="1"/>
  <c r="X8" i="82"/>
  <c r="F39" i="74" s="1"/>
  <c r="W8" i="82"/>
  <c r="E39" i="74" s="1"/>
  <c r="U8" i="82"/>
  <c r="M18" i="74" s="1"/>
  <c r="T8" i="82"/>
  <c r="L18" i="74" s="1"/>
  <c r="S8" i="82"/>
  <c r="K18" i="74" s="1"/>
  <c r="R8" i="82"/>
  <c r="J18" i="74" s="1"/>
  <c r="Q8" i="82"/>
  <c r="I18" i="74" s="1"/>
  <c r="P8" i="82"/>
  <c r="H18" i="74" s="1"/>
  <c r="O8" i="82"/>
  <c r="G18" i="74" s="1"/>
  <c r="N8" i="82"/>
  <c r="F18" i="74" s="1"/>
  <c r="M8" i="82"/>
  <c r="E18" i="74" s="1"/>
  <c r="E74" i="74" l="1"/>
  <c r="Q40" i="74"/>
  <c r="Q19" i="74"/>
  <c r="R7" i="74" s="1"/>
  <c r="G46" i="46" s="1"/>
  <c r="Q58" i="74"/>
  <c r="Q20" i="74"/>
  <c r="R8" i="74" s="1"/>
  <c r="H46" i="46" s="1"/>
  <c r="Q41" i="74"/>
  <c r="Q57" i="74"/>
  <c r="E73" i="74"/>
  <c r="Q39" i="74"/>
  <c r="Q18" i="74"/>
  <c r="R6" i="74" s="1"/>
  <c r="F46" i="46" s="1"/>
  <c r="Q56" i="74"/>
  <c r="P13" i="46"/>
  <c r="O13" i="46"/>
  <c r="N13" i="46"/>
  <c r="P54" i="74"/>
  <c r="O54" i="74"/>
  <c r="N54" i="74"/>
  <c r="M54" i="74"/>
  <c r="L54" i="74"/>
  <c r="K54" i="74"/>
  <c r="J54" i="74"/>
  <c r="I54" i="74"/>
  <c r="H54" i="74"/>
  <c r="G54" i="74"/>
  <c r="F54" i="74"/>
  <c r="E54" i="74"/>
  <c r="E37" i="74"/>
  <c r="P37" i="74"/>
  <c r="O37" i="74"/>
  <c r="N37" i="74"/>
  <c r="M37" i="74"/>
  <c r="L37" i="74"/>
  <c r="K37" i="74"/>
  <c r="J37" i="74"/>
  <c r="I37" i="74"/>
  <c r="H37" i="74"/>
  <c r="G37" i="74"/>
  <c r="F37" i="74"/>
  <c r="P16" i="74"/>
  <c r="P30" i="74" s="1"/>
  <c r="P33" i="74" s="1"/>
  <c r="O16" i="74"/>
  <c r="N16" i="74"/>
  <c r="E7" i="59"/>
  <c r="N12" i="46" l="1"/>
  <c r="O12" i="46"/>
  <c r="P12" i="46"/>
  <c r="O30" i="74"/>
  <c r="O33" i="74" s="1"/>
  <c r="N30" i="74"/>
  <c r="N33" i="74" s="1"/>
  <c r="B46" i="45"/>
  <c r="P18" i="46" l="1"/>
  <c r="L8" i="75" l="1"/>
  <c r="K8" i="75"/>
  <c r="J8" i="75"/>
  <c r="I8" i="75"/>
  <c r="E5" i="74" s="1"/>
  <c r="M8" i="75"/>
  <c r="E17" i="74" s="1"/>
  <c r="E71" i="74" l="1"/>
  <c r="D17" i="74"/>
  <c r="D16" i="74"/>
  <c r="P34" i="46"/>
  <c r="P33" i="46"/>
  <c r="P31" i="46"/>
  <c r="P30" i="46"/>
  <c r="P29" i="46"/>
  <c r="P28" i="46"/>
  <c r="P27" i="46"/>
  <c r="P26" i="46"/>
  <c r="P25" i="46"/>
  <c r="P24" i="46"/>
  <c r="P22" i="46"/>
  <c r="P21" i="46"/>
  <c r="P20" i="46"/>
  <c r="P19" i="46"/>
  <c r="G80" i="74"/>
  <c r="F80" i="74"/>
  <c r="G79" i="74"/>
  <c r="F79" i="74"/>
  <c r="G78" i="74"/>
  <c r="F78" i="74"/>
  <c r="G77" i="74"/>
  <c r="F77" i="74"/>
  <c r="G76" i="74"/>
  <c r="F76" i="74"/>
  <c r="G75" i="74"/>
  <c r="F75" i="74"/>
  <c r="G71" i="74"/>
  <c r="F71" i="74"/>
  <c r="K64" i="74"/>
  <c r="F61" i="74"/>
  <c r="J60" i="74"/>
  <c r="H60" i="74"/>
  <c r="L43" i="74"/>
  <c r="K24" i="74"/>
  <c r="H23" i="74"/>
  <c r="E24" i="74"/>
  <c r="I21" i="74"/>
  <c r="G21" i="74"/>
  <c r="Q50" i="74"/>
  <c r="Q67" i="74"/>
  <c r="E14" i="74"/>
  <c r="Q14" i="74" s="1"/>
  <c r="E13" i="74"/>
  <c r="Q13" i="74" s="1"/>
  <c r="E12" i="74"/>
  <c r="Q12" i="74" s="1"/>
  <c r="E11" i="74"/>
  <c r="Q11" i="74" s="1"/>
  <c r="E10" i="74"/>
  <c r="Q10" i="74" s="1"/>
  <c r="E9" i="74"/>
  <c r="Q9" i="74" s="1"/>
  <c r="AY8" i="79"/>
  <c r="AX8" i="79"/>
  <c r="AW8" i="79"/>
  <c r="AV8" i="79"/>
  <c r="AU8" i="79"/>
  <c r="AT8" i="79"/>
  <c r="AS8" i="79"/>
  <c r="AR8" i="79"/>
  <c r="AQ8" i="79"/>
  <c r="AO8" i="79"/>
  <c r="M62" i="74" s="1"/>
  <c r="AN8" i="79"/>
  <c r="L62" i="74" s="1"/>
  <c r="AM8" i="79"/>
  <c r="K62" i="74" s="1"/>
  <c r="AL8" i="79"/>
  <c r="J62" i="74" s="1"/>
  <c r="AK8" i="79"/>
  <c r="I62" i="74" s="1"/>
  <c r="AJ8" i="79"/>
  <c r="H62" i="74" s="1"/>
  <c r="AI8" i="79"/>
  <c r="G62" i="74" s="1"/>
  <c r="AH8" i="79"/>
  <c r="AG8" i="79"/>
  <c r="AY8" i="81"/>
  <c r="AX8" i="81"/>
  <c r="AW8" i="81"/>
  <c r="AV8" i="81"/>
  <c r="AU8" i="81"/>
  <c r="AT8" i="81"/>
  <c r="AS8" i="81"/>
  <c r="AR8" i="81"/>
  <c r="AQ8" i="81"/>
  <c r="AO8" i="81"/>
  <c r="M64" i="74" s="1"/>
  <c r="AN8" i="81"/>
  <c r="L64" i="74" s="1"/>
  <c r="AM8" i="81"/>
  <c r="AL8" i="81"/>
  <c r="J64" i="74" s="1"/>
  <c r="AK8" i="81"/>
  <c r="I64" i="74" s="1"/>
  <c r="AJ8" i="81"/>
  <c r="H64" i="74" s="1"/>
  <c r="AI8" i="81"/>
  <c r="G64" i="74" s="1"/>
  <c r="AH8" i="81"/>
  <c r="AG8" i="81"/>
  <c r="AY8" i="80"/>
  <c r="AX8" i="80"/>
  <c r="AW8" i="80"/>
  <c r="AV8" i="80"/>
  <c r="AU8" i="80"/>
  <c r="AT8" i="80"/>
  <c r="AS8" i="80"/>
  <c r="AR8" i="80"/>
  <c r="AQ8" i="80"/>
  <c r="AO8" i="80"/>
  <c r="M63" i="74" s="1"/>
  <c r="AN8" i="80"/>
  <c r="L63" i="74" s="1"/>
  <c r="AM8" i="80"/>
  <c r="K63" i="74" s="1"/>
  <c r="AL8" i="80"/>
  <c r="J63" i="74" s="1"/>
  <c r="AK8" i="80"/>
  <c r="I63" i="74" s="1"/>
  <c r="AJ8" i="80"/>
  <c r="H63" i="74" s="1"/>
  <c r="AI8" i="80"/>
  <c r="G63" i="74" s="1"/>
  <c r="AH8" i="80"/>
  <c r="AG8" i="80"/>
  <c r="AY8" i="78"/>
  <c r="AX8" i="78"/>
  <c r="AW8" i="78"/>
  <c r="AV8" i="78"/>
  <c r="AU8" i="78"/>
  <c r="AT8" i="78"/>
  <c r="AS8" i="78"/>
  <c r="AR8" i="78"/>
  <c r="AQ8" i="78"/>
  <c r="AO8" i="78"/>
  <c r="M61" i="74" s="1"/>
  <c r="AN8" i="78"/>
  <c r="L61" i="74" s="1"/>
  <c r="AM8" i="78"/>
  <c r="K61" i="74" s="1"/>
  <c r="AL8" i="78"/>
  <c r="J61" i="74" s="1"/>
  <c r="AK8" i="78"/>
  <c r="I61" i="74" s="1"/>
  <c r="AJ8" i="78"/>
  <c r="H61" i="74" s="1"/>
  <c r="AI8" i="78"/>
  <c r="G61" i="74" s="1"/>
  <c r="AH8" i="78"/>
  <c r="AG8" i="78"/>
  <c r="AY8" i="77"/>
  <c r="AX8" i="77"/>
  <c r="AW8" i="77"/>
  <c r="AV8" i="77"/>
  <c r="AU8" i="77"/>
  <c r="AT8" i="77"/>
  <c r="AS8" i="77"/>
  <c r="AR8" i="77"/>
  <c r="AQ8" i="77"/>
  <c r="AO8" i="77"/>
  <c r="M60" i="74" s="1"/>
  <c r="AN8" i="77"/>
  <c r="L60" i="74" s="1"/>
  <c r="AM8" i="77"/>
  <c r="K60" i="74" s="1"/>
  <c r="AL8" i="77"/>
  <c r="AK8" i="77"/>
  <c r="I60" i="74" s="1"/>
  <c r="AJ8" i="77"/>
  <c r="AI8" i="77"/>
  <c r="G60" i="74" s="1"/>
  <c r="AH8" i="77"/>
  <c r="AG8" i="77"/>
  <c r="AY8" i="76"/>
  <c r="AX8" i="76"/>
  <c r="AW8" i="76"/>
  <c r="AV8" i="76"/>
  <c r="AU8" i="76"/>
  <c r="AT8" i="76"/>
  <c r="AS8" i="76"/>
  <c r="AR8" i="76"/>
  <c r="AQ8" i="76"/>
  <c r="AO8" i="76"/>
  <c r="M59" i="74" s="1"/>
  <c r="AN8" i="76"/>
  <c r="L59" i="74" s="1"/>
  <c r="AM8" i="76"/>
  <c r="K59" i="74" s="1"/>
  <c r="AL8" i="76"/>
  <c r="J59" i="74" s="1"/>
  <c r="AK8" i="76"/>
  <c r="I59" i="74" s="1"/>
  <c r="AJ8" i="76"/>
  <c r="H59" i="74" s="1"/>
  <c r="AI8" i="76"/>
  <c r="G59" i="74" s="1"/>
  <c r="AH8" i="76"/>
  <c r="AG8" i="76"/>
  <c r="AY8" i="75"/>
  <c r="AX8" i="75"/>
  <c r="AW8" i="75"/>
  <c r="AV8" i="75"/>
  <c r="AU8" i="75"/>
  <c r="AT8" i="75"/>
  <c r="AS8" i="75"/>
  <c r="AR8" i="75"/>
  <c r="AQ8" i="75"/>
  <c r="C10" i="8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AE8" i="81"/>
  <c r="M47" i="74" s="1"/>
  <c r="AD8" i="81"/>
  <c r="L47" i="74" s="1"/>
  <c r="AC8" i="81"/>
  <c r="K47" i="74" s="1"/>
  <c r="AB8" i="81"/>
  <c r="J47" i="74" s="1"/>
  <c r="AA8" i="81"/>
  <c r="I47" i="74" s="1"/>
  <c r="Z8" i="81"/>
  <c r="H47" i="74" s="1"/>
  <c r="Y8" i="81"/>
  <c r="G47" i="74" s="1"/>
  <c r="X8" i="81"/>
  <c r="F47" i="74" s="1"/>
  <c r="W8" i="81"/>
  <c r="E47" i="74" s="1"/>
  <c r="U8" i="81"/>
  <c r="M26" i="74" s="1"/>
  <c r="T8" i="81"/>
  <c r="L26" i="74" s="1"/>
  <c r="S8" i="81"/>
  <c r="K26" i="74" s="1"/>
  <c r="R8" i="81"/>
  <c r="J26" i="74" s="1"/>
  <c r="Q8" i="81"/>
  <c r="I26" i="74" s="1"/>
  <c r="P8" i="81"/>
  <c r="H26" i="74" s="1"/>
  <c r="O8" i="81"/>
  <c r="G26" i="74" s="1"/>
  <c r="N8" i="81"/>
  <c r="F26" i="74" s="1"/>
  <c r="M8" i="81"/>
  <c r="E26" i="74" s="1"/>
  <c r="C10" i="80"/>
  <c r="C11" i="80" s="1"/>
  <c r="C12" i="80" s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AE8" i="80"/>
  <c r="M46" i="74" s="1"/>
  <c r="AD8" i="80"/>
  <c r="L46" i="74" s="1"/>
  <c r="AC8" i="80"/>
  <c r="K46" i="74" s="1"/>
  <c r="AB8" i="80"/>
  <c r="J46" i="74" s="1"/>
  <c r="AA8" i="80"/>
  <c r="I46" i="74" s="1"/>
  <c r="Z8" i="80"/>
  <c r="H46" i="74" s="1"/>
  <c r="Y8" i="80"/>
  <c r="G46" i="74" s="1"/>
  <c r="X8" i="80"/>
  <c r="F46" i="74" s="1"/>
  <c r="W8" i="80"/>
  <c r="E46" i="74" s="1"/>
  <c r="U8" i="80"/>
  <c r="M25" i="74" s="1"/>
  <c r="T8" i="80"/>
  <c r="L25" i="74" s="1"/>
  <c r="S8" i="80"/>
  <c r="K25" i="74" s="1"/>
  <c r="R8" i="80"/>
  <c r="J25" i="74" s="1"/>
  <c r="Q8" i="80"/>
  <c r="I25" i="74" s="1"/>
  <c r="P8" i="80"/>
  <c r="H25" i="74" s="1"/>
  <c r="O8" i="80"/>
  <c r="G25" i="74" s="1"/>
  <c r="N8" i="80"/>
  <c r="F25" i="74" s="1"/>
  <c r="M8" i="80"/>
  <c r="E25" i="74" s="1"/>
  <c r="C11" i="79"/>
  <c r="C12" i="79" s="1"/>
  <c r="C13" i="79" s="1"/>
  <c r="C14" i="79" s="1"/>
  <c r="C15" i="79" s="1"/>
  <c r="C16" i="79" s="1"/>
  <c r="C17" i="79" s="1"/>
  <c r="C18" i="79" s="1"/>
  <c r="C19" i="79" s="1"/>
  <c r="C20" i="79" s="1"/>
  <c r="C21" i="79" s="1"/>
  <c r="C22" i="79" s="1"/>
  <c r="C23" i="79" s="1"/>
  <c r="C24" i="79" s="1"/>
  <c r="C25" i="79" s="1"/>
  <c r="C26" i="79" s="1"/>
  <c r="C27" i="79" s="1"/>
  <c r="C28" i="79" s="1"/>
  <c r="C10" i="79"/>
  <c r="AE8" i="79"/>
  <c r="M45" i="74" s="1"/>
  <c r="AD8" i="79"/>
  <c r="L45" i="74" s="1"/>
  <c r="AC8" i="79"/>
  <c r="K45" i="74" s="1"/>
  <c r="AB8" i="79"/>
  <c r="J45" i="74" s="1"/>
  <c r="AA8" i="79"/>
  <c r="I45" i="74" s="1"/>
  <c r="Z8" i="79"/>
  <c r="H45" i="74" s="1"/>
  <c r="Y8" i="79"/>
  <c r="G45" i="74" s="1"/>
  <c r="X8" i="79"/>
  <c r="F45" i="74" s="1"/>
  <c r="W8" i="79"/>
  <c r="E45" i="74" s="1"/>
  <c r="U8" i="79"/>
  <c r="M24" i="74" s="1"/>
  <c r="T8" i="79"/>
  <c r="L24" i="74" s="1"/>
  <c r="S8" i="79"/>
  <c r="R8" i="79"/>
  <c r="J24" i="74" s="1"/>
  <c r="Q8" i="79"/>
  <c r="I24" i="74" s="1"/>
  <c r="P8" i="79"/>
  <c r="H24" i="74" s="1"/>
  <c r="O8" i="79"/>
  <c r="G24" i="74" s="1"/>
  <c r="N8" i="79"/>
  <c r="F24" i="74" s="1"/>
  <c r="M8" i="79"/>
  <c r="C10" i="78"/>
  <c r="C11" i="78" s="1"/>
  <c r="C12" i="78" s="1"/>
  <c r="C13" i="78" s="1"/>
  <c r="C14" i="78" s="1"/>
  <c r="C15" i="78" s="1"/>
  <c r="C16" i="78" s="1"/>
  <c r="C17" i="78" s="1"/>
  <c r="C18" i="78" s="1"/>
  <c r="C19" i="78" s="1"/>
  <c r="C20" i="78" s="1"/>
  <c r="C21" i="78" s="1"/>
  <c r="C22" i="78" s="1"/>
  <c r="C23" i="78" s="1"/>
  <c r="C24" i="78" s="1"/>
  <c r="C25" i="78" s="1"/>
  <c r="C26" i="78" s="1"/>
  <c r="C27" i="78" s="1"/>
  <c r="C28" i="78" s="1"/>
  <c r="AE8" i="78"/>
  <c r="M44" i="74" s="1"/>
  <c r="AD8" i="78"/>
  <c r="L44" i="74" s="1"/>
  <c r="AC8" i="78"/>
  <c r="K44" i="74" s="1"/>
  <c r="AB8" i="78"/>
  <c r="J44" i="74" s="1"/>
  <c r="AA8" i="78"/>
  <c r="I44" i="74" s="1"/>
  <c r="Z8" i="78"/>
  <c r="H44" i="74" s="1"/>
  <c r="Y8" i="78"/>
  <c r="G44" i="74" s="1"/>
  <c r="X8" i="78"/>
  <c r="F44" i="74" s="1"/>
  <c r="W8" i="78"/>
  <c r="U8" i="78"/>
  <c r="M23" i="74" s="1"/>
  <c r="T8" i="78"/>
  <c r="L23" i="74" s="1"/>
  <c r="S8" i="78"/>
  <c r="K23" i="74" s="1"/>
  <c r="R8" i="78"/>
  <c r="J23" i="74" s="1"/>
  <c r="Q8" i="78"/>
  <c r="I23" i="74" s="1"/>
  <c r="P8" i="78"/>
  <c r="O8" i="78"/>
  <c r="G23" i="74" s="1"/>
  <c r="N8" i="78"/>
  <c r="F23" i="74" s="1"/>
  <c r="M8" i="78"/>
  <c r="E23" i="74" s="1"/>
  <c r="C10" i="77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AE8" i="77"/>
  <c r="M43" i="74" s="1"/>
  <c r="AD8" i="77"/>
  <c r="AC8" i="77"/>
  <c r="K43" i="74" s="1"/>
  <c r="AB8" i="77"/>
  <c r="J43" i="74" s="1"/>
  <c r="AA8" i="77"/>
  <c r="I43" i="74" s="1"/>
  <c r="Z8" i="77"/>
  <c r="H43" i="74" s="1"/>
  <c r="Y8" i="77"/>
  <c r="G43" i="74" s="1"/>
  <c r="X8" i="77"/>
  <c r="F43" i="74" s="1"/>
  <c r="W8" i="77"/>
  <c r="E43" i="74" s="1"/>
  <c r="U8" i="77"/>
  <c r="T8" i="77"/>
  <c r="L22" i="74" s="1"/>
  <c r="S8" i="77"/>
  <c r="K22" i="74" s="1"/>
  <c r="R8" i="77"/>
  <c r="J22" i="74" s="1"/>
  <c r="Q8" i="77"/>
  <c r="I22" i="74" s="1"/>
  <c r="P8" i="77"/>
  <c r="H22" i="74" s="1"/>
  <c r="O8" i="77"/>
  <c r="G22" i="74" s="1"/>
  <c r="N8" i="77"/>
  <c r="F21" i="74" s="1"/>
  <c r="M8" i="77"/>
  <c r="E22" i="74" s="1"/>
  <c r="C10" i="76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AE8" i="76"/>
  <c r="M42" i="74" s="1"/>
  <c r="AD8" i="76"/>
  <c r="L42" i="74" s="1"/>
  <c r="AC8" i="76"/>
  <c r="K42" i="74" s="1"/>
  <c r="AB8" i="76"/>
  <c r="J42" i="74" s="1"/>
  <c r="AA8" i="76"/>
  <c r="I42" i="74" s="1"/>
  <c r="Z8" i="76"/>
  <c r="H42" i="74" s="1"/>
  <c r="Y8" i="76"/>
  <c r="G42" i="74" s="1"/>
  <c r="X8" i="76"/>
  <c r="F42" i="74" s="1"/>
  <c r="W8" i="76"/>
  <c r="E42" i="74" s="1"/>
  <c r="U8" i="76"/>
  <c r="T8" i="76"/>
  <c r="S8" i="76"/>
  <c r="R8" i="76"/>
  <c r="Q8" i="76"/>
  <c r="P8" i="76"/>
  <c r="O8" i="76"/>
  <c r="N8" i="76"/>
  <c r="M8" i="76"/>
  <c r="E21" i="74" s="1"/>
  <c r="D82" i="74"/>
  <c r="D66" i="74"/>
  <c r="D49" i="74"/>
  <c r="AO8" i="75"/>
  <c r="M55" i="74" s="1"/>
  <c r="AN8" i="75"/>
  <c r="L55" i="74" s="1"/>
  <c r="AM8" i="75"/>
  <c r="K55" i="74" s="1"/>
  <c r="AL8" i="75"/>
  <c r="J55" i="74" s="1"/>
  <c r="AK8" i="75"/>
  <c r="I55" i="74" s="1"/>
  <c r="AJ8" i="75"/>
  <c r="H55" i="74" s="1"/>
  <c r="AI8" i="75"/>
  <c r="G55" i="74" s="1"/>
  <c r="AH8" i="75"/>
  <c r="AG8" i="75"/>
  <c r="AE8" i="75"/>
  <c r="M38" i="74" s="1"/>
  <c r="AD8" i="75"/>
  <c r="L38" i="74" s="1"/>
  <c r="AC8" i="75"/>
  <c r="K38" i="74" s="1"/>
  <c r="AB8" i="75"/>
  <c r="J38" i="74" s="1"/>
  <c r="AA8" i="75"/>
  <c r="I38" i="74" s="1"/>
  <c r="Z8" i="75"/>
  <c r="H38" i="74" s="1"/>
  <c r="Y8" i="75"/>
  <c r="G38" i="74" s="1"/>
  <c r="X8" i="75"/>
  <c r="F38" i="74" s="1"/>
  <c r="W8" i="75"/>
  <c r="H21" i="74" l="1"/>
  <c r="K21" i="74"/>
  <c r="Q5" i="74"/>
  <c r="E16" i="74"/>
  <c r="Q26" i="74"/>
  <c r="R14" i="74" s="1"/>
  <c r="N46" i="46" s="1"/>
  <c r="E80" i="74"/>
  <c r="F64" i="74"/>
  <c r="E64" i="74"/>
  <c r="Q25" i="74"/>
  <c r="R13" i="74" s="1"/>
  <c r="M46" i="46" s="1"/>
  <c r="E79" i="74"/>
  <c r="E63" i="74"/>
  <c r="F63" i="74"/>
  <c r="Q24" i="74"/>
  <c r="R12" i="74" s="1"/>
  <c r="L46" i="46" s="1"/>
  <c r="F62" i="74"/>
  <c r="E62" i="74"/>
  <c r="E78" i="74"/>
  <c r="E77" i="74"/>
  <c r="E61" i="74"/>
  <c r="Q61" i="74" s="1"/>
  <c r="F22" i="74"/>
  <c r="E76" i="74"/>
  <c r="J21" i="74"/>
  <c r="E60" i="74"/>
  <c r="L21" i="74"/>
  <c r="F60" i="74"/>
  <c r="M22" i="74"/>
  <c r="M21" i="74"/>
  <c r="E59" i="74"/>
  <c r="F59" i="74"/>
  <c r="E75" i="74"/>
  <c r="F55" i="74"/>
  <c r="E44" i="74"/>
  <c r="Q23" i="74"/>
  <c r="R11" i="74" s="1"/>
  <c r="K46" i="46" s="1"/>
  <c r="E38" i="74"/>
  <c r="Q38" i="74" s="1"/>
  <c r="E55" i="74"/>
  <c r="Q46" i="74"/>
  <c r="Q43" i="74"/>
  <c r="Q42" i="74"/>
  <c r="Q45" i="74"/>
  <c r="Q47" i="74"/>
  <c r="M66" i="74"/>
  <c r="M68" i="74" s="1"/>
  <c r="M49" i="74"/>
  <c r="M51" i="74" s="1"/>
  <c r="L49" i="74"/>
  <c r="L51" i="74" s="1"/>
  <c r="L66" i="74"/>
  <c r="L68" i="74" s="1"/>
  <c r="F82" i="74"/>
  <c r="F84" i="74" s="1"/>
  <c r="G82" i="74"/>
  <c r="G83" i="74" s="1"/>
  <c r="G84" i="74" s="1"/>
  <c r="F49" i="74"/>
  <c r="F51" i="74" s="1"/>
  <c r="H49" i="74"/>
  <c r="H51" i="74" s="1"/>
  <c r="G49" i="74"/>
  <c r="G51" i="74" s="1"/>
  <c r="H66" i="74"/>
  <c r="H68" i="74" s="1"/>
  <c r="G66" i="74"/>
  <c r="G68" i="74" s="1"/>
  <c r="I66" i="74"/>
  <c r="I68" i="74" s="1"/>
  <c r="I49" i="74"/>
  <c r="I51" i="74" s="1"/>
  <c r="J49" i="74"/>
  <c r="J51" i="74" s="1"/>
  <c r="J66" i="74"/>
  <c r="J68" i="74" s="1"/>
  <c r="K49" i="74"/>
  <c r="K51" i="74" s="1"/>
  <c r="K66" i="74"/>
  <c r="K68" i="74" s="1"/>
  <c r="Q59" i="74" l="1"/>
  <c r="Q62" i="74"/>
  <c r="Q16" i="74"/>
  <c r="Q21" i="74"/>
  <c r="R9" i="74" s="1"/>
  <c r="I46" i="46" s="1"/>
  <c r="Q22" i="74"/>
  <c r="R10" i="74" s="1"/>
  <c r="J46" i="46" s="1"/>
  <c r="Q64" i="74"/>
  <c r="Q60" i="74"/>
  <c r="Q63" i="74"/>
  <c r="E66" i="74"/>
  <c r="E68" i="74" s="1"/>
  <c r="E82" i="74"/>
  <c r="E84" i="74" s="1"/>
  <c r="F66" i="74"/>
  <c r="F68" i="74" s="1"/>
  <c r="Q55" i="74"/>
  <c r="E49" i="74"/>
  <c r="E51" i="74" s="1"/>
  <c r="Q44" i="74"/>
  <c r="Q49" i="74" s="1"/>
  <c r="C10" i="75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N8" i="75"/>
  <c r="F17" i="74" s="1"/>
  <c r="Q51" i="74" l="1"/>
  <c r="Q68" i="74"/>
  <c r="Q66" i="74"/>
  <c r="O8" i="75"/>
  <c r="G17" i="74" s="1"/>
  <c r="P8" i="75"/>
  <c r="H17" i="74" s="1"/>
  <c r="Q8" i="75" l="1"/>
  <c r="I17" i="74" s="1"/>
  <c r="M16" i="74"/>
  <c r="M12" i="46" s="1"/>
  <c r="L16" i="74"/>
  <c r="L12" i="46" s="1"/>
  <c r="K16" i="74"/>
  <c r="K12" i="46" s="1"/>
  <c r="J16" i="74"/>
  <c r="J12" i="46" s="1"/>
  <c r="I16" i="74"/>
  <c r="I12" i="46" s="1"/>
  <c r="H16" i="74"/>
  <c r="H12" i="46" s="1"/>
  <c r="G16" i="74"/>
  <c r="G12" i="46" s="1"/>
  <c r="F16" i="74"/>
  <c r="F12" i="46" s="1"/>
  <c r="O22" i="46"/>
  <c r="O34" i="46"/>
  <c r="O33" i="46"/>
  <c r="O30" i="46"/>
  <c r="O29" i="46"/>
  <c r="O28" i="46"/>
  <c r="O27" i="46"/>
  <c r="O26" i="46"/>
  <c r="O25" i="46"/>
  <c r="O24" i="46"/>
  <c r="O21" i="46"/>
  <c r="O19" i="46"/>
  <c r="O18" i="46"/>
  <c r="N34" i="46"/>
  <c r="N33" i="46"/>
  <c r="N30" i="46"/>
  <c r="N29" i="46"/>
  <c r="N28" i="46"/>
  <c r="N27" i="46"/>
  <c r="N26" i="46"/>
  <c r="N25" i="46"/>
  <c r="N24" i="46"/>
  <c r="N21" i="46"/>
  <c r="N19" i="46"/>
  <c r="N18" i="46"/>
  <c r="Q19" i="59"/>
  <c r="E12" i="46" l="1"/>
  <c r="O16" i="46"/>
  <c r="H28" i="74"/>
  <c r="I28" i="74"/>
  <c r="G28" i="74"/>
  <c r="F28" i="74"/>
  <c r="R8" i="75"/>
  <c r="J17" i="74" s="1"/>
  <c r="J28" i="74" s="1"/>
  <c r="E28" i="74"/>
  <c r="D28" i="74"/>
  <c r="N31" i="46"/>
  <c r="O31" i="46"/>
  <c r="N22" i="46"/>
  <c r="J13" i="46" l="1"/>
  <c r="F13" i="46"/>
  <c r="G13" i="46"/>
  <c r="I13" i="46"/>
  <c r="H13" i="46"/>
  <c r="F30" i="74"/>
  <c r="F33" i="74" s="1"/>
  <c r="G30" i="74"/>
  <c r="G33" i="74" s="1"/>
  <c r="I30" i="74"/>
  <c r="I33" i="74" s="1"/>
  <c r="H30" i="74"/>
  <c r="H33" i="74" s="1"/>
  <c r="J30" i="74"/>
  <c r="J33" i="74" s="1"/>
  <c r="E30" i="74"/>
  <c r="E33" i="74" s="1"/>
  <c r="E13" i="46"/>
  <c r="P16" i="46"/>
  <c r="S8" i="75"/>
  <c r="K17" i="74" s="1"/>
  <c r="K28" i="74" s="1"/>
  <c r="K13" i="46" l="1"/>
  <c r="K30" i="74"/>
  <c r="K33" i="74" s="1"/>
  <c r="U8" i="75"/>
  <c r="M17" i="74" s="1"/>
  <c r="T8" i="75"/>
  <c r="L17" i="74" s="1"/>
  <c r="L28" i="74" s="1"/>
  <c r="Q17" i="74" l="1"/>
  <c r="R5" i="74" s="1"/>
  <c r="E46" i="46" s="1"/>
  <c r="L13" i="46"/>
  <c r="L30" i="74"/>
  <c r="L33" i="74" s="1"/>
  <c r="Q28" i="74" l="1"/>
  <c r="Q30" i="74" s="1"/>
  <c r="Q33" i="74" s="1"/>
  <c r="M19" i="59"/>
  <c r="B5" i="45" l="1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K19" i="59" l="1"/>
  <c r="E4" i="46"/>
  <c r="P19" i="59" l="1"/>
  <c r="O20" i="46" s="1"/>
  <c r="O19" i="59"/>
  <c r="N20" i="46" s="1"/>
  <c r="N19" i="59"/>
  <c r="L19" i="59"/>
  <c r="M33" i="46"/>
  <c r="L33" i="46"/>
  <c r="K33" i="46"/>
  <c r="J33" i="46"/>
  <c r="I33" i="46"/>
  <c r="H33" i="46"/>
  <c r="G33" i="46"/>
  <c r="F33" i="46"/>
  <c r="E33" i="46"/>
  <c r="M31" i="46"/>
  <c r="L31" i="46"/>
  <c r="K31" i="46"/>
  <c r="J31" i="46"/>
  <c r="I31" i="46"/>
  <c r="H31" i="46"/>
  <c r="G31" i="46"/>
  <c r="F31" i="46"/>
  <c r="E31" i="46"/>
  <c r="M28" i="46"/>
  <c r="L28" i="46"/>
  <c r="K28" i="46"/>
  <c r="J28" i="46"/>
  <c r="I28" i="46"/>
  <c r="H28" i="46"/>
  <c r="G28" i="46"/>
  <c r="F28" i="46"/>
  <c r="E28" i="46"/>
  <c r="Q28" i="46" l="1"/>
  <c r="Q31" i="46"/>
  <c r="Q33" i="46"/>
  <c r="M22" i="59"/>
  <c r="L30" i="46"/>
  <c r="H30" i="46"/>
  <c r="M30" i="46"/>
  <c r="K30" i="46"/>
  <c r="G30" i="46"/>
  <c r="I30" i="46"/>
  <c r="E30" i="46"/>
  <c r="J30" i="46"/>
  <c r="F30" i="46"/>
  <c r="Q30" i="46" l="1"/>
  <c r="L21" i="46" l="1"/>
  <c r="H21" i="46"/>
  <c r="E21" i="46"/>
  <c r="K21" i="46"/>
  <c r="G21" i="46"/>
  <c r="I21" i="46"/>
  <c r="J21" i="46"/>
  <c r="F21" i="46"/>
  <c r="M21" i="46"/>
  <c r="J19" i="59"/>
  <c r="I19" i="59"/>
  <c r="Q21" i="46" l="1"/>
  <c r="E18" i="46" l="1"/>
  <c r="M24" i="46"/>
  <c r="I24" i="46"/>
  <c r="E24" i="46"/>
  <c r="F24" i="46"/>
  <c r="L24" i="46"/>
  <c r="H24" i="46"/>
  <c r="K24" i="46"/>
  <c r="G24" i="46"/>
  <c r="J24" i="46"/>
  <c r="K26" i="46"/>
  <c r="G26" i="46"/>
  <c r="L26" i="46"/>
  <c r="H26" i="46"/>
  <c r="J26" i="46"/>
  <c r="M26" i="46"/>
  <c r="I26" i="46"/>
  <c r="E26" i="46"/>
  <c r="L25" i="46"/>
  <c r="H25" i="46"/>
  <c r="K25" i="46"/>
  <c r="G25" i="46"/>
  <c r="M25" i="46"/>
  <c r="J25" i="46"/>
  <c r="F25" i="46"/>
  <c r="I25" i="46"/>
  <c r="J34" i="46"/>
  <c r="M19" i="46"/>
  <c r="I19" i="46"/>
  <c r="E19" i="46"/>
  <c r="L19" i="46"/>
  <c r="H19" i="46"/>
  <c r="K19" i="46"/>
  <c r="G19" i="46"/>
  <c r="J19" i="46"/>
  <c r="F19" i="46"/>
  <c r="L20" i="46"/>
  <c r="I20" i="46"/>
  <c r="J20" i="46"/>
  <c r="H20" i="46"/>
  <c r="K20" i="46"/>
  <c r="M20" i="46"/>
  <c r="J18" i="46"/>
  <c r="F18" i="46"/>
  <c r="M18" i="46"/>
  <c r="I18" i="46"/>
  <c r="K18" i="46"/>
  <c r="L18" i="46"/>
  <c r="H18" i="46"/>
  <c r="G18" i="46"/>
  <c r="K22" i="46"/>
  <c r="G22" i="46"/>
  <c r="H22" i="46"/>
  <c r="J22" i="46"/>
  <c r="F22" i="46"/>
  <c r="L22" i="46"/>
  <c r="M22" i="46"/>
  <c r="I22" i="46"/>
  <c r="E22" i="46"/>
  <c r="J27" i="46"/>
  <c r="F27" i="46"/>
  <c r="K27" i="46"/>
  <c r="G27" i="46"/>
  <c r="M27" i="46"/>
  <c r="I27" i="46"/>
  <c r="E27" i="46"/>
  <c r="L27" i="46"/>
  <c r="H27" i="46"/>
  <c r="Q18" i="46" l="1"/>
  <c r="Q19" i="46"/>
  <c r="Q24" i="46"/>
  <c r="Q22" i="46"/>
  <c r="Q27" i="46"/>
  <c r="G19" i="59"/>
  <c r="F20" i="46" s="1"/>
  <c r="F34" i="46" l="1"/>
  <c r="H19" i="59"/>
  <c r="G20" i="46" s="1"/>
  <c r="E34" i="46" l="1"/>
  <c r="F26" i="46"/>
  <c r="Q26" i="46" s="1"/>
  <c r="F19" i="59" l="1"/>
  <c r="E8" i="59"/>
  <c r="E10" i="59"/>
  <c r="E11" i="59"/>
  <c r="E13" i="59"/>
  <c r="E20" i="46" l="1"/>
  <c r="Q20" i="46" s="1"/>
  <c r="E16" i="59"/>
  <c r="E15" i="59"/>
  <c r="E14" i="59"/>
  <c r="E12" i="59"/>
  <c r="E9" i="59"/>
  <c r="B4" i="45"/>
  <c r="P23" i="46" l="1"/>
  <c r="N23" i="46"/>
  <c r="O23" i="46"/>
  <c r="O32" i="46"/>
  <c r="P32" i="46"/>
  <c r="N32" i="46"/>
  <c r="J23" i="46"/>
  <c r="F23" i="46"/>
  <c r="M23" i="46"/>
  <c r="I23" i="46"/>
  <c r="E23" i="46"/>
  <c r="K23" i="46"/>
  <c r="L23" i="46"/>
  <c r="H23" i="46"/>
  <c r="G23" i="46"/>
  <c r="E17" i="59"/>
  <c r="O35" i="46" l="1"/>
  <c r="P35" i="46"/>
  <c r="P37" i="46" s="1"/>
  <c r="N35" i="46"/>
  <c r="M34" i="46"/>
  <c r="Q23" i="46"/>
  <c r="L34" i="46"/>
  <c r="K34" i="46"/>
  <c r="I34" i="46"/>
  <c r="G34" i="46"/>
  <c r="H34" i="46"/>
  <c r="H49" i="45" l="1"/>
  <c r="Q34" i="46"/>
  <c r="E19" i="59" l="1"/>
  <c r="E25" i="46" l="1"/>
  <c r="Q25" i="46" s="1"/>
  <c r="L29" i="46"/>
  <c r="H29" i="46"/>
  <c r="K29" i="46"/>
  <c r="G29" i="46"/>
  <c r="M29" i="46"/>
  <c r="I29" i="46"/>
  <c r="J29" i="46"/>
  <c r="F29" i="46"/>
  <c r="E29" i="46"/>
  <c r="L32" i="46"/>
  <c r="M32" i="46"/>
  <c r="K32" i="46"/>
  <c r="J32" i="46"/>
  <c r="F32" i="46"/>
  <c r="I32" i="46"/>
  <c r="G32" i="46"/>
  <c r="H32" i="46"/>
  <c r="Q29" i="46" l="1"/>
  <c r="I35" i="46"/>
  <c r="H35" i="46"/>
  <c r="M35" i="46"/>
  <c r="L35" i="46"/>
  <c r="F35" i="46"/>
  <c r="G35" i="46"/>
  <c r="J35" i="46"/>
  <c r="K35" i="46"/>
  <c r="I49" i="45" l="1"/>
  <c r="E32" i="46"/>
  <c r="E35" i="46" l="1"/>
  <c r="Q32" i="46"/>
  <c r="Q35" i="46" l="1"/>
  <c r="R32" i="46" s="1"/>
  <c r="R28" i="46" l="1"/>
  <c r="R33" i="46"/>
  <c r="R31" i="46"/>
  <c r="R30" i="46"/>
  <c r="R21" i="46"/>
  <c r="R27" i="46"/>
  <c r="R22" i="46"/>
  <c r="R24" i="46"/>
  <c r="R19" i="46"/>
  <c r="R18" i="46"/>
  <c r="R26" i="46"/>
  <c r="R20" i="46"/>
  <c r="R23" i="46"/>
  <c r="R34" i="46"/>
  <c r="R25" i="46"/>
  <c r="R29" i="46"/>
  <c r="O37" i="46" l="1"/>
  <c r="R35" i="46"/>
  <c r="O45" i="46" l="1"/>
  <c r="B18" i="38" l="1"/>
  <c r="B17" i="38"/>
  <c r="B16" i="38"/>
  <c r="B15" i="38"/>
  <c r="B14" i="38"/>
  <c r="B13" i="38"/>
  <c r="B12" i="38"/>
  <c r="B11" i="38"/>
  <c r="B10" i="38"/>
  <c r="D9" i="38"/>
  <c r="D10" i="38" s="1"/>
  <c r="D11" i="38" s="1"/>
  <c r="D12" i="38" s="1"/>
  <c r="D13" i="38" s="1"/>
  <c r="D14" i="38" s="1"/>
  <c r="D15" i="38" s="1"/>
  <c r="D16" i="38" s="1"/>
  <c r="C9" i="38"/>
  <c r="C10" i="38" s="1"/>
  <c r="C11" i="38" s="1"/>
  <c r="C12" i="38" s="1"/>
  <c r="C13" i="38" s="1"/>
  <c r="C14" i="38" s="1"/>
  <c r="C15" i="38" s="1"/>
  <c r="C16" i="38" s="1"/>
  <c r="C17" i="38" s="1"/>
  <c r="C18" i="38" s="1"/>
  <c r="B9" i="38"/>
  <c r="B8" i="38"/>
  <c r="M28" i="74" l="1"/>
  <c r="M13" i="46" l="1"/>
  <c r="M30" i="74"/>
  <c r="M33" i="74" s="1"/>
  <c r="Q12" i="46"/>
  <c r="N16" i="46" l="1"/>
  <c r="N37" i="46" s="1"/>
  <c r="O46" i="46"/>
  <c r="L16" i="46"/>
  <c r="L37" i="46" s="1"/>
  <c r="J16" i="46"/>
  <c r="J37" i="46" s="1"/>
  <c r="M16" i="46"/>
  <c r="M37" i="46" s="1"/>
  <c r="I16" i="46"/>
  <c r="I37" i="46" s="1"/>
  <c r="H16" i="46"/>
  <c r="H37" i="46" s="1"/>
  <c r="E16" i="46"/>
  <c r="E37" i="46" s="1"/>
  <c r="E39" i="46" s="1"/>
  <c r="K16" i="46"/>
  <c r="K37" i="46" s="1"/>
  <c r="F16" i="46"/>
  <c r="F37" i="46" s="1"/>
  <c r="Q13" i="46" l="1"/>
  <c r="F39" i="46"/>
  <c r="G16" i="46"/>
  <c r="G37" i="46" s="1"/>
  <c r="Q16" i="46" l="1"/>
  <c r="G39" i="46"/>
  <c r="H39" i="46" s="1"/>
  <c r="I39" i="46" s="1"/>
  <c r="R11" i="46" l="1"/>
  <c r="R13" i="46"/>
  <c r="R14" i="46"/>
  <c r="R12" i="46"/>
  <c r="Q37" i="46"/>
  <c r="J39" i="46"/>
  <c r="K39" i="46" s="1"/>
  <c r="L39" i="46" s="1"/>
  <c r="R16" i="46" l="1"/>
  <c r="M39" i="46"/>
  <c r="N39" i="46" s="1"/>
  <c r="O39" i="46" l="1"/>
  <c r="P39" i="46" s="1"/>
  <c r="Q39" i="46" s="1"/>
  <c r="E42" i="46" s="1"/>
  <c r="Q11" i="45"/>
</calcChain>
</file>

<file path=xl/sharedStrings.xml><?xml version="1.0" encoding="utf-8"?>
<sst xmlns="http://schemas.openxmlformats.org/spreadsheetml/2006/main" count="351" uniqueCount="167">
  <si>
    <t>FRAIS DE FORMATION DU PERSONNEL</t>
  </si>
  <si>
    <t>RUBRIQUE</t>
  </si>
  <si>
    <t>PUBLICITE, PUBLICATIONS, RELATIONS PUBLIQUES</t>
  </si>
  <si>
    <t>CHARGES DE PERSONNEL</t>
  </si>
  <si>
    <t>TRANSPORTS FG</t>
  </si>
  <si>
    <t>LOCATIONS DE BÂTIMENTS</t>
  </si>
  <si>
    <t>EXCÉDENT BRUT D'EXPLOITATION (EBE)</t>
  </si>
  <si>
    <t>MS</t>
  </si>
  <si>
    <t>CI</t>
  </si>
  <si>
    <t>CP</t>
  </si>
  <si>
    <t>CE1</t>
  </si>
  <si>
    <t>CE2</t>
  </si>
  <si>
    <t>CM1</t>
  </si>
  <si>
    <t>CM2</t>
  </si>
  <si>
    <t xml:space="preserve"> </t>
  </si>
  <si>
    <t>TOTAL</t>
  </si>
  <si>
    <t>ETAT NOMINATIF DU PERSONNEL ENSEIGNANT</t>
  </si>
  <si>
    <t>(ELEMENTAIRE)</t>
  </si>
  <si>
    <r>
      <t>N</t>
    </r>
    <r>
      <rPr>
        <sz val="9"/>
        <color theme="0"/>
        <rFont val="Times New Roman"/>
        <family val="1"/>
      </rPr>
      <t>°</t>
    </r>
  </si>
  <si>
    <t>Matricule</t>
  </si>
  <si>
    <t>Prénom (s)</t>
  </si>
  <si>
    <t>Nom</t>
  </si>
  <si>
    <t>Sexe</t>
  </si>
  <si>
    <t>Date de Naissance</t>
  </si>
  <si>
    <t>CNI</t>
  </si>
  <si>
    <t>Situation matrimoniale</t>
  </si>
  <si>
    <t>Corps</t>
  </si>
  <si>
    <t>Grade /Génération</t>
  </si>
  <si>
    <t xml:space="preserve">Diplôme académique </t>
  </si>
  <si>
    <t>Diplôme prof.</t>
  </si>
  <si>
    <t>Date d’entrée dans l’enseignement</t>
  </si>
  <si>
    <t>Spécialité</t>
  </si>
  <si>
    <t>Fonction</t>
  </si>
  <si>
    <t>Date de prise de service  dans l’établissement</t>
  </si>
  <si>
    <t xml:space="preserve">Cours tenu(s) </t>
  </si>
  <si>
    <t xml:space="preserve">Type classe </t>
  </si>
  <si>
    <t>Effectifs</t>
  </si>
  <si>
    <t>Emargement</t>
  </si>
  <si>
    <t>001</t>
  </si>
  <si>
    <t xml:space="preserve">    </t>
  </si>
  <si>
    <t>Prénom</t>
  </si>
  <si>
    <t>Date de naisssance</t>
  </si>
  <si>
    <t>Ce feuillet vous permet de suivre le processus d'inscription de chaque élève en début d'année.</t>
  </si>
  <si>
    <t>Inscription payée</t>
  </si>
  <si>
    <t>Classe</t>
  </si>
  <si>
    <t>;</t>
  </si>
  <si>
    <t>MONTANT</t>
  </si>
  <si>
    <t>INTITULE</t>
  </si>
  <si>
    <t>Total inscription reçue</t>
  </si>
  <si>
    <t xml:space="preserve">   </t>
  </si>
  <si>
    <t>Total mensualité reçue</t>
  </si>
  <si>
    <t>Num_Facture</t>
  </si>
  <si>
    <t>FRAIS TRANSFERT</t>
  </si>
  <si>
    <t>ITEMS</t>
  </si>
  <si>
    <t>POIDS</t>
  </si>
  <si>
    <t>GS</t>
  </si>
  <si>
    <t>EFFECTIF</t>
  </si>
  <si>
    <t>Inscription totale reçue de CI</t>
  </si>
  <si>
    <t>Inscription totale reçue de CP</t>
  </si>
  <si>
    <t>Inscription totale reçue de CE1</t>
  </si>
  <si>
    <t>Inscription totale reçue de CE2</t>
  </si>
  <si>
    <t>Inscription totale reçue de CM1</t>
  </si>
  <si>
    <t>Inscription totale reçue de CM2</t>
  </si>
  <si>
    <t>TOTAL GENERAL</t>
  </si>
  <si>
    <t>SALAIRE</t>
  </si>
  <si>
    <t>GARDERIE</t>
  </si>
  <si>
    <t xml:space="preserve">TOTAL INSCRIPTION </t>
  </si>
  <si>
    <t>CANAL</t>
  </si>
  <si>
    <t>ARRIERE SALAIRE PAYE</t>
  </si>
  <si>
    <t>TOTAL INSCRIPTION REÇUE</t>
  </si>
  <si>
    <t>TOTAL MENSUALITÉ REÇUE</t>
  </si>
  <si>
    <t>M BODIAN</t>
  </si>
  <si>
    <t>EAU EXPLOITATION - SEN'EAU</t>
  </si>
  <si>
    <t>ELECTRICITÉ EXPLOITATION - SENELEC</t>
  </si>
  <si>
    <t>FRAIS BANCAIRES ET TRANSFERT</t>
  </si>
  <si>
    <t>TELECOMMUNICATIONS</t>
  </si>
  <si>
    <t>MATÉRIELS ET ÉQUIPEMENTS PEDAGOGIQUE</t>
  </si>
  <si>
    <t>ASSURANCES</t>
  </si>
  <si>
    <t xml:space="preserve">AUTRE PETIT MATÉRIEL </t>
  </si>
  <si>
    <t xml:space="preserve">FOURNITURES D'ENTRETIEN , DE BUREAU ET SCOLAIRE </t>
  </si>
  <si>
    <t>PATHE</t>
  </si>
  <si>
    <t>TRAVAUX, ENTRETIEN ET RÉPARATIONS</t>
  </si>
  <si>
    <t>FRAIS DE RÉCEPTIONS - RESTAURATION</t>
  </si>
  <si>
    <t>SOLDE CUMULE</t>
  </si>
  <si>
    <t>Mensualité totale reçue de CI</t>
  </si>
  <si>
    <t>Mensualité totale reçue de CP</t>
  </si>
  <si>
    <t>Mensualité totale reçue de CE1</t>
  </si>
  <si>
    <t>Mensualité totale reçue de CE2</t>
  </si>
  <si>
    <t>Mensualité totale reçue de CM1</t>
  </si>
  <si>
    <t>Mensualité totale reçue de CM2</t>
  </si>
  <si>
    <t xml:space="preserve">LE SOLDE DU COMPTE À CE JOUR EST : </t>
  </si>
  <si>
    <t>AUTRE PRODUIT</t>
  </si>
  <si>
    <t>TOTAL RESSOURCE</t>
  </si>
  <si>
    <t>TOTAL CHARGE</t>
  </si>
  <si>
    <t>CHARGES ADMINISTRATIVES- DOSSIERS DE REGULARISATION</t>
  </si>
  <si>
    <t>EFFECTIF TOTAL DU PERSONNEL :</t>
  </si>
  <si>
    <t>Équipe pédagogique et personnel : 1 enseignant (CM1-CM2), 1 enseignante (CE1-CE2), 1 enseignant (CI-CP), 2 enseignantes (préscolaire), 1 enseignant d’arabe, 1 professeure d’anglais, 1 assistante stagiaire, 1 gardien, 1 femme de ménage</t>
  </si>
  <si>
    <t>DATE PAIEMENT</t>
  </si>
  <si>
    <t>DATE OPERATION</t>
  </si>
  <si>
    <t>D SAKHO</t>
  </si>
  <si>
    <t>EFFECTIF TOTAL DES ELEVES</t>
  </si>
  <si>
    <t>EFFECTIF DES CLASSES ET REVENUS</t>
  </si>
  <si>
    <t>CHIFFRE D'AFFAIRE PAR CLASSE</t>
  </si>
  <si>
    <t>Gestion des inscriptions : 2025-2026</t>
  </si>
  <si>
    <t>Montant inscription</t>
  </si>
  <si>
    <t>Uniforme</t>
  </si>
  <si>
    <t>Assurance</t>
  </si>
  <si>
    <t>APE</t>
  </si>
  <si>
    <t>MENSUALITE</t>
  </si>
  <si>
    <t>CANTINE</t>
  </si>
  <si>
    <t>UNIFORME</t>
  </si>
  <si>
    <t>MONTANT CANTINE</t>
  </si>
  <si>
    <t>Total reçu</t>
  </si>
  <si>
    <t>Paiement  cantine</t>
  </si>
  <si>
    <t>Solde à comptabiliser</t>
  </si>
  <si>
    <t>Decaisser</t>
  </si>
  <si>
    <t>RENFORCE+</t>
  </si>
  <si>
    <t>MONANT RENFORCEMENT</t>
  </si>
  <si>
    <t>TOTAL 2425</t>
  </si>
  <si>
    <t>Paiement Renforcement</t>
  </si>
  <si>
    <t>Cantine de CI</t>
  </si>
  <si>
    <t>Cantine de CP</t>
  </si>
  <si>
    <t>Cantine de CE1</t>
  </si>
  <si>
    <t>Cantine de CE2</t>
  </si>
  <si>
    <t>Cantine de CM1</t>
  </si>
  <si>
    <t>Cantine de CM2</t>
  </si>
  <si>
    <t>Renforcement de CI</t>
  </si>
  <si>
    <t>Renforcement de CP</t>
  </si>
  <si>
    <t>Renforcement de CE1</t>
  </si>
  <si>
    <t>Renforcement de CE2</t>
  </si>
  <si>
    <t>Renforcement de CM1</t>
  </si>
  <si>
    <t>Renforcement de CM2</t>
  </si>
  <si>
    <t>Année scolaire : 2025/2026</t>
  </si>
  <si>
    <t>MONTANT CHIFFRES  D'AFFAIRES</t>
  </si>
  <si>
    <t xml:space="preserve">PS </t>
  </si>
  <si>
    <t>RAPPORT BILAN ANNEE SCOLAIRE 2025/2026</t>
  </si>
  <si>
    <t xml:space="preserve">SALAIRES </t>
  </si>
  <si>
    <t>TOTAL 2025/2026</t>
  </si>
  <si>
    <t>N</t>
  </si>
  <si>
    <t>Inscription totale reçue Garderie</t>
  </si>
  <si>
    <t>Inscription totale reçue de PS</t>
  </si>
  <si>
    <t>Inscription totale reçue de MS</t>
  </si>
  <si>
    <t>Inscription totale reçue de GS</t>
  </si>
  <si>
    <t>Mensualité totale reçue Garderie</t>
  </si>
  <si>
    <t>Mensualité totale reçue de PS</t>
  </si>
  <si>
    <t>Mensualité totale reçue de MS</t>
  </si>
  <si>
    <t>Mensualité totale reçue de GS</t>
  </si>
  <si>
    <t>Cantine Garderie</t>
  </si>
  <si>
    <t>Cantine de PS</t>
  </si>
  <si>
    <t>Cantine de MS</t>
  </si>
  <si>
    <t>Cantine de GS</t>
  </si>
  <si>
    <t>Renforcement Garderie</t>
  </si>
  <si>
    <t>Renforcement de PS</t>
  </si>
  <si>
    <t>Renforcement de MS</t>
  </si>
  <si>
    <t>Renforcement de GS</t>
  </si>
  <si>
    <t xml:space="preserve">  CI</t>
  </si>
  <si>
    <t xml:space="preserve">  CP</t>
  </si>
  <si>
    <t xml:space="preserve">  CE1</t>
  </si>
  <si>
    <t xml:space="preserve">  CE2</t>
  </si>
  <si>
    <t xml:space="preserve">  CM1</t>
  </si>
  <si>
    <t xml:space="preserve">  CM2</t>
  </si>
  <si>
    <t xml:space="preserve"> Garderie</t>
  </si>
  <si>
    <t>PS</t>
  </si>
  <si>
    <r>
      <rPr>
        <b/>
        <sz val="11"/>
        <color theme="1"/>
        <rFont val="Times New Roman"/>
        <family val="1"/>
      </rPr>
      <t>COMMENTAIRE:</t>
    </r>
    <r>
      <rPr>
        <sz val="11"/>
        <color theme="1"/>
        <rFont val="Times New Roman"/>
        <family val="1"/>
      </rPr>
      <t xml:space="preserve">
Chiffre d'Affaires:4 978 000 (faible) ; Dépenses Totales:18 279 960 (élevées) ; Contribution des Actionnaires:13 412 000 (soutien essentiel) ;
Arriérés de Location au 30 juin : 636 000 (à payer) et Restants de Salaires de juin : 250 000 (à payer).
</t>
    </r>
    <r>
      <rPr>
        <b/>
        <sz val="11"/>
        <color theme="1"/>
        <rFont val="Times New Roman"/>
        <family val="1"/>
      </rPr>
      <t>CONCLUSION:</t>
    </r>
    <r>
      <rPr>
        <sz val="11"/>
        <color theme="1"/>
        <rFont val="Times New Roman"/>
        <family val="1"/>
      </rPr>
      <t xml:space="preserve">
L'école fait face à un déséquilibre financier majeur, avec des dépenses dépassant largement les revenus. Les arriérés de location et les salaires non réglés aggravent la situation.</t>
    </r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</si>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</sst>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\ _€_-;\-* #,##0.00\ _€_-;_-* &quot;-&quot;??\ _€_-;_-@_-"/>
    <numFmt numFmtId="164" formatCode="_-* #,##0_-;\-* #,##0_-;_-* &quot;-&quot;_-;_-@_-"/>
    <numFmt numFmtId="165" formatCode="_-* #,##0.00_-;\-* #,##0.00_-;_-* &quot;-&quot;??_-;_-@_-"/>
    <numFmt numFmtId="166" formatCode="_ * #,##0_)_ ;_ * \(#,##0\)_ ;_ * &quot;-&quot;_)_ ;_ @_ "/>
    <numFmt numFmtId="167" formatCode="[Color10]\+0%;[Red]\-0%"/>
    <numFmt numFmtId="168" formatCode="_-* #,##0\ _C_F_A_-;\-* #,##0\ _C_F_A_-;_-* &quot;-&quot;\ _C_F_A_-;_-@_-"/>
    <numFmt numFmtId="169" formatCode="[$-40C]mmm\-yy;@"/>
    <numFmt numFmtId="170" formatCode="_-* #,##0\ _€_-;\-* #,##0\ _€_-;_-* &quot;-&quot;??\ _€_-;_-@_-"/>
    <numFmt numFmtId="171" formatCode="_(* #,##0.00_);_(* \(#,##0.00\);_(* &quot;-&quot;??_);_(@_)"/>
    <numFmt numFmtId="172" formatCode="_(* #,##0_);_(* \(#,##0\);_(* &quot;-&quot;??_);_(@_)"/>
    <numFmt numFmtId="173" formatCode="#,##0_ ;\-#,##0\ "/>
  </numFmts>
  <fonts count="7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00B050"/>
      <name val="Times New Roman"/>
      <family val="1"/>
    </font>
    <font>
      <b/>
      <i/>
      <sz val="9"/>
      <color rgb="FF00B050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sz val="10"/>
      <color theme="0"/>
      <name val="Times New Roman"/>
      <family val="1"/>
    </font>
    <font>
      <sz val="11"/>
      <color theme="1"/>
      <name val="Calibri"/>
      <family val="2"/>
    </font>
    <font>
      <sz val="9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8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i/>
      <sz val="11"/>
      <color theme="0"/>
      <name val="Arial"/>
      <family val="2"/>
    </font>
    <font>
      <sz val="10"/>
      <color theme="1" tint="0.14996795556505021"/>
      <name val="Calibri"/>
      <family val="2"/>
      <scheme val="minor"/>
    </font>
    <font>
      <sz val="12"/>
      <color theme="1" tint="0.1499679555650502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 tint="0.14996795556505021"/>
      <name val="Times New Roman"/>
      <family val="1"/>
    </font>
    <font>
      <sz val="9"/>
      <color theme="1" tint="0.14996795556505021"/>
      <name val="Times New Roman"/>
      <family val="1"/>
    </font>
    <font>
      <b/>
      <sz val="9"/>
      <color theme="1" tint="0.14996795556505021"/>
      <name val="Times New Roman"/>
      <family val="1"/>
    </font>
    <font>
      <sz val="9"/>
      <color theme="1"/>
      <name val="Times New Roman"/>
      <family val="1"/>
    </font>
    <font>
      <b/>
      <sz val="9"/>
      <color rgb="FF00B050"/>
      <name val="Times New Roman"/>
      <family val="1"/>
    </font>
    <font>
      <sz val="9"/>
      <color rgb="FF008000"/>
      <name val="Times New Roman"/>
      <family val="1"/>
    </font>
    <font>
      <b/>
      <sz val="9"/>
      <color theme="1"/>
      <name val="Times New Roman"/>
      <family val="1"/>
    </font>
    <font>
      <b/>
      <sz val="9"/>
      <color theme="0"/>
      <name val="Times New Roman"/>
      <family val="1"/>
    </font>
    <font>
      <sz val="9"/>
      <color rgb="FFFF0000"/>
      <name val="Times New Roman"/>
      <family val="1"/>
    </font>
    <font>
      <sz val="12"/>
      <color theme="0"/>
      <name val="Times New Roman"/>
      <family val="1"/>
    </font>
    <font>
      <sz val="12"/>
      <color rgb="FFFF0000"/>
      <name val="Arial"/>
      <family val="2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4"/>
      <color theme="9" tint="-0.499984740745262"/>
      <name val="Times New Roman"/>
      <family val="1"/>
    </font>
    <font>
      <b/>
      <sz val="9"/>
      <color rgb="FFFF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color rgb="FFFF0000"/>
      <name val="Times New Roman"/>
      <family val="1"/>
    </font>
    <font>
      <b/>
      <i/>
      <sz val="10"/>
      <color rgb="FFFF0000"/>
      <name val="Times New Roman"/>
      <family val="1"/>
    </font>
    <font>
      <sz val="8"/>
      <color theme="1" tint="0.14996795556505021"/>
      <name val="Times New Roman"/>
      <family val="1"/>
    </font>
    <font>
      <b/>
      <i/>
      <sz val="12"/>
      <color theme="8"/>
      <name val="Arial"/>
      <family val="2"/>
    </font>
    <font>
      <sz val="10"/>
      <color theme="0"/>
      <name val="Arial"/>
      <family val="2"/>
    </font>
    <font>
      <b/>
      <sz val="16"/>
      <color theme="0"/>
      <name val="Arial"/>
      <family val="2"/>
    </font>
    <font>
      <sz val="10"/>
      <color rgb="FFC00000"/>
      <name val="Arial"/>
      <family val="2"/>
    </font>
    <font>
      <sz val="11"/>
      <color theme="0"/>
      <name val="Arial"/>
      <family val="2"/>
    </font>
    <font>
      <sz val="12"/>
      <color theme="1" tint="0.14996795556505021"/>
      <name val="Arial"/>
      <family val="2"/>
    </font>
    <font>
      <b/>
      <sz val="12"/>
      <color theme="1" tint="0.1499679555650502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Times New Roman"/>
      <family val="1"/>
    </font>
    <font>
      <b/>
      <i/>
      <u/>
      <sz val="14"/>
      <color rgb="FFC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1FFE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B050"/>
      </left>
      <right style="thin">
        <color theme="0"/>
      </right>
      <top style="medium">
        <color rgb="FF00B050"/>
      </top>
      <bottom/>
      <diagonal/>
    </border>
    <border>
      <left style="thin">
        <color theme="0"/>
      </left>
      <right style="thin">
        <color theme="0"/>
      </right>
      <top style="medium">
        <color rgb="FF00B050"/>
      </top>
      <bottom/>
      <diagonal/>
    </border>
    <border>
      <left style="thin">
        <color theme="0"/>
      </left>
      <right/>
      <top style="medium">
        <color rgb="FF00B050"/>
      </top>
      <bottom/>
      <diagonal/>
    </border>
    <border>
      <left style="thin">
        <color theme="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hair">
        <color rgb="FF00B050"/>
      </right>
      <top style="hair">
        <color rgb="FF00B050"/>
      </top>
      <bottom/>
      <diagonal/>
    </border>
    <border>
      <left style="hair">
        <color rgb="FF00B050"/>
      </left>
      <right style="hair">
        <color rgb="FF00B050"/>
      </right>
      <top style="hair">
        <color rgb="FF00B050"/>
      </top>
      <bottom/>
      <diagonal/>
    </border>
    <border>
      <left style="hair">
        <color rgb="FF00B050"/>
      </left>
      <right style="medium">
        <color rgb="FF00B050"/>
      </right>
      <top style="hair">
        <color rgb="FF00B050"/>
      </top>
      <bottom/>
      <diagonal/>
    </border>
    <border>
      <left style="medium">
        <color rgb="FF00B050"/>
      </left>
      <right style="hair">
        <color rgb="FF00B050"/>
      </right>
      <top/>
      <bottom/>
      <diagonal/>
    </border>
    <border>
      <left style="hair">
        <color rgb="FF00B050"/>
      </left>
      <right style="hair">
        <color rgb="FF00B050"/>
      </right>
      <top/>
      <bottom/>
      <diagonal/>
    </border>
    <border>
      <left style="hair">
        <color rgb="FF00B050"/>
      </left>
      <right style="medium">
        <color rgb="FF00B050"/>
      </right>
      <top/>
      <bottom/>
      <diagonal/>
    </border>
    <border>
      <left style="hair">
        <color rgb="FF00B050"/>
      </left>
      <right style="hair">
        <color rgb="FF00B050"/>
      </right>
      <top/>
      <bottom style="medium">
        <color rgb="FF00B050"/>
      </bottom>
      <diagonal/>
    </border>
    <border>
      <left style="hair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 style="double">
        <color theme="0"/>
      </top>
      <bottom style="double">
        <color theme="0"/>
      </bottom>
      <diagonal/>
    </border>
    <border>
      <left style="thin">
        <color rgb="FF00B050"/>
      </left>
      <right style="hair">
        <color rgb="FF00B050"/>
      </right>
      <top/>
      <bottom style="hair">
        <color rgb="FF00B050"/>
      </bottom>
      <diagonal/>
    </border>
    <border>
      <left style="hair">
        <color rgb="FF00B050"/>
      </left>
      <right style="hair">
        <color rgb="FF00B050"/>
      </right>
      <top/>
      <bottom style="hair">
        <color rgb="FF00B050"/>
      </bottom>
      <diagonal/>
    </border>
    <border>
      <left style="medium">
        <color rgb="FF00B050"/>
      </left>
      <right/>
      <top/>
      <bottom style="hair">
        <color rgb="FF00B050"/>
      </bottom>
      <diagonal/>
    </border>
    <border>
      <left style="medium">
        <color rgb="FF00B050"/>
      </left>
      <right/>
      <top style="hair">
        <color rgb="FF00B050"/>
      </top>
      <bottom style="hair">
        <color rgb="FF00B050"/>
      </bottom>
      <diagonal/>
    </border>
    <border>
      <left style="thin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00B050"/>
      </bottom>
      <diagonal/>
    </border>
    <border>
      <left style="double">
        <color rgb="FF00B050"/>
      </left>
      <right/>
      <top style="double">
        <color rgb="FF00B050"/>
      </top>
      <bottom style="double">
        <color theme="0"/>
      </bottom>
      <diagonal/>
    </border>
    <border>
      <left/>
      <right/>
      <top style="double">
        <color rgb="FF00B050"/>
      </top>
      <bottom style="double">
        <color theme="0"/>
      </bottom>
      <diagonal/>
    </border>
    <border>
      <left style="double">
        <color theme="0"/>
      </left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 style="thin">
        <color rgb="FF00B050"/>
      </right>
      <top style="double">
        <color rgb="FF00B050"/>
      </top>
      <bottom/>
      <diagonal/>
    </border>
    <border>
      <left style="double">
        <color theme="0"/>
      </left>
      <right style="double">
        <color rgb="FF00B050"/>
      </right>
      <top/>
      <bottom style="double">
        <color theme="0"/>
      </bottom>
      <diagonal/>
    </border>
    <border>
      <left style="double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 style="hair">
        <color rgb="FF00B050"/>
      </right>
      <top style="double">
        <color theme="0"/>
      </top>
      <bottom/>
      <diagonal/>
    </border>
    <border>
      <left style="hair">
        <color rgb="FF00B050"/>
      </left>
      <right style="hair">
        <color rgb="FF00B050"/>
      </right>
      <top style="double">
        <color theme="0"/>
      </top>
      <bottom/>
      <diagonal/>
    </border>
    <border>
      <left style="thin">
        <color rgb="FF00B050"/>
      </left>
      <right style="hair">
        <color rgb="FF00B050"/>
      </right>
      <top/>
      <bottom/>
      <diagonal/>
    </border>
    <border>
      <left style="hair">
        <color rgb="FF00B050"/>
      </left>
      <right/>
      <top/>
      <bottom/>
      <diagonal/>
    </border>
    <border>
      <left style="double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double">
        <color rgb="FF00B050"/>
      </left>
      <right style="double">
        <color rgb="FF00B050"/>
      </right>
      <top style="thin">
        <color rgb="FF00B050"/>
      </top>
      <bottom style="thin">
        <color rgb="FF00B050"/>
      </bottom>
      <diagonal/>
    </border>
    <border>
      <left style="double">
        <color rgb="FF00B050"/>
      </left>
      <right style="thin">
        <color rgb="FF00B050"/>
      </right>
      <top/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hair">
        <color rgb="FF00B050"/>
      </right>
      <top style="thin">
        <color rgb="FF00B050"/>
      </top>
      <bottom/>
      <diagonal/>
    </border>
    <border>
      <left style="hair">
        <color rgb="FF00B050"/>
      </left>
      <right style="hair">
        <color rgb="FF00B050"/>
      </right>
      <top style="thin">
        <color rgb="FF00B050"/>
      </top>
      <bottom/>
      <diagonal/>
    </border>
    <border>
      <left style="hair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 style="double">
        <color rgb="FF00B050"/>
      </left>
      <right/>
      <top/>
      <bottom style="double">
        <color rgb="FF00B050"/>
      </bottom>
      <diagonal/>
    </border>
    <border>
      <left style="double">
        <color rgb="FF00B050"/>
      </left>
      <right style="double">
        <color rgb="FF00B050"/>
      </right>
      <top/>
      <bottom style="double">
        <color rgb="FF00B050"/>
      </bottom>
      <diagonal/>
    </border>
    <border>
      <left/>
      <right style="double">
        <color rgb="FF00B050"/>
      </right>
      <top/>
      <bottom style="double">
        <color rgb="FF00B050"/>
      </bottom>
      <diagonal/>
    </border>
    <border>
      <left/>
      <right/>
      <top style="double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uble">
        <color rgb="FF00B050"/>
      </left>
      <right style="dotted">
        <color rgb="FF00B050"/>
      </right>
      <top style="double">
        <color rgb="FF00B050"/>
      </top>
      <bottom/>
      <diagonal/>
    </border>
    <border>
      <left style="dotted">
        <color rgb="FF00B050"/>
      </left>
      <right style="dotted">
        <color rgb="FF00B050"/>
      </right>
      <top style="double">
        <color rgb="FF00B050"/>
      </top>
      <bottom/>
      <diagonal/>
    </border>
    <border>
      <left style="dotted">
        <color rgb="FF00B050"/>
      </left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 style="dotted">
        <color rgb="FF00B050"/>
      </right>
      <top/>
      <bottom/>
      <diagonal/>
    </border>
    <border>
      <left style="dotted">
        <color rgb="FF00B050"/>
      </left>
      <right style="dotted">
        <color rgb="FF00B050"/>
      </right>
      <top/>
      <bottom/>
      <diagonal/>
    </border>
    <border>
      <left style="double">
        <color rgb="FF00B050"/>
      </left>
      <right style="dotted">
        <color rgb="FF00B050"/>
      </right>
      <top/>
      <bottom style="double">
        <color rgb="FF00B050"/>
      </bottom>
      <diagonal/>
    </border>
    <border>
      <left style="dotted">
        <color rgb="FF00B050"/>
      </left>
      <right style="dotted">
        <color rgb="FF00B050"/>
      </right>
      <top/>
      <bottom style="double">
        <color rgb="FF00B050"/>
      </bottom>
      <diagonal/>
    </border>
    <border>
      <left style="thin">
        <color rgb="FF00B050"/>
      </left>
      <right style="double">
        <color rgb="FF00B050"/>
      </right>
      <top/>
      <bottom style="hair">
        <color rgb="FF00B050"/>
      </bottom>
      <diagonal/>
    </border>
    <border>
      <left style="thin">
        <color rgb="FF00B050"/>
      </left>
      <right style="double">
        <color rgb="FF00B050"/>
      </right>
      <top style="hair">
        <color rgb="FF00B050"/>
      </top>
      <bottom style="hair">
        <color rgb="FF00B050"/>
      </bottom>
      <diagonal/>
    </border>
    <border>
      <left style="double">
        <color rgb="FF92D050"/>
      </left>
      <right/>
      <top style="double">
        <color rgb="FF92D050"/>
      </top>
      <bottom/>
      <diagonal/>
    </border>
    <border>
      <left/>
      <right/>
      <top style="double">
        <color rgb="FF92D050"/>
      </top>
      <bottom/>
      <diagonal/>
    </border>
    <border>
      <left/>
      <right style="double">
        <color rgb="FF92D050"/>
      </right>
      <top style="double">
        <color rgb="FF92D050"/>
      </top>
      <bottom/>
      <diagonal/>
    </border>
    <border>
      <left style="double">
        <color rgb="FF92D050"/>
      </left>
      <right/>
      <top/>
      <bottom/>
      <diagonal/>
    </border>
    <border>
      <left/>
      <right style="double">
        <color rgb="FF92D050"/>
      </right>
      <top/>
      <bottom/>
      <diagonal/>
    </border>
    <border>
      <left style="double">
        <color rgb="FF92D050"/>
      </left>
      <right/>
      <top/>
      <bottom style="double">
        <color rgb="FF92D050"/>
      </bottom>
      <diagonal/>
    </border>
    <border>
      <left/>
      <right/>
      <top/>
      <bottom style="double">
        <color rgb="FF92D050"/>
      </bottom>
      <diagonal/>
    </border>
    <border>
      <left/>
      <right style="double">
        <color rgb="FF92D050"/>
      </right>
      <top/>
      <bottom style="double">
        <color rgb="FF92D050"/>
      </bottom>
      <diagonal/>
    </border>
    <border>
      <left style="double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double">
        <color theme="0"/>
      </left>
      <right style="double">
        <color theme="0"/>
      </right>
      <top/>
      <bottom/>
      <diagonal/>
    </border>
    <border>
      <left style="thin">
        <color theme="0" tint="-4.9989318521683403E-2"/>
      </left>
      <right style="double">
        <color theme="0"/>
      </right>
      <top/>
      <bottom/>
      <diagonal/>
    </border>
    <border>
      <left/>
      <right style="double">
        <color theme="0"/>
      </right>
      <top/>
      <bottom/>
      <diagonal/>
    </border>
    <border>
      <left/>
      <right style="double">
        <color rgb="FF52CE7B"/>
      </right>
      <top/>
      <bottom/>
      <diagonal/>
    </border>
    <border>
      <left/>
      <right style="dotted">
        <color rgb="FF00B050"/>
      </right>
      <top style="double">
        <color rgb="FF00B050"/>
      </top>
      <bottom/>
      <diagonal/>
    </border>
    <border>
      <left/>
      <right style="dotted">
        <color rgb="FF00B050"/>
      </right>
      <top/>
      <bottom/>
      <diagonal/>
    </border>
    <border>
      <left/>
      <right style="dotted">
        <color rgb="FF00B050"/>
      </right>
      <top/>
      <bottom style="double">
        <color rgb="FF00B050"/>
      </bottom>
      <diagonal/>
    </border>
    <border>
      <left style="double">
        <color theme="0"/>
      </left>
      <right style="double">
        <color theme="0"/>
      </right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/>
      <bottom/>
      <diagonal/>
    </border>
    <border>
      <left style="double">
        <color rgb="FF92D050"/>
      </left>
      <right/>
      <top style="double">
        <color rgb="FF92D050"/>
      </top>
      <bottom style="thin">
        <color rgb="FF00B050"/>
      </bottom>
      <diagonal/>
    </border>
    <border>
      <left style="double">
        <color theme="0"/>
      </left>
      <right style="double">
        <color theme="0"/>
      </right>
      <top/>
      <bottom style="double">
        <color rgb="FF92D050"/>
      </bottom>
      <diagonal/>
    </border>
    <border>
      <left/>
      <right style="double">
        <color theme="0"/>
      </right>
      <top/>
      <bottom style="double">
        <color rgb="FF92D050"/>
      </bottom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rgb="FF92D050"/>
      </top>
      <bottom/>
      <diagonal/>
    </border>
    <border>
      <left style="double">
        <color theme="0" tint="-4.9989318521683403E-2"/>
      </left>
      <right style="double">
        <color rgb="FF92D050"/>
      </right>
      <top style="double">
        <color rgb="FF92D050"/>
      </top>
      <bottom/>
      <diagonal/>
    </border>
    <border>
      <left style="double">
        <color theme="0"/>
      </left>
      <right style="double">
        <color rgb="FF92D050"/>
      </right>
      <top/>
      <bottom/>
      <diagonal/>
    </border>
    <border>
      <left style="thin">
        <color theme="0" tint="-4.9989318521683403E-2"/>
      </left>
      <right style="double">
        <color rgb="FF92D050"/>
      </right>
      <top/>
      <bottom/>
      <diagonal/>
    </border>
    <border>
      <left style="double">
        <color theme="0"/>
      </left>
      <right style="double">
        <color rgb="FF92D050"/>
      </right>
      <top/>
      <bottom style="double">
        <color rgb="FF92D050"/>
      </bottom>
      <diagonal/>
    </border>
    <border>
      <left style="double">
        <color theme="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thin">
        <color theme="0"/>
      </left>
      <right/>
      <top style="double">
        <color theme="0"/>
      </top>
      <bottom style="double">
        <color theme="0"/>
      </bottom>
      <diagonal/>
    </border>
    <border>
      <left style="hair">
        <color rgb="FF00B050"/>
      </left>
      <right/>
      <top/>
      <bottom style="hair">
        <color rgb="FF00B050"/>
      </bottom>
      <diagonal/>
    </border>
    <border>
      <left style="hair">
        <color rgb="FF00B050"/>
      </left>
      <right/>
      <top style="hair">
        <color rgb="FF00B050"/>
      </top>
      <bottom style="hair">
        <color rgb="FF00B050"/>
      </bottom>
      <diagonal/>
    </border>
    <border>
      <left/>
      <right style="thin">
        <color theme="0"/>
      </right>
      <top style="double">
        <color theme="0"/>
      </top>
      <bottom style="double">
        <color theme="0"/>
      </bottom>
      <diagonal/>
    </border>
    <border>
      <left style="double">
        <color rgb="FF00B050"/>
      </left>
      <right style="thin">
        <color theme="0"/>
      </right>
      <top style="double">
        <color theme="0"/>
      </top>
      <bottom style="double">
        <color theme="0"/>
      </bottom>
      <diagonal/>
    </border>
    <border>
      <left style="thin">
        <color theme="0"/>
      </left>
      <right style="double">
        <color rgb="FF00B050"/>
      </right>
      <top style="double">
        <color theme="0"/>
      </top>
      <bottom style="double">
        <color theme="0"/>
      </bottom>
      <diagonal/>
    </border>
    <border>
      <left style="double">
        <color rgb="FF00B050"/>
      </left>
      <right style="hair">
        <color rgb="FF00B050"/>
      </right>
      <top/>
      <bottom style="hair">
        <color rgb="FF00B050"/>
      </bottom>
      <diagonal/>
    </border>
    <border>
      <left style="double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thin">
        <color theme="0"/>
      </left>
      <right style="medium">
        <color rgb="FF00B050"/>
      </right>
      <top style="double">
        <color theme="0"/>
      </top>
      <bottom style="double">
        <color theme="0"/>
      </bottom>
      <diagonal/>
    </border>
    <border>
      <left style="double">
        <color rgb="FF00B050"/>
      </left>
      <right style="dotted">
        <color rgb="FF00B050"/>
      </right>
      <top/>
      <bottom style="hair">
        <color rgb="FF00B050"/>
      </bottom>
      <diagonal/>
    </border>
    <border>
      <left style="dotted">
        <color rgb="FF00B050"/>
      </left>
      <right style="dotted">
        <color rgb="FF00B050"/>
      </right>
      <top/>
      <bottom style="hair">
        <color rgb="FF00B050"/>
      </bottom>
      <diagonal/>
    </border>
    <border>
      <left style="dotted">
        <color rgb="FF00B050"/>
      </left>
      <right style="medium">
        <color rgb="FF00B050"/>
      </right>
      <top/>
      <bottom style="hair">
        <color rgb="FF00B050"/>
      </bottom>
      <diagonal/>
    </border>
    <border>
      <left style="double">
        <color rgb="FF00B050"/>
      </left>
      <right style="dotted">
        <color rgb="FF00B050"/>
      </right>
      <top style="hair">
        <color rgb="FF00B050"/>
      </top>
      <bottom style="hair">
        <color rgb="FF00B050"/>
      </bottom>
      <diagonal/>
    </border>
    <border>
      <left style="dotted">
        <color rgb="FF00B050"/>
      </left>
      <right style="dotted">
        <color rgb="FF00B050"/>
      </right>
      <top style="hair">
        <color rgb="FF00B050"/>
      </top>
      <bottom style="hair">
        <color rgb="FF00B050"/>
      </bottom>
      <diagonal/>
    </border>
    <border>
      <left style="dotted">
        <color rgb="FF00B050"/>
      </left>
      <right style="medium">
        <color rgb="FF00B050"/>
      </right>
      <top style="hair">
        <color rgb="FF00B050"/>
      </top>
      <bottom style="hair">
        <color rgb="FF00B050"/>
      </bottom>
      <diagonal/>
    </border>
    <border>
      <left style="double">
        <color rgb="FF00B050"/>
      </left>
      <right style="hair">
        <color rgb="FF00B050"/>
      </right>
      <top style="double">
        <color theme="0"/>
      </top>
      <bottom style="thin">
        <color rgb="FF00B050"/>
      </bottom>
      <diagonal/>
    </border>
    <border>
      <left style="thin">
        <color rgb="FF00B050"/>
      </left>
      <right style="hair">
        <color rgb="FF00B050"/>
      </right>
      <top style="double">
        <color theme="0"/>
      </top>
      <bottom style="thin">
        <color rgb="FF00B050"/>
      </bottom>
      <diagonal/>
    </border>
    <border>
      <left style="thin">
        <color rgb="FF00B050"/>
      </left>
      <right style="double">
        <color rgb="FF00B050"/>
      </right>
      <top style="double">
        <color theme="0"/>
      </top>
      <bottom style="thin">
        <color rgb="FF00B050"/>
      </bottom>
      <diagonal/>
    </border>
    <border>
      <left style="double">
        <color rgb="FF00B050"/>
      </left>
      <right style="dotted">
        <color rgb="FF00B050"/>
      </right>
      <top style="double">
        <color theme="0"/>
      </top>
      <bottom style="thin">
        <color rgb="FF00B050"/>
      </bottom>
      <diagonal/>
    </border>
    <border>
      <left style="dotted">
        <color rgb="FF00B050"/>
      </left>
      <right style="dotted">
        <color rgb="FF00B050"/>
      </right>
      <top style="double">
        <color theme="0"/>
      </top>
      <bottom style="thin">
        <color rgb="FF00B050"/>
      </bottom>
      <diagonal/>
    </border>
    <border>
      <left style="dotted">
        <color rgb="FF00B050"/>
      </left>
      <right style="medium">
        <color rgb="FF00B050"/>
      </right>
      <top style="double">
        <color theme="0"/>
      </top>
      <bottom style="thin">
        <color rgb="FF00B050"/>
      </bottom>
      <diagonal/>
    </border>
    <border>
      <left style="thin">
        <color rgb="FF00B050"/>
      </left>
      <right style="hair">
        <color rgb="FF00B050"/>
      </right>
      <top/>
      <bottom style="thin">
        <color rgb="FF00B050"/>
      </bottom>
      <diagonal/>
    </border>
    <border>
      <left style="hair">
        <color rgb="FF00B050"/>
      </left>
      <right style="hair">
        <color rgb="FF00B050"/>
      </right>
      <top/>
      <bottom style="thin">
        <color rgb="FF00B050"/>
      </bottom>
      <diagonal/>
    </border>
    <border>
      <left/>
      <right style="double">
        <color rgb="FF00B050"/>
      </right>
      <top style="double">
        <color theme="0"/>
      </top>
      <bottom/>
      <diagonal/>
    </border>
    <border>
      <left/>
      <right style="double">
        <color rgb="FF00B050"/>
      </right>
      <top/>
      <bottom/>
      <diagonal/>
    </border>
    <border>
      <left style="thin">
        <color rgb="FF00B050"/>
      </left>
      <right style="double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92D050"/>
      </left>
      <right style="thin">
        <color theme="0" tint="-0.14996795556505021"/>
      </right>
      <top style="thin">
        <color rgb="FF92D050"/>
      </top>
      <bottom/>
      <diagonal/>
    </border>
    <border>
      <left style="thin">
        <color rgb="FF92D050"/>
      </left>
      <right style="thin">
        <color theme="0" tint="-0.14996795556505021"/>
      </right>
      <top/>
      <bottom/>
      <diagonal/>
    </border>
    <border>
      <left style="thin">
        <color rgb="FF92D050"/>
      </left>
      <right style="thin">
        <color theme="0" tint="-0.14996795556505021"/>
      </right>
      <top/>
      <bottom style="thin">
        <color rgb="FF92D050"/>
      </bottom>
      <diagonal/>
    </border>
    <border>
      <left/>
      <right/>
      <top style="thin">
        <color auto="1"/>
      </top>
      <bottom style="thin">
        <color rgb="FF92D050"/>
      </bottom>
      <diagonal/>
    </border>
    <border>
      <left style="thin">
        <color rgb="FF92D050"/>
      </left>
      <right style="dotted">
        <color rgb="FF92D050"/>
      </right>
      <top style="thin">
        <color rgb="FF92D050"/>
      </top>
      <bottom/>
      <diagonal/>
    </border>
    <border>
      <left style="dotted">
        <color rgb="FF92D050"/>
      </left>
      <right style="dotted">
        <color rgb="FF92D050"/>
      </right>
      <top style="thin">
        <color rgb="FF92D050"/>
      </top>
      <bottom/>
      <diagonal/>
    </border>
    <border>
      <left style="dotted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dotted">
        <color rgb="FF92D050"/>
      </right>
      <top/>
      <bottom/>
      <diagonal/>
    </border>
    <border>
      <left style="dotted">
        <color rgb="FF92D050"/>
      </left>
      <right style="dotted">
        <color rgb="FF92D050"/>
      </right>
      <top/>
      <bottom/>
      <diagonal/>
    </border>
    <border>
      <left style="dotted">
        <color rgb="FF92D050"/>
      </left>
      <right style="thin">
        <color rgb="FF92D050"/>
      </right>
      <top/>
      <bottom/>
      <diagonal/>
    </border>
    <border>
      <left style="thin">
        <color rgb="FF92D050"/>
      </left>
      <right style="dotted">
        <color rgb="FF92D050"/>
      </right>
      <top/>
      <bottom style="thin">
        <color rgb="FF92D050"/>
      </bottom>
      <diagonal/>
    </border>
    <border>
      <left style="dotted">
        <color rgb="FF92D050"/>
      </left>
      <right style="dotted">
        <color rgb="FF92D050"/>
      </right>
      <top/>
      <bottom style="thin">
        <color rgb="FF92D050"/>
      </bottom>
      <diagonal/>
    </border>
    <border>
      <left style="dotted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00B050"/>
      </left>
      <right style="double">
        <color rgb="FF00B050"/>
      </right>
      <top/>
      <bottom style="double">
        <color rgb="FF00B050"/>
      </bottom>
      <diagonal/>
    </border>
    <border>
      <left style="dotted">
        <color rgb="FF00B050"/>
      </left>
      <right/>
      <top/>
      <bottom/>
      <diagonal/>
    </border>
    <border>
      <left style="dotted">
        <color rgb="FF00B050"/>
      </left>
      <right/>
      <top/>
      <bottom style="double">
        <color rgb="FF00B050"/>
      </bottom>
      <diagonal/>
    </border>
    <border>
      <left style="thin">
        <color rgb="FF00B050"/>
      </left>
      <right style="double">
        <color rgb="FF00B050"/>
      </right>
      <top/>
      <bottom/>
      <diagonal/>
    </border>
  </borders>
  <cellStyleXfs count="31">
    <xf numFmtId="0" fontId="0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3" borderId="1" applyNumberFormat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2" fillId="0" borderId="0">
      <alignment vertical="center"/>
    </xf>
    <xf numFmtId="164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385">
    <xf numFmtId="0" fontId="0" fillId="0" borderId="0" xfId="0"/>
    <xf numFmtId="0" fontId="9" fillId="0" borderId="0" xfId="18" applyFont="1"/>
    <xf numFmtId="0" fontId="3" fillId="0" borderId="0" xfId="18"/>
    <xf numFmtId="0" fontId="9" fillId="0" borderId="0" xfId="18" applyFont="1" applyAlignment="1">
      <alignment horizontal="center"/>
    </xf>
    <xf numFmtId="0" fontId="13" fillId="8" borderId="2" xfId="18" applyFont="1" applyFill="1" applyBorder="1" applyAlignment="1">
      <alignment horizontal="center" vertical="center" wrapText="1"/>
    </xf>
    <xf numFmtId="0" fontId="15" fillId="8" borderId="3" xfId="18" applyFont="1" applyFill="1" applyBorder="1" applyAlignment="1">
      <alignment horizontal="center" vertical="center" wrapText="1"/>
    </xf>
    <xf numFmtId="0" fontId="15" fillId="8" borderId="4" xfId="18" applyFont="1" applyFill="1" applyBorder="1" applyAlignment="1">
      <alignment horizontal="center" vertical="center" wrapText="1"/>
    </xf>
    <xf numFmtId="0" fontId="15" fillId="8" borderId="5" xfId="18" applyFont="1" applyFill="1" applyBorder="1" applyAlignment="1">
      <alignment horizontal="center" vertical="center" wrapText="1"/>
    </xf>
    <xf numFmtId="0" fontId="3" fillId="0" borderId="0" xfId="18" applyAlignment="1">
      <alignment horizontal="center"/>
    </xf>
    <xf numFmtId="0" fontId="16" fillId="0" borderId="6" xfId="18" quotePrefix="1" applyFont="1" applyBorder="1" applyAlignment="1">
      <alignment horizontal="center"/>
    </xf>
    <xf numFmtId="14" fontId="16" fillId="0" borderId="7" xfId="18" applyNumberFormat="1" applyFont="1" applyBorder="1" applyAlignment="1">
      <alignment horizontal="center"/>
    </xf>
    <xf numFmtId="0" fontId="16" fillId="0" borderId="7" xfId="18" applyFont="1" applyBorder="1" applyAlignment="1">
      <alignment horizontal="left"/>
    </xf>
    <xf numFmtId="0" fontId="16" fillId="0" borderId="7" xfId="18" applyFont="1" applyBorder="1" applyAlignment="1">
      <alignment horizontal="left" indent="1"/>
    </xf>
    <xf numFmtId="0" fontId="17" fillId="0" borderId="7" xfId="18" applyFont="1" applyBorder="1"/>
    <xf numFmtId="14" fontId="17" fillId="0" borderId="7" xfId="18" applyNumberFormat="1" applyFont="1" applyBorder="1"/>
    <xf numFmtId="1" fontId="17" fillId="0" borderId="7" xfId="18" applyNumberFormat="1" applyFont="1" applyBorder="1"/>
    <xf numFmtId="0" fontId="17" fillId="0" borderId="7" xfId="18" applyFont="1" applyBorder="1" applyAlignment="1">
      <alignment horizontal="center" vertical="center"/>
    </xf>
    <xf numFmtId="0" fontId="17" fillId="0" borderId="8" xfId="18" applyFont="1" applyBorder="1" applyAlignment="1">
      <alignment horizontal="center" vertical="center"/>
    </xf>
    <xf numFmtId="0" fontId="16" fillId="0" borderId="9" xfId="18" quotePrefix="1" applyFont="1" applyBorder="1" applyAlignment="1">
      <alignment horizontal="center"/>
    </xf>
    <xf numFmtId="14" fontId="16" fillId="0" borderId="10" xfId="18" applyNumberFormat="1" applyFont="1" applyBorder="1" applyAlignment="1">
      <alignment horizontal="center"/>
    </xf>
    <xf numFmtId="0" fontId="16" fillId="0" borderId="10" xfId="18" applyFont="1" applyBorder="1" applyAlignment="1">
      <alignment horizontal="left"/>
    </xf>
    <xf numFmtId="0" fontId="16" fillId="0" borderId="10" xfId="18" applyFont="1" applyBorder="1" applyAlignment="1">
      <alignment horizontal="left" indent="1"/>
    </xf>
    <xf numFmtId="0" fontId="17" fillId="0" borderId="10" xfId="18" applyFont="1" applyBorder="1"/>
    <xf numFmtId="14" fontId="17" fillId="0" borderId="10" xfId="18" applyNumberFormat="1" applyFont="1" applyBorder="1"/>
    <xf numFmtId="1" fontId="17" fillId="0" borderId="10" xfId="18" applyNumberFormat="1" applyFont="1" applyBorder="1"/>
    <xf numFmtId="0" fontId="17" fillId="0" borderId="10" xfId="18" applyFont="1" applyBorder="1" applyAlignment="1">
      <alignment horizontal="center" vertical="center"/>
    </xf>
    <xf numFmtId="0" fontId="17" fillId="0" borderId="11" xfId="18" applyFont="1" applyBorder="1" applyAlignment="1">
      <alignment horizontal="center" vertical="center"/>
    </xf>
    <xf numFmtId="14" fontId="16" fillId="0" borderId="10" xfId="18" applyNumberFormat="1" applyFont="1" applyBorder="1"/>
    <xf numFmtId="14" fontId="16" fillId="0" borderId="12" xfId="18" applyNumberFormat="1" applyFont="1" applyBorder="1"/>
    <xf numFmtId="0" fontId="16" fillId="0" borderId="12" xfId="18" applyFont="1" applyBorder="1" applyAlignment="1">
      <alignment horizontal="left"/>
    </xf>
    <xf numFmtId="0" fontId="16" fillId="0" borderId="12" xfId="18" applyFont="1" applyBorder="1" applyAlignment="1">
      <alignment horizontal="left" indent="1"/>
    </xf>
    <xf numFmtId="0" fontId="17" fillId="0" borderId="12" xfId="18" applyFont="1" applyBorder="1"/>
    <xf numFmtId="14" fontId="17" fillId="0" borderId="12" xfId="18" applyNumberFormat="1" applyFont="1" applyBorder="1"/>
    <xf numFmtId="1" fontId="17" fillId="0" borderId="12" xfId="18" applyNumberFormat="1" applyFont="1" applyBorder="1"/>
    <xf numFmtId="0" fontId="17" fillId="0" borderId="12" xfId="18" applyFont="1" applyBorder="1" applyAlignment="1">
      <alignment horizontal="center" vertical="center"/>
    </xf>
    <xf numFmtId="0" fontId="17" fillId="0" borderId="13" xfId="18" applyFont="1" applyBorder="1" applyAlignment="1">
      <alignment horizontal="center" vertical="center"/>
    </xf>
    <xf numFmtId="14" fontId="3" fillId="0" borderId="0" xfId="18" applyNumberFormat="1" applyAlignment="1">
      <alignment horizontal="center"/>
    </xf>
    <xf numFmtId="0" fontId="22" fillId="0" borderId="0" xfId="18" applyFont="1" applyAlignment="1">
      <alignment horizontal="center" vertical="center"/>
    </xf>
    <xf numFmtId="0" fontId="22" fillId="0" borderId="0" xfId="18" applyFont="1" applyAlignment="1">
      <alignment vertical="center"/>
    </xf>
    <xf numFmtId="14" fontId="22" fillId="0" borderId="0" xfId="18" applyNumberFormat="1" applyFont="1" applyAlignment="1">
      <alignment horizontal="center" vertical="center"/>
    </xf>
    <xf numFmtId="4" fontId="23" fillId="0" borderId="0" xfId="18" applyNumberFormat="1" applyFont="1" applyAlignment="1" applyProtection="1">
      <alignment horizontal="center" vertical="center"/>
      <protection locked="0"/>
    </xf>
    <xf numFmtId="49" fontId="22" fillId="0" borderId="0" xfId="18" applyNumberFormat="1" applyFont="1" applyAlignment="1">
      <alignment horizontal="center" vertical="center"/>
    </xf>
    <xf numFmtId="49" fontId="22" fillId="0" borderId="0" xfId="18" applyNumberFormat="1" applyFont="1" applyAlignment="1">
      <alignment vertical="center"/>
    </xf>
    <xf numFmtId="0" fontId="24" fillId="0" borderId="0" xfId="18" applyFont="1" applyAlignment="1">
      <alignment vertical="center"/>
    </xf>
    <xf numFmtId="49" fontId="25" fillId="0" borderId="0" xfId="18" applyNumberFormat="1" applyFont="1" applyAlignment="1">
      <alignment horizontal="center" vertical="center"/>
    </xf>
    <xf numFmtId="49" fontId="26" fillId="8" borderId="15" xfId="18" applyNumberFormat="1" applyFont="1" applyFill="1" applyBorder="1" applyAlignment="1">
      <alignment vertical="center"/>
    </xf>
    <xf numFmtId="49" fontId="26" fillId="8" borderId="16" xfId="18" applyNumberFormat="1" applyFont="1" applyFill="1" applyBorder="1" applyAlignment="1">
      <alignment vertical="center"/>
    </xf>
    <xf numFmtId="49" fontId="26" fillId="8" borderId="17" xfId="18" applyNumberFormat="1" applyFont="1" applyFill="1" applyBorder="1" applyAlignment="1">
      <alignment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vertical="center"/>
    </xf>
    <xf numFmtId="14" fontId="25" fillId="0" borderId="0" xfId="18" applyNumberFormat="1" applyFont="1" applyAlignment="1">
      <alignment horizontal="center" vertical="center"/>
    </xf>
    <xf numFmtId="169" fontId="27" fillId="8" borderId="18" xfId="18" applyNumberFormat="1" applyFont="1" applyFill="1" applyBorder="1" applyAlignment="1" applyProtection="1">
      <alignment horizontal="center" vertical="center" wrapText="1"/>
      <protection locked="0"/>
    </xf>
    <xf numFmtId="0" fontId="28" fillId="0" borderId="0" xfId="18" applyFont="1" applyAlignment="1">
      <alignment vertical="center" wrapText="1"/>
    </xf>
    <xf numFmtId="0" fontId="25" fillId="5" borderId="21" xfId="18" applyFont="1" applyFill="1" applyBorder="1" applyAlignment="1">
      <alignment horizontal="center" vertical="center"/>
    </xf>
    <xf numFmtId="0" fontId="25" fillId="5" borderId="20" xfId="18" applyFont="1" applyFill="1" applyBorder="1" applyAlignment="1">
      <alignment horizontal="center" vertical="center"/>
    </xf>
    <xf numFmtId="164" fontId="25" fillId="5" borderId="19" xfId="19" applyFont="1" applyFill="1" applyBorder="1" applyAlignment="1" applyProtection="1">
      <alignment horizontal="center" vertical="center"/>
      <protection locked="0"/>
    </xf>
    <xf numFmtId="0" fontId="25" fillId="5" borderId="22" xfId="18" applyFont="1" applyFill="1" applyBorder="1" applyAlignment="1">
      <alignment horizontal="center" vertical="center"/>
    </xf>
    <xf numFmtId="0" fontId="25" fillId="5" borderId="14" xfId="18" applyFont="1" applyFill="1" applyBorder="1" applyAlignment="1">
      <alignment horizontal="center" vertical="center"/>
    </xf>
    <xf numFmtId="164" fontId="25" fillId="5" borderId="23" xfId="19" applyFont="1" applyFill="1" applyBorder="1" applyAlignment="1" applyProtection="1">
      <alignment horizontal="center" vertical="center"/>
      <protection locked="0"/>
    </xf>
    <xf numFmtId="0" fontId="25" fillId="5" borderId="14" xfId="18" applyFont="1" applyFill="1" applyBorder="1" applyAlignment="1">
      <alignment vertical="center"/>
    </xf>
    <xf numFmtId="0" fontId="28" fillId="0" borderId="0" xfId="18" applyFont="1" applyAlignment="1">
      <alignment vertical="center"/>
    </xf>
    <xf numFmtId="4" fontId="25" fillId="0" borderId="0" xfId="18" applyNumberFormat="1" applyFont="1" applyAlignment="1" applyProtection="1">
      <alignment horizontal="center" vertical="center"/>
      <protection locked="0"/>
    </xf>
    <xf numFmtId="164" fontId="25" fillId="0" borderId="0" xfId="19" applyFont="1" applyAlignment="1">
      <alignment horizontal="center" vertical="center"/>
    </xf>
    <xf numFmtId="164" fontId="25" fillId="0" borderId="0" xfId="19" applyFont="1" applyAlignment="1">
      <alignment vertical="center"/>
    </xf>
    <xf numFmtId="49" fontId="25" fillId="0" borderId="0" xfId="18" applyNumberFormat="1" applyFont="1" applyAlignment="1">
      <alignment vertical="center"/>
    </xf>
    <xf numFmtId="0" fontId="29" fillId="0" borderId="0" xfId="18" applyFont="1" applyAlignment="1">
      <alignment vertical="center"/>
    </xf>
    <xf numFmtId="49" fontId="22" fillId="6" borderId="0" xfId="18" applyNumberFormat="1" applyFont="1" applyFill="1" applyAlignment="1">
      <alignment horizontal="center" vertical="center"/>
    </xf>
    <xf numFmtId="4" fontId="23" fillId="5" borderId="0" xfId="18" applyNumberFormat="1" applyFont="1" applyFill="1" applyAlignment="1" applyProtection="1">
      <alignment horizontal="center" vertical="center"/>
      <protection locked="0"/>
    </xf>
    <xf numFmtId="0" fontId="33" fillId="0" borderId="0" xfId="20" applyFont="1">
      <alignment vertical="center"/>
    </xf>
    <xf numFmtId="164" fontId="33" fillId="0" borderId="0" xfId="21" applyFont="1" applyAlignment="1">
      <alignment vertical="center"/>
    </xf>
    <xf numFmtId="0" fontId="33" fillId="0" borderId="25" xfId="20" applyFont="1" applyBorder="1">
      <alignment vertical="center"/>
    </xf>
    <xf numFmtId="3" fontId="33" fillId="0" borderId="0" xfId="20" applyNumberFormat="1" applyFont="1">
      <alignment vertical="center"/>
    </xf>
    <xf numFmtId="0" fontId="35" fillId="9" borderId="46" xfId="20" applyFont="1" applyFill="1" applyBorder="1" applyAlignment="1">
      <alignment horizontal="right" vertical="center" indent="8"/>
    </xf>
    <xf numFmtId="3" fontId="35" fillId="9" borderId="47" xfId="20" applyNumberFormat="1" applyFont="1" applyFill="1" applyBorder="1" applyAlignment="1">
      <alignment horizontal="center" vertical="center"/>
    </xf>
    <xf numFmtId="3" fontId="35" fillId="9" borderId="48" xfId="20" applyNumberFormat="1" applyFont="1" applyFill="1" applyBorder="1" applyAlignment="1">
      <alignment horizontal="center" vertical="center"/>
    </xf>
    <xf numFmtId="3" fontId="35" fillId="8" borderId="48" xfId="20" applyNumberFormat="1" applyFont="1" applyFill="1" applyBorder="1" applyAlignment="1">
      <alignment horizontal="center" vertical="center"/>
    </xf>
    <xf numFmtId="170" fontId="33" fillId="0" borderId="0" xfId="22" applyNumberFormat="1" applyFont="1" applyAlignment="1">
      <alignment vertical="center"/>
    </xf>
    <xf numFmtId="0" fontId="36" fillId="0" borderId="0" xfId="20" applyFont="1">
      <alignment vertical="center"/>
    </xf>
    <xf numFmtId="0" fontId="36" fillId="0" borderId="0" xfId="20" applyFont="1" applyAlignment="1">
      <alignment horizontal="right" vertical="center"/>
    </xf>
    <xf numFmtId="3" fontId="36" fillId="0" borderId="0" xfId="20" applyNumberFormat="1" applyFont="1">
      <alignment vertical="center"/>
    </xf>
    <xf numFmtId="170" fontId="36" fillId="0" borderId="0" xfId="22" applyNumberFormat="1" applyFont="1" applyAlignment="1">
      <alignment vertical="center"/>
    </xf>
    <xf numFmtId="0" fontId="38" fillId="0" borderId="0" xfId="23" applyFont="1"/>
    <xf numFmtId="172" fontId="38" fillId="0" borderId="0" xfId="24" applyNumberFormat="1" applyFont="1"/>
    <xf numFmtId="0" fontId="40" fillId="0" borderId="0" xfId="23" applyFont="1" applyAlignment="1">
      <alignment horizontal="center" vertical="center"/>
    </xf>
    <xf numFmtId="0" fontId="18" fillId="5" borderId="14" xfId="18" applyFont="1" applyFill="1" applyBorder="1" applyAlignment="1" applyProtection="1">
      <alignment vertical="center"/>
      <protection locked="0"/>
    </xf>
    <xf numFmtId="0" fontId="39" fillId="0" borderId="0" xfId="23" applyFont="1" applyAlignment="1">
      <alignment horizontal="center" vertical="center"/>
    </xf>
    <xf numFmtId="14" fontId="22" fillId="5" borderId="24" xfId="18" applyNumberFormat="1" applyFont="1" applyFill="1" applyBorder="1" applyAlignment="1">
      <alignment horizontal="center" vertical="center"/>
    </xf>
    <xf numFmtId="49" fontId="22" fillId="5" borderId="0" xfId="18" applyNumberFormat="1" applyFont="1" applyFill="1" applyAlignment="1">
      <alignment horizontal="center" vertical="center"/>
    </xf>
    <xf numFmtId="14" fontId="22" fillId="5" borderId="0" xfId="18" applyNumberFormat="1" applyFont="1" applyFill="1" applyAlignment="1">
      <alignment horizontal="center" vertical="center"/>
    </xf>
    <xf numFmtId="0" fontId="37" fillId="9" borderId="52" xfId="20" applyFont="1" applyFill="1" applyBorder="1" applyAlignment="1">
      <alignment vertical="center" wrapText="1"/>
    </xf>
    <xf numFmtId="0" fontId="37" fillId="9" borderId="52" xfId="20" applyFont="1" applyFill="1" applyBorder="1">
      <alignment vertical="center"/>
    </xf>
    <xf numFmtId="0" fontId="37" fillId="9" borderId="52" xfId="20" applyFont="1" applyFill="1" applyBorder="1" applyAlignment="1">
      <alignment horizontal="center" vertical="center"/>
    </xf>
    <xf numFmtId="0" fontId="37" fillId="9" borderId="52" xfId="20" applyFont="1" applyFill="1" applyBorder="1" applyAlignment="1">
      <alignment horizontal="center" vertical="center" wrapText="1"/>
    </xf>
    <xf numFmtId="0" fontId="37" fillId="9" borderId="53" xfId="20" applyFont="1" applyFill="1" applyBorder="1" applyAlignment="1">
      <alignment vertical="center" wrapText="1"/>
    </xf>
    <xf numFmtId="14" fontId="36" fillId="10" borderId="54" xfId="20" applyNumberFormat="1" applyFont="1" applyFill="1" applyBorder="1" applyAlignment="1">
      <alignment horizontal="left" vertical="center" indent="1"/>
    </xf>
    <xf numFmtId="49" fontId="36" fillId="10" borderId="55" xfId="20" applyNumberFormat="1" applyFont="1" applyFill="1" applyBorder="1" applyAlignment="1">
      <alignment horizontal="left" vertical="center" indent="1"/>
    </xf>
    <xf numFmtId="0" fontId="36" fillId="10" borderId="55" xfId="20" applyFont="1" applyFill="1" applyBorder="1" applyAlignment="1">
      <alignment horizontal="left" vertical="center" wrapText="1" indent="1"/>
    </xf>
    <xf numFmtId="3" fontId="36" fillId="10" borderId="55" xfId="20" applyNumberFormat="1" applyFont="1" applyFill="1" applyBorder="1" applyAlignment="1">
      <alignment horizontal="right" vertical="center" indent="1"/>
    </xf>
    <xf numFmtId="0" fontId="36" fillId="10" borderId="55" xfId="20" applyFont="1" applyFill="1" applyBorder="1" applyAlignment="1">
      <alignment horizontal="left" vertical="center" indent="1"/>
    </xf>
    <xf numFmtId="3" fontId="37" fillId="9" borderId="57" xfId="20" applyNumberFormat="1" applyFont="1" applyFill="1" applyBorder="1" applyAlignment="1">
      <alignment horizontal="center" vertical="center"/>
    </xf>
    <xf numFmtId="0" fontId="35" fillId="9" borderId="0" xfId="20" applyFont="1" applyFill="1" applyAlignment="1">
      <alignment horizontal="right" vertical="center" indent="8"/>
    </xf>
    <xf numFmtId="3" fontId="35" fillId="9" borderId="0" xfId="20" applyNumberFormat="1" applyFont="1" applyFill="1" applyAlignment="1">
      <alignment horizontal="center" vertical="center"/>
    </xf>
    <xf numFmtId="3" fontId="35" fillId="8" borderId="0" xfId="20" applyNumberFormat="1" applyFont="1" applyFill="1" applyAlignment="1">
      <alignment horizontal="center" vertical="center"/>
    </xf>
    <xf numFmtId="0" fontId="33" fillId="6" borderId="31" xfId="20" applyFont="1" applyFill="1" applyBorder="1" applyAlignment="1">
      <alignment horizontal="left" vertical="center" indent="1"/>
    </xf>
    <xf numFmtId="0" fontId="33" fillId="6" borderId="0" xfId="20" applyFont="1" applyFill="1" applyAlignment="1">
      <alignment horizontal="left" vertical="center" indent="1"/>
    </xf>
    <xf numFmtId="3" fontId="33" fillId="6" borderId="32" xfId="20" applyNumberFormat="1" applyFont="1" applyFill="1" applyBorder="1" applyAlignment="1">
      <alignment horizontal="right" vertical="center" indent="1"/>
    </xf>
    <xf numFmtId="3" fontId="33" fillId="6" borderId="33" xfId="20" applyNumberFormat="1" applyFont="1" applyFill="1" applyBorder="1" applyAlignment="1">
      <alignment horizontal="right" vertical="center" indent="1"/>
    </xf>
    <xf numFmtId="3" fontId="33" fillId="6" borderId="34" xfId="20" applyNumberFormat="1" applyFont="1" applyFill="1" applyBorder="1" applyAlignment="1">
      <alignment horizontal="right" vertical="center" indent="1"/>
    </xf>
    <xf numFmtId="3" fontId="33" fillId="6" borderId="10" xfId="20" applyNumberFormat="1" applyFont="1" applyFill="1" applyBorder="1" applyAlignment="1">
      <alignment horizontal="right" vertical="center" indent="1"/>
    </xf>
    <xf numFmtId="0" fontId="35" fillId="6" borderId="36" xfId="20" applyFont="1" applyFill="1" applyBorder="1" applyAlignment="1">
      <alignment horizontal="right" vertical="center" indent="1"/>
    </xf>
    <xf numFmtId="0" fontId="35" fillId="6" borderId="50" xfId="20" applyFont="1" applyFill="1" applyBorder="1" applyAlignment="1">
      <alignment horizontal="right" vertical="center" indent="1"/>
    </xf>
    <xf numFmtId="3" fontId="33" fillId="6" borderId="37" xfId="20" applyNumberFormat="1" applyFont="1" applyFill="1" applyBorder="1" applyAlignment="1">
      <alignment horizontal="right" vertical="center" indent="1"/>
    </xf>
    <xf numFmtId="3" fontId="33" fillId="6" borderId="38" xfId="20" applyNumberFormat="1" applyFont="1" applyFill="1" applyBorder="1" applyAlignment="1">
      <alignment horizontal="right" vertical="center" indent="1"/>
    </xf>
    <xf numFmtId="3" fontId="33" fillId="6" borderId="39" xfId="20" applyNumberFormat="1" applyFont="1" applyFill="1" applyBorder="1" applyAlignment="1">
      <alignment horizontal="right" vertical="center" indent="1"/>
    </xf>
    <xf numFmtId="0" fontId="33" fillId="6" borderId="40" xfId="20" applyFont="1" applyFill="1" applyBorder="1" applyAlignment="1">
      <alignment horizontal="left" vertical="center" indent="1"/>
    </xf>
    <xf numFmtId="0" fontId="33" fillId="5" borderId="41" xfId="20" applyFont="1" applyFill="1" applyBorder="1" applyAlignment="1">
      <alignment horizontal="left" vertical="center" indent="1"/>
    </xf>
    <xf numFmtId="0" fontId="33" fillId="5" borderId="45" xfId="20" applyFont="1" applyFill="1" applyBorder="1" applyAlignment="1">
      <alignment horizontal="left" vertical="center" indent="1"/>
    </xf>
    <xf numFmtId="3" fontId="33" fillId="5" borderId="42" xfId="20" applyNumberFormat="1" applyFont="1" applyFill="1" applyBorder="1" applyAlignment="1">
      <alignment horizontal="right" vertical="center" indent="1"/>
    </xf>
    <xf numFmtId="3" fontId="33" fillId="5" borderId="43" xfId="20" applyNumberFormat="1" applyFont="1" applyFill="1" applyBorder="1" applyAlignment="1">
      <alignment horizontal="right" vertical="center" indent="1"/>
    </xf>
    <xf numFmtId="3" fontId="33" fillId="5" borderId="44" xfId="20" applyNumberFormat="1" applyFont="1" applyFill="1" applyBorder="1" applyAlignment="1">
      <alignment horizontal="right" vertical="center" indent="1"/>
    </xf>
    <xf numFmtId="3" fontId="33" fillId="5" borderId="45" xfId="20" applyNumberFormat="1" applyFont="1" applyFill="1" applyBorder="1" applyAlignment="1">
      <alignment horizontal="right" vertical="center" indent="1"/>
    </xf>
    <xf numFmtId="0" fontId="33" fillId="5" borderId="49" xfId="20" applyFont="1" applyFill="1" applyBorder="1" applyAlignment="1">
      <alignment horizontal="left" vertical="center" indent="1"/>
    </xf>
    <xf numFmtId="3" fontId="33" fillId="5" borderId="49" xfId="20" applyNumberFormat="1" applyFont="1" applyFill="1" applyBorder="1" applyAlignment="1">
      <alignment horizontal="right" vertical="center" indent="1"/>
    </xf>
    <xf numFmtId="0" fontId="34" fillId="9" borderId="29" xfId="20" applyFont="1" applyFill="1" applyBorder="1">
      <alignment vertical="center"/>
    </xf>
    <xf numFmtId="0" fontId="34" fillId="9" borderId="0" xfId="20" applyFont="1" applyFill="1">
      <alignment vertical="center"/>
    </xf>
    <xf numFmtId="14" fontId="42" fillId="0" borderId="0" xfId="23" applyNumberFormat="1" applyFont="1" applyAlignment="1">
      <alignment horizontal="center" vertical="center"/>
    </xf>
    <xf numFmtId="14" fontId="14" fillId="0" borderId="0" xfId="20" applyNumberFormat="1" applyFont="1">
      <alignment vertical="center"/>
    </xf>
    <xf numFmtId="14" fontId="14" fillId="0" borderId="0" xfId="20" applyNumberFormat="1" applyFont="1" applyAlignment="1">
      <alignment horizontal="right" vertical="center"/>
    </xf>
    <xf numFmtId="14" fontId="21" fillId="0" borderId="0" xfId="20" applyNumberFormat="1" applyFont="1">
      <alignment vertical="center"/>
    </xf>
    <xf numFmtId="169" fontId="27" fillId="9" borderId="18" xfId="18" applyNumberFormat="1" applyFont="1" applyFill="1" applyBorder="1" applyAlignment="1" applyProtection="1">
      <alignment horizontal="center" vertical="center"/>
      <protection locked="0"/>
    </xf>
    <xf numFmtId="0" fontId="35" fillId="9" borderId="46" xfId="20" applyFont="1" applyFill="1" applyBorder="1" applyAlignment="1">
      <alignment horizontal="left" vertical="center" indent="7"/>
    </xf>
    <xf numFmtId="0" fontId="33" fillId="5" borderId="49" xfId="20" applyFont="1" applyFill="1" applyBorder="1" applyAlignment="1">
      <alignment horizontal="left" vertical="center"/>
    </xf>
    <xf numFmtId="0" fontId="43" fillId="0" borderId="0" xfId="20" applyFont="1">
      <alignment vertical="center"/>
    </xf>
    <xf numFmtId="0" fontId="43" fillId="0" borderId="0" xfId="20" applyFont="1" applyAlignment="1">
      <alignment horizontal="right" vertical="center"/>
    </xf>
    <xf numFmtId="14" fontId="44" fillId="0" borderId="0" xfId="20" applyNumberFormat="1" applyFont="1">
      <alignment vertical="center"/>
    </xf>
    <xf numFmtId="3" fontId="22" fillId="0" borderId="0" xfId="18" applyNumberFormat="1" applyFont="1" applyAlignment="1">
      <alignment vertical="center"/>
    </xf>
    <xf numFmtId="49" fontId="43" fillId="10" borderId="55" xfId="20" applyNumberFormat="1" applyFont="1" applyFill="1" applyBorder="1" applyAlignment="1">
      <alignment horizontal="left" vertical="center" indent="1"/>
    </xf>
    <xf numFmtId="0" fontId="43" fillId="10" borderId="55" xfId="20" applyFont="1" applyFill="1" applyBorder="1" applyAlignment="1">
      <alignment horizontal="left" vertical="center" wrapText="1" indent="1"/>
    </xf>
    <xf numFmtId="3" fontId="43" fillId="10" borderId="55" xfId="20" applyNumberFormat="1" applyFont="1" applyFill="1" applyBorder="1" applyAlignment="1">
      <alignment horizontal="right" vertical="center" indent="1"/>
    </xf>
    <xf numFmtId="14" fontId="43" fillId="10" borderId="54" xfId="20" applyNumberFormat="1" applyFont="1" applyFill="1" applyBorder="1" applyAlignment="1">
      <alignment horizontal="left" vertical="center" indent="1"/>
    </xf>
    <xf numFmtId="0" fontId="41" fillId="5" borderId="0" xfId="23" applyFont="1" applyFill="1" applyAlignment="1">
      <alignment horizontal="right" vertical="center" indent="1"/>
    </xf>
    <xf numFmtId="14" fontId="6" fillId="0" borderId="0" xfId="0" applyNumberFormat="1" applyFont="1" applyAlignment="1">
      <alignment vertical="center"/>
    </xf>
    <xf numFmtId="164" fontId="20" fillId="0" borderId="0" xfId="21" applyFont="1"/>
    <xf numFmtId="0" fontId="20" fillId="0" borderId="0" xfId="23" applyFont="1"/>
    <xf numFmtId="170" fontId="20" fillId="0" borderId="0" xfId="23" applyNumberFormat="1" applyFont="1"/>
    <xf numFmtId="172" fontId="20" fillId="0" borderId="0" xfId="23" applyNumberFormat="1" applyFont="1"/>
    <xf numFmtId="0" fontId="20" fillId="5" borderId="0" xfId="23" applyFont="1" applyFill="1"/>
    <xf numFmtId="0" fontId="19" fillId="5" borderId="0" xfId="23" applyFont="1" applyFill="1"/>
    <xf numFmtId="0" fontId="20" fillId="0" borderId="0" xfId="23" applyFont="1" applyAlignment="1">
      <alignment vertical="center"/>
    </xf>
    <xf numFmtId="0" fontId="19" fillId="0" borderId="0" xfId="23" applyFont="1"/>
    <xf numFmtId="172" fontId="20" fillId="0" borderId="0" xfId="24" applyNumberFormat="1" applyFont="1"/>
    <xf numFmtId="3" fontId="47" fillId="0" borderId="0" xfId="23" applyNumberFormat="1" applyFont="1" applyAlignment="1">
      <alignment horizontal="center"/>
    </xf>
    <xf numFmtId="3" fontId="20" fillId="0" borderId="0" xfId="23" applyNumberFormat="1" applyFont="1" applyAlignment="1">
      <alignment horizontal="center"/>
    </xf>
    <xf numFmtId="172" fontId="15" fillId="5" borderId="60" xfId="23" applyNumberFormat="1" applyFont="1" applyFill="1" applyBorder="1" applyAlignment="1">
      <alignment horizontal="center" vertical="center"/>
    </xf>
    <xf numFmtId="0" fontId="20" fillId="0" borderId="63" xfId="23" applyFont="1" applyBorder="1" applyAlignment="1">
      <alignment horizontal="right" vertical="center"/>
    </xf>
    <xf numFmtId="0" fontId="20" fillId="0" borderId="64" xfId="23" applyFont="1" applyBorder="1" applyAlignment="1">
      <alignment vertical="center"/>
    </xf>
    <xf numFmtId="0" fontId="20" fillId="0" borderId="64" xfId="23" applyFont="1" applyBorder="1"/>
    <xf numFmtId="0" fontId="20" fillId="0" borderId="66" xfId="23" applyFont="1" applyBorder="1"/>
    <xf numFmtId="0" fontId="20" fillId="0" borderId="67" xfId="23" applyFont="1" applyBorder="1"/>
    <xf numFmtId="0" fontId="46" fillId="0" borderId="63" xfId="23" applyFont="1" applyBorder="1" applyAlignment="1">
      <alignment horizontal="right" vertical="center"/>
    </xf>
    <xf numFmtId="0" fontId="20" fillId="5" borderId="0" xfId="23" applyFont="1" applyFill="1" applyAlignment="1">
      <alignment horizontal="center" vertical="center"/>
    </xf>
    <xf numFmtId="0" fontId="38" fillId="5" borderId="0" xfId="23" applyFont="1" applyFill="1"/>
    <xf numFmtId="0" fontId="39" fillId="5" borderId="0" xfId="23" applyFont="1" applyFill="1" applyAlignment="1">
      <alignment horizontal="center" vertical="center"/>
    </xf>
    <xf numFmtId="0" fontId="20" fillId="5" borderId="0" xfId="23" applyFont="1" applyFill="1" applyAlignment="1">
      <alignment vertical="center"/>
    </xf>
    <xf numFmtId="172" fontId="15" fillId="5" borderId="61" xfId="23" applyNumberFormat="1" applyFont="1" applyFill="1" applyBorder="1" applyAlignment="1">
      <alignment horizontal="center" vertical="center"/>
    </xf>
    <xf numFmtId="0" fontId="20" fillId="5" borderId="0" xfId="23" applyFont="1" applyFill="1" applyAlignment="1">
      <alignment horizontal="right" vertical="center" indent="1"/>
    </xf>
    <xf numFmtId="3" fontId="20" fillId="5" borderId="0" xfId="23" applyNumberFormat="1" applyFont="1" applyFill="1" applyAlignment="1">
      <alignment horizontal="right" vertical="center"/>
    </xf>
    <xf numFmtId="170" fontId="20" fillId="5" borderId="0" xfId="25" applyNumberFormat="1" applyFont="1" applyFill="1" applyBorder="1" applyAlignment="1">
      <alignment horizontal="center" vertical="center"/>
    </xf>
    <xf numFmtId="170" fontId="20" fillId="5" borderId="0" xfId="25" applyNumberFormat="1" applyFont="1" applyFill="1" applyBorder="1" applyAlignment="1">
      <alignment horizontal="right" vertical="center"/>
    </xf>
    <xf numFmtId="3" fontId="41" fillId="11" borderId="69" xfId="15" applyNumberFormat="1" applyFont="1" applyFill="1" applyBorder="1" applyAlignment="1">
      <alignment horizontal="right" vertical="center" indent="1"/>
    </xf>
    <xf numFmtId="167" fontId="49" fillId="11" borderId="70" xfId="0" applyNumberFormat="1" applyFont="1" applyFill="1" applyBorder="1"/>
    <xf numFmtId="3" fontId="41" fillId="11" borderId="71" xfId="15" applyNumberFormat="1" applyFont="1" applyFill="1" applyBorder="1" applyAlignment="1">
      <alignment horizontal="right" vertical="center" indent="1"/>
    </xf>
    <xf numFmtId="0" fontId="20" fillId="5" borderId="0" xfId="23" applyFont="1" applyFill="1" applyAlignment="1">
      <alignment horizontal="left" indent="1"/>
    </xf>
    <xf numFmtId="0" fontId="42" fillId="5" borderId="0" xfId="15" applyFont="1" applyFill="1" applyAlignment="1">
      <alignment horizontal="center" vertical="center"/>
    </xf>
    <xf numFmtId="0" fontId="20" fillId="5" borderId="0" xfId="23" applyFont="1" applyFill="1" applyAlignment="1">
      <alignment horizontal="left" vertical="center" indent="1"/>
    </xf>
    <xf numFmtId="0" fontId="41" fillId="5" borderId="0" xfId="15" applyFont="1" applyFill="1" applyAlignment="1">
      <alignment horizontal="right" vertical="center"/>
    </xf>
    <xf numFmtId="0" fontId="41" fillId="5" borderId="0" xfId="15" applyFont="1" applyFill="1" applyAlignment="1">
      <alignment horizontal="right" vertical="center" indent="2"/>
    </xf>
    <xf numFmtId="0" fontId="50" fillId="0" borderId="0" xfId="23" applyFont="1" applyAlignment="1">
      <alignment vertical="center"/>
    </xf>
    <xf numFmtId="3" fontId="38" fillId="0" borderId="0" xfId="15" applyNumberFormat="1" applyFont="1" applyAlignment="1">
      <alignment horizontal="right" indent="1"/>
    </xf>
    <xf numFmtId="3" fontId="38" fillId="0" borderId="0" xfId="15" applyNumberFormat="1" applyFont="1" applyAlignment="1">
      <alignment horizontal="right" vertical="center" indent="1"/>
    </xf>
    <xf numFmtId="3" fontId="38" fillId="5" borderId="0" xfId="15" applyNumberFormat="1" applyFont="1" applyFill="1" applyAlignment="1">
      <alignment horizontal="right" indent="1"/>
    </xf>
    <xf numFmtId="0" fontId="38" fillId="0" borderId="0" xfId="23" applyFont="1" applyAlignment="1">
      <alignment horizontal="right" vertical="center"/>
    </xf>
    <xf numFmtId="3" fontId="41" fillId="11" borderId="0" xfId="15" applyNumberFormat="1" applyFont="1" applyFill="1" applyAlignment="1">
      <alignment horizontal="right" vertical="center" indent="1"/>
    </xf>
    <xf numFmtId="3" fontId="48" fillId="11" borderId="0" xfId="15" applyNumberFormat="1" applyFont="1" applyFill="1" applyAlignment="1">
      <alignment horizontal="right" indent="2"/>
    </xf>
    <xf numFmtId="3" fontId="41" fillId="5" borderId="0" xfId="15" applyNumberFormat="1" applyFont="1" applyFill="1" applyAlignment="1">
      <alignment horizontal="right" vertical="center" indent="1"/>
    </xf>
    <xf numFmtId="169" fontId="38" fillId="5" borderId="0" xfId="15" applyNumberFormat="1" applyFont="1" applyFill="1" applyAlignment="1">
      <alignment horizontal="center" vertical="center"/>
    </xf>
    <xf numFmtId="169" fontId="38" fillId="5" borderId="72" xfId="15" applyNumberFormat="1" applyFont="1" applyFill="1" applyBorder="1" applyAlignment="1">
      <alignment horizontal="center" vertical="center"/>
    </xf>
    <xf numFmtId="0" fontId="46" fillId="0" borderId="63" xfId="23" applyFont="1" applyBorder="1" applyAlignment="1">
      <alignment vertical="center"/>
    </xf>
    <xf numFmtId="173" fontId="19" fillId="5" borderId="64" xfId="23" applyNumberFormat="1" applyFont="1" applyFill="1" applyBorder="1" applyAlignment="1">
      <alignment horizontal="center"/>
    </xf>
    <xf numFmtId="3" fontId="20" fillId="5" borderId="0" xfId="23" applyNumberFormat="1" applyFont="1" applyFill="1"/>
    <xf numFmtId="0" fontId="43" fillId="0" borderId="0" xfId="23" applyFont="1"/>
    <xf numFmtId="0" fontId="51" fillId="0" borderId="0" xfId="23" applyFont="1" applyAlignment="1">
      <alignment horizontal="center" vertical="center"/>
    </xf>
    <xf numFmtId="0" fontId="47" fillId="9" borderId="0" xfId="23" applyFont="1" applyFill="1" applyAlignment="1">
      <alignment horizontal="center" vertical="center"/>
    </xf>
    <xf numFmtId="0" fontId="47" fillId="0" borderId="0" xfId="23" applyFont="1" applyAlignment="1">
      <alignment horizontal="left" indent="1"/>
    </xf>
    <xf numFmtId="0" fontId="47" fillId="0" borderId="0" xfId="23" applyFont="1" applyAlignment="1">
      <alignment horizontal="left"/>
    </xf>
    <xf numFmtId="0" fontId="47" fillId="0" borderId="0" xfId="23" applyFont="1" applyAlignment="1">
      <alignment horizontal="right" indent="3"/>
    </xf>
    <xf numFmtId="0" fontId="47" fillId="0" borderId="0" xfId="23" applyFont="1"/>
    <xf numFmtId="173" fontId="47" fillId="0" borderId="0" xfId="22" applyNumberFormat="1" applyFont="1" applyBorder="1" applyAlignment="1">
      <alignment horizontal="center" vertical="center"/>
    </xf>
    <xf numFmtId="0" fontId="47" fillId="0" borderId="0" xfId="23" applyFont="1" applyAlignment="1">
      <alignment vertical="center"/>
    </xf>
    <xf numFmtId="14" fontId="38" fillId="0" borderId="0" xfId="23" applyNumberFormat="1" applyFont="1"/>
    <xf numFmtId="14" fontId="43" fillId="10" borderId="74" xfId="20" applyNumberFormat="1" applyFont="1" applyFill="1" applyBorder="1" applyAlignment="1">
      <alignment horizontal="left" vertical="center" indent="1"/>
    </xf>
    <xf numFmtId="14" fontId="36" fillId="10" borderId="74" xfId="20" applyNumberFormat="1" applyFont="1" applyFill="1" applyBorder="1" applyAlignment="1">
      <alignment horizontal="left" vertical="center" indent="1"/>
    </xf>
    <xf numFmtId="0" fontId="37" fillId="9" borderId="51" xfId="20" applyFont="1" applyFill="1" applyBorder="1" applyAlignment="1">
      <alignment horizontal="center" vertical="center" wrapText="1"/>
    </xf>
    <xf numFmtId="0" fontId="37" fillId="9" borderId="73" xfId="20" applyFont="1" applyFill="1" applyBorder="1" applyAlignment="1">
      <alignment horizontal="center" vertical="center" wrapText="1"/>
    </xf>
    <xf numFmtId="0" fontId="25" fillId="4" borderId="0" xfId="18" applyFont="1" applyFill="1" applyAlignment="1">
      <alignment vertical="center"/>
    </xf>
    <xf numFmtId="170" fontId="22" fillId="0" borderId="0" xfId="27" applyNumberFormat="1" applyFont="1" applyAlignment="1">
      <alignment vertical="center"/>
    </xf>
    <xf numFmtId="170" fontId="25" fillId="0" borderId="0" xfId="27" applyNumberFormat="1" applyFont="1" applyAlignment="1">
      <alignment vertical="center"/>
    </xf>
    <xf numFmtId="0" fontId="25" fillId="5" borderId="0" xfId="18" applyFont="1" applyFill="1" applyAlignment="1">
      <alignment vertical="center"/>
    </xf>
    <xf numFmtId="3" fontId="54" fillId="0" borderId="0" xfId="23" applyNumberFormat="1" applyFont="1" applyBorder="1" applyAlignment="1">
      <alignment horizontal="right" vertical="center" indent="4"/>
    </xf>
    <xf numFmtId="3" fontId="54" fillId="0" borderId="0" xfId="23" applyNumberFormat="1" applyFont="1" applyBorder="1" applyAlignment="1">
      <alignment horizontal="right" vertical="center" indent="1"/>
    </xf>
    <xf numFmtId="3" fontId="54" fillId="5" borderId="0" xfId="23" applyNumberFormat="1" applyFont="1" applyFill="1" applyBorder="1" applyAlignment="1">
      <alignment horizontal="right" indent="1"/>
    </xf>
    <xf numFmtId="0" fontId="20" fillId="0" borderId="65" xfId="23" applyFont="1" applyBorder="1" applyAlignment="1">
      <alignment horizontal="right" vertical="center"/>
    </xf>
    <xf numFmtId="0" fontId="20" fillId="0" borderId="66" xfId="23" applyFont="1" applyBorder="1" applyAlignment="1">
      <alignment vertical="center"/>
    </xf>
    <xf numFmtId="3" fontId="52" fillId="0" borderId="66" xfId="23" applyNumberFormat="1" applyFont="1" applyBorder="1" applyAlignment="1">
      <alignment horizontal="left" vertical="center" indent="1"/>
    </xf>
    <xf numFmtId="9" fontId="52" fillId="0" borderId="66" xfId="2" applyFont="1" applyBorder="1" applyAlignment="1">
      <alignment horizontal="right" vertical="center" indent="3"/>
    </xf>
    <xf numFmtId="0" fontId="20" fillId="0" borderId="61" xfId="23" applyFont="1" applyBorder="1" applyAlignment="1">
      <alignment horizontal="right" vertical="center"/>
    </xf>
    <xf numFmtId="0" fontId="20" fillId="0" borderId="61" xfId="23" applyFont="1" applyBorder="1" applyAlignment="1">
      <alignment vertical="center"/>
    </xf>
    <xf numFmtId="3" fontId="52" fillId="0" borderId="61" xfId="23" applyNumberFormat="1" applyFont="1" applyBorder="1" applyAlignment="1">
      <alignment horizontal="left" vertical="center" indent="1"/>
    </xf>
    <xf numFmtId="9" fontId="52" fillId="0" borderId="61" xfId="2" applyFont="1" applyBorder="1" applyAlignment="1">
      <alignment horizontal="right" vertical="center" indent="3"/>
    </xf>
    <xf numFmtId="0" fontId="20" fillId="0" borderId="61" xfId="23" applyFont="1" applyBorder="1"/>
    <xf numFmtId="0" fontId="42" fillId="12" borderId="78" xfId="15" applyFont="1" applyFill="1" applyBorder="1" applyAlignment="1">
      <alignment horizontal="center" vertical="center"/>
    </xf>
    <xf numFmtId="0" fontId="38" fillId="5" borderId="63" xfId="15" applyFont="1" applyFill="1" applyBorder="1" applyAlignment="1">
      <alignment horizontal="center" vertical="center"/>
    </xf>
    <xf numFmtId="0" fontId="38" fillId="0" borderId="63" xfId="15" applyFont="1" applyBorder="1" applyAlignment="1">
      <alignment horizontal="left" vertical="center" indent="1"/>
    </xf>
    <xf numFmtId="0" fontId="38" fillId="0" borderId="63" xfId="15" applyFont="1" applyBorder="1" applyAlignment="1">
      <alignment horizontal="left" indent="1"/>
    </xf>
    <xf numFmtId="0" fontId="41" fillId="11" borderId="63" xfId="15" applyFont="1" applyFill="1" applyBorder="1" applyAlignment="1">
      <alignment horizontal="right" vertical="center" indent="2"/>
    </xf>
    <xf numFmtId="0" fontId="48" fillId="11" borderId="63" xfId="15" applyFont="1" applyFill="1" applyBorder="1" applyAlignment="1">
      <alignment horizontal="right" vertical="center" indent="2"/>
    </xf>
    <xf numFmtId="0" fontId="41" fillId="11" borderId="65" xfId="15" applyFont="1" applyFill="1" applyBorder="1" applyAlignment="1">
      <alignment horizontal="right" vertical="center" indent="2"/>
    </xf>
    <xf numFmtId="3" fontId="41" fillId="11" borderId="79" xfId="15" applyNumberFormat="1" applyFont="1" applyFill="1" applyBorder="1" applyAlignment="1">
      <alignment horizontal="right" vertical="center" indent="1"/>
    </xf>
    <xf numFmtId="3" fontId="41" fillId="11" borderId="80" xfId="15" applyNumberFormat="1" applyFont="1" applyFill="1" applyBorder="1" applyAlignment="1">
      <alignment horizontal="right" vertical="center" indent="1"/>
    </xf>
    <xf numFmtId="169" fontId="42" fillId="12" borderId="81" xfId="15" applyNumberFormat="1" applyFont="1" applyFill="1" applyBorder="1" applyAlignment="1">
      <alignment horizontal="center" vertical="center"/>
    </xf>
    <xf numFmtId="169" fontId="42" fillId="12" borderId="82" xfId="15" applyNumberFormat="1" applyFont="1" applyFill="1" applyBorder="1" applyAlignment="1">
      <alignment horizontal="center" vertical="center"/>
    </xf>
    <xf numFmtId="9" fontId="38" fillId="5" borderId="64" xfId="2" applyFont="1" applyFill="1" applyBorder="1" applyAlignment="1">
      <alignment horizontal="right" indent="1"/>
    </xf>
    <xf numFmtId="169" fontId="38" fillId="5" borderId="64" xfId="15" applyNumberFormat="1" applyFont="1" applyFill="1" applyBorder="1" applyAlignment="1">
      <alignment horizontal="center" vertical="center"/>
    </xf>
    <xf numFmtId="9" fontId="41" fillId="11" borderId="83" xfId="2" applyFont="1" applyFill="1" applyBorder="1" applyAlignment="1">
      <alignment horizontal="right" vertical="center" indent="1"/>
    </xf>
    <xf numFmtId="9" fontId="49" fillId="11" borderId="84" xfId="2" applyFont="1" applyFill="1" applyBorder="1"/>
    <xf numFmtId="3" fontId="41" fillId="11" borderId="83" xfId="15" applyNumberFormat="1" applyFont="1" applyFill="1" applyBorder="1" applyAlignment="1">
      <alignment horizontal="right" vertical="center" indent="1"/>
    </xf>
    <xf numFmtId="3" fontId="41" fillId="11" borderId="85" xfId="15" applyNumberFormat="1" applyFont="1" applyFill="1" applyBorder="1" applyAlignment="1">
      <alignment horizontal="right" vertical="center" indent="1"/>
    </xf>
    <xf numFmtId="0" fontId="46" fillId="0" borderId="0" xfId="23" applyFont="1" applyBorder="1" applyAlignment="1">
      <alignment vertical="center"/>
    </xf>
    <xf numFmtId="3" fontId="46" fillId="0" borderId="0" xfId="23" applyNumberFormat="1" applyFont="1" applyBorder="1" applyAlignment="1">
      <alignment vertical="center"/>
    </xf>
    <xf numFmtId="0" fontId="19" fillId="5" borderId="0" xfId="23" applyFont="1" applyFill="1" applyBorder="1"/>
    <xf numFmtId="173" fontId="19" fillId="5" borderId="0" xfId="23" applyNumberFormat="1" applyFont="1" applyFill="1" applyBorder="1" applyAlignment="1">
      <alignment horizontal="center"/>
    </xf>
    <xf numFmtId="0" fontId="20" fillId="5" borderId="0" xfId="23" applyFont="1" applyFill="1" applyBorder="1" applyAlignment="1">
      <alignment horizontal="right" vertical="center"/>
    </xf>
    <xf numFmtId="3" fontId="52" fillId="0" borderId="0" xfId="23" applyNumberFormat="1" applyFont="1" applyBorder="1" applyAlignment="1">
      <alignment horizontal="left" vertical="center" indent="1"/>
    </xf>
    <xf numFmtId="0" fontId="20" fillId="0" borderId="0" xfId="23" applyFont="1" applyBorder="1" applyAlignment="1">
      <alignment horizontal="right" vertical="center"/>
    </xf>
    <xf numFmtId="0" fontId="41" fillId="5" borderId="0" xfId="15" applyFont="1" applyFill="1" applyBorder="1" applyAlignment="1">
      <alignment horizontal="right" vertical="center"/>
    </xf>
    <xf numFmtId="0" fontId="46" fillId="5" borderId="0" xfId="23" applyFont="1" applyFill="1" applyBorder="1" applyAlignment="1">
      <alignment vertical="center"/>
    </xf>
    <xf numFmtId="173" fontId="15" fillId="5" borderId="0" xfId="23" applyNumberFormat="1" applyFont="1" applyFill="1" applyBorder="1" applyAlignment="1">
      <alignment horizontal="center"/>
    </xf>
    <xf numFmtId="0" fontId="20" fillId="0" borderId="0" xfId="23" applyFont="1" applyBorder="1" applyAlignment="1">
      <alignment vertical="center"/>
    </xf>
    <xf numFmtId="0" fontId="52" fillId="0" borderId="0" xfId="23" applyFont="1" applyBorder="1" applyAlignment="1">
      <alignment horizontal="center" vertical="center"/>
    </xf>
    <xf numFmtId="0" fontId="52" fillId="0" borderId="0" xfId="23" applyFont="1" applyBorder="1" applyAlignment="1">
      <alignment horizontal="right" vertical="center"/>
    </xf>
    <xf numFmtId="3" fontId="55" fillId="0" borderId="0" xfId="23" applyNumberFormat="1" applyFont="1" applyBorder="1" applyAlignment="1">
      <alignment horizontal="right" vertical="center" indent="1"/>
    </xf>
    <xf numFmtId="0" fontId="46" fillId="0" borderId="0" xfId="23" applyFont="1" applyBorder="1" applyAlignment="1">
      <alignment horizontal="right" vertical="center" indent="1"/>
    </xf>
    <xf numFmtId="0" fontId="41" fillId="2" borderId="68" xfId="23" applyFont="1" applyFill="1" applyBorder="1" applyAlignment="1">
      <alignment horizontal="right" vertical="center"/>
    </xf>
    <xf numFmtId="0" fontId="41" fillId="5" borderId="0" xfId="23" applyFont="1" applyFill="1" applyBorder="1" applyAlignment="1">
      <alignment vertical="center"/>
    </xf>
    <xf numFmtId="3" fontId="53" fillId="2" borderId="76" xfId="23" applyNumberFormat="1" applyFont="1" applyFill="1" applyBorder="1" applyAlignment="1">
      <alignment horizontal="right" vertical="center" indent="1"/>
    </xf>
    <xf numFmtId="3" fontId="53" fillId="11" borderId="76" xfId="15" applyNumberFormat="1" applyFont="1" applyFill="1" applyBorder="1" applyAlignment="1">
      <alignment horizontal="center" vertical="center"/>
    </xf>
    <xf numFmtId="3" fontId="53" fillId="11" borderId="86" xfId="15" applyNumberFormat="1" applyFont="1" applyFill="1" applyBorder="1" applyAlignment="1">
      <alignment horizontal="center" vertical="center"/>
    </xf>
    <xf numFmtId="3" fontId="53" fillId="2" borderId="86" xfId="23" applyNumberFormat="1" applyFont="1" applyFill="1" applyBorder="1" applyAlignment="1">
      <alignment horizontal="right" indent="1"/>
    </xf>
    <xf numFmtId="3" fontId="53" fillId="2" borderId="86" xfId="23" applyNumberFormat="1" applyFont="1" applyFill="1" applyBorder="1" applyAlignment="1">
      <alignment horizontal="right" vertical="center" indent="1"/>
    </xf>
    <xf numFmtId="0" fontId="41" fillId="11" borderId="68" xfId="15" applyFont="1" applyFill="1" applyBorder="1" applyAlignment="1">
      <alignment horizontal="right" vertical="center" indent="2"/>
    </xf>
    <xf numFmtId="0" fontId="56" fillId="0" borderId="63" xfId="23" applyFont="1" applyBorder="1" applyAlignment="1">
      <alignment horizontal="right" vertical="center"/>
    </xf>
    <xf numFmtId="0" fontId="56" fillId="0" borderId="0" xfId="23" applyFont="1" applyBorder="1" applyAlignment="1">
      <alignment vertical="center"/>
    </xf>
    <xf numFmtId="3" fontId="57" fillId="0" borderId="0" xfId="23" applyNumberFormat="1" applyFont="1" applyBorder="1" applyAlignment="1">
      <alignment horizontal="left" vertical="center" indent="1"/>
    </xf>
    <xf numFmtId="0" fontId="41" fillId="5" borderId="0" xfId="23" applyFont="1" applyFill="1"/>
    <xf numFmtId="0" fontId="46" fillId="5" borderId="0" xfId="23" applyFont="1" applyFill="1" applyAlignment="1">
      <alignment horizontal="center" vertical="center"/>
    </xf>
    <xf numFmtId="3" fontId="46" fillId="5" borderId="0" xfId="23" applyNumberFormat="1" applyFont="1" applyFill="1" applyAlignment="1">
      <alignment horizontal="right" vertical="center"/>
    </xf>
    <xf numFmtId="170" fontId="46" fillId="5" borderId="0" xfId="25" applyNumberFormat="1" applyFont="1" applyFill="1" applyBorder="1" applyAlignment="1">
      <alignment horizontal="center" vertical="center"/>
    </xf>
    <xf numFmtId="170" fontId="46" fillId="5" borderId="0" xfId="25" applyNumberFormat="1" applyFont="1" applyFill="1" applyBorder="1" applyAlignment="1">
      <alignment horizontal="right" vertical="center"/>
    </xf>
    <xf numFmtId="0" fontId="46" fillId="5" borderId="0" xfId="23" applyFont="1" applyFill="1"/>
    <xf numFmtId="3" fontId="46" fillId="5" borderId="0" xfId="23" applyNumberFormat="1" applyFont="1" applyFill="1"/>
    <xf numFmtId="0" fontId="15" fillId="5" borderId="0" xfId="23" applyFont="1" applyFill="1"/>
    <xf numFmtId="0" fontId="46" fillId="5" borderId="0" xfId="23" applyFont="1" applyFill="1" applyAlignment="1">
      <alignment vertical="center"/>
    </xf>
    <xf numFmtId="0" fontId="20" fillId="0" borderId="0" xfId="23" applyFont="1" applyBorder="1" applyAlignment="1">
      <alignment horizontal="left" wrapText="1"/>
    </xf>
    <xf numFmtId="0" fontId="20" fillId="0" borderId="0" xfId="23" applyFont="1" applyBorder="1" applyAlignment="1">
      <alignment horizontal="left" wrapText="1"/>
    </xf>
    <xf numFmtId="0" fontId="34" fillId="9" borderId="49" xfId="20" applyFont="1" applyFill="1" applyBorder="1" applyAlignment="1">
      <alignment horizontal="center" vertical="center"/>
    </xf>
    <xf numFmtId="3" fontId="33" fillId="6" borderId="0" xfId="20" applyNumberFormat="1" applyFont="1" applyFill="1" applyBorder="1" applyAlignment="1">
      <alignment horizontal="right" vertical="center" indent="1"/>
    </xf>
    <xf numFmtId="49" fontId="26" fillId="8" borderId="18" xfId="0" applyNumberFormat="1" applyFont="1" applyFill="1" applyBorder="1" applyAlignment="1">
      <alignment horizontal="center" vertical="center" wrapText="1"/>
    </xf>
    <xf numFmtId="14" fontId="26" fillId="8" borderId="88" xfId="18" applyNumberFormat="1" applyFont="1" applyFill="1" applyBorder="1" applyAlignment="1">
      <alignment horizontal="center" vertical="center" wrapText="1"/>
    </xf>
    <xf numFmtId="14" fontId="25" fillId="5" borderId="89" xfId="18" applyNumberFormat="1" applyFont="1" applyFill="1" applyBorder="1" applyAlignment="1">
      <alignment horizontal="center" vertical="center"/>
    </xf>
    <xf numFmtId="14" fontId="25" fillId="5" borderId="90" xfId="18" applyNumberFormat="1" applyFont="1" applyFill="1" applyBorder="1" applyAlignment="1">
      <alignment horizontal="center" vertical="center"/>
    </xf>
    <xf numFmtId="169" fontId="27" fillId="8" borderId="91" xfId="18" applyNumberFormat="1" applyFont="1" applyFill="1" applyBorder="1" applyAlignment="1" applyProtection="1">
      <alignment horizontal="center" vertical="center" wrapText="1"/>
      <protection locked="0"/>
    </xf>
    <xf numFmtId="49" fontId="26" fillId="8" borderId="92" xfId="0" applyNumberFormat="1" applyFont="1" applyFill="1" applyBorder="1" applyAlignment="1">
      <alignment horizontal="center" vertical="center" wrapText="1"/>
    </xf>
    <xf numFmtId="49" fontId="26" fillId="8" borderId="93" xfId="0" applyNumberFormat="1" applyFont="1" applyFill="1" applyBorder="1" applyAlignment="1">
      <alignment horizontal="center" vertical="center" wrapText="1"/>
    </xf>
    <xf numFmtId="164" fontId="25" fillId="5" borderId="94" xfId="19" applyFont="1" applyFill="1" applyBorder="1" applyAlignment="1" applyProtection="1">
      <alignment horizontal="center" vertical="center"/>
      <protection locked="0"/>
    </xf>
    <xf numFmtId="164" fontId="25" fillId="5" borderId="58" xfId="19" applyFont="1" applyFill="1" applyBorder="1" applyAlignment="1" applyProtection="1">
      <alignment horizontal="center" vertical="center"/>
      <protection locked="0"/>
    </xf>
    <xf numFmtId="164" fontId="25" fillId="5" borderId="95" xfId="19" applyFont="1" applyFill="1" applyBorder="1" applyAlignment="1" applyProtection="1">
      <alignment horizontal="center" vertical="center"/>
      <protection locked="0"/>
    </xf>
    <xf numFmtId="164" fontId="25" fillId="5" borderId="59" xfId="19" applyFont="1" applyFill="1" applyBorder="1" applyAlignment="1" applyProtection="1">
      <alignment horizontal="center" vertical="center"/>
      <protection locked="0"/>
    </xf>
    <xf numFmtId="169" fontId="27" fillId="8" borderId="96" xfId="18" applyNumberFormat="1" applyFont="1" applyFill="1" applyBorder="1" applyAlignment="1" applyProtection="1">
      <alignment horizontal="center" vertical="center" wrapText="1"/>
      <protection locked="0"/>
    </xf>
    <xf numFmtId="164" fontId="25" fillId="5" borderId="97" xfId="19" applyFont="1" applyFill="1" applyBorder="1" applyAlignment="1" applyProtection="1">
      <alignment horizontal="center" vertical="center"/>
      <protection locked="0"/>
    </xf>
    <xf numFmtId="164" fontId="25" fillId="5" borderId="98" xfId="19" applyFont="1" applyFill="1" applyBorder="1" applyAlignment="1" applyProtection="1">
      <alignment horizontal="center" vertical="center"/>
      <protection locked="0"/>
    </xf>
    <xf numFmtId="164" fontId="25" fillId="5" borderId="99" xfId="19" applyFont="1" applyFill="1" applyBorder="1" applyAlignment="1" applyProtection="1">
      <alignment horizontal="center" vertical="center"/>
      <protection locked="0"/>
    </xf>
    <xf numFmtId="164" fontId="25" fillId="5" borderId="100" xfId="19" applyFont="1" applyFill="1" applyBorder="1" applyAlignment="1" applyProtection="1">
      <alignment horizontal="center" vertical="center"/>
      <protection locked="0"/>
    </xf>
    <xf numFmtId="164" fontId="25" fillId="5" borderId="101" xfId="19" applyFont="1" applyFill="1" applyBorder="1" applyAlignment="1" applyProtection="1">
      <alignment horizontal="center" vertical="center"/>
      <protection locked="0"/>
    </xf>
    <xf numFmtId="164" fontId="25" fillId="5" borderId="102" xfId="19" applyFont="1" applyFill="1" applyBorder="1" applyAlignment="1" applyProtection="1">
      <alignment horizontal="center" vertical="center"/>
      <protection locked="0"/>
    </xf>
    <xf numFmtId="49" fontId="45" fillId="0" borderId="0" xfId="18" applyNumberFormat="1" applyFont="1" applyAlignment="1">
      <alignment horizontal="center" vertical="center"/>
    </xf>
    <xf numFmtId="0" fontId="22" fillId="5" borderId="0" xfId="18" applyFont="1" applyFill="1" applyAlignment="1">
      <alignment vertical="center"/>
    </xf>
    <xf numFmtId="0" fontId="28" fillId="5" borderId="0" xfId="18" applyFont="1" applyFill="1" applyAlignment="1">
      <alignment vertical="center" wrapText="1"/>
    </xf>
    <xf numFmtId="0" fontId="35" fillId="9" borderId="29" xfId="20" applyFont="1" applyFill="1" applyBorder="1">
      <alignment vertical="center"/>
    </xf>
    <xf numFmtId="49" fontId="27" fillId="9" borderId="18" xfId="0" applyNumberFormat="1" applyFont="1" applyFill="1" applyBorder="1" applyAlignment="1" applyProtection="1">
      <alignment horizontal="center" vertical="center"/>
      <protection locked="0"/>
    </xf>
    <xf numFmtId="3" fontId="33" fillId="5" borderId="35" xfId="20" applyNumberFormat="1" applyFont="1" applyFill="1" applyBorder="1" applyAlignment="1">
      <alignment horizontal="right" vertical="center" indent="1"/>
    </xf>
    <xf numFmtId="0" fontId="35" fillId="10" borderId="36" xfId="20" applyFont="1" applyFill="1" applyBorder="1" applyAlignment="1">
      <alignment horizontal="right" vertical="center" indent="1"/>
    </xf>
    <xf numFmtId="3" fontId="33" fillId="10" borderId="37" xfId="20" applyNumberFormat="1" applyFont="1" applyFill="1" applyBorder="1" applyAlignment="1">
      <alignment horizontal="right" vertical="center" indent="1"/>
    </xf>
    <xf numFmtId="3" fontId="33" fillId="10" borderId="38" xfId="20" applyNumberFormat="1" applyFont="1" applyFill="1" applyBorder="1" applyAlignment="1">
      <alignment horizontal="right" vertical="center" indent="1"/>
    </xf>
    <xf numFmtId="3" fontId="33" fillId="10" borderId="39" xfId="20" applyNumberFormat="1" applyFont="1" applyFill="1" applyBorder="1" applyAlignment="1">
      <alignment horizontal="right" vertical="center" indent="1"/>
    </xf>
    <xf numFmtId="0" fontId="35" fillId="10" borderId="0" xfId="20" applyFont="1" applyFill="1" applyAlignment="1">
      <alignment horizontal="right" vertical="center" indent="1"/>
    </xf>
    <xf numFmtId="3" fontId="33" fillId="10" borderId="0" xfId="20" applyNumberFormat="1" applyFont="1" applyFill="1" applyAlignment="1">
      <alignment horizontal="right" vertical="center" indent="1"/>
    </xf>
    <xf numFmtId="3" fontId="33" fillId="0" borderId="0" xfId="20" applyNumberFormat="1" applyFont="1" applyAlignment="1">
      <alignment horizontal="center" vertical="center"/>
    </xf>
    <xf numFmtId="3" fontId="33" fillId="0" borderId="0" xfId="21" applyNumberFormat="1" applyFont="1" applyAlignment="1">
      <alignment horizontal="center" vertical="center"/>
    </xf>
    <xf numFmtId="0" fontId="58" fillId="0" borderId="0" xfId="20" applyFont="1">
      <alignment vertical="center"/>
    </xf>
    <xf numFmtId="3" fontId="33" fillId="5" borderId="0" xfId="20" applyNumberFormat="1" applyFont="1" applyFill="1" applyBorder="1" applyAlignment="1">
      <alignment horizontal="right" vertical="center" indent="1"/>
    </xf>
    <xf numFmtId="0" fontId="59" fillId="0" borderId="0" xfId="18" applyFont="1" applyAlignment="1">
      <alignment vertical="center"/>
    </xf>
    <xf numFmtId="3" fontId="33" fillId="6" borderId="109" xfId="20" applyNumberFormat="1" applyFont="1" applyFill="1" applyBorder="1" applyAlignment="1">
      <alignment horizontal="right" vertical="center" indent="1"/>
    </xf>
    <xf numFmtId="3" fontId="33" fillId="6" borderId="110" xfId="20" applyNumberFormat="1" applyFont="1" applyFill="1" applyBorder="1" applyAlignment="1">
      <alignment horizontal="right" vertical="center" indent="1"/>
    </xf>
    <xf numFmtId="3" fontId="33" fillId="6" borderId="111" xfId="20" applyNumberFormat="1" applyFont="1" applyFill="1" applyBorder="1" applyAlignment="1">
      <alignment horizontal="right" vertical="center" indent="1"/>
    </xf>
    <xf numFmtId="3" fontId="33" fillId="6" borderId="112" xfId="20" applyNumberFormat="1" applyFont="1" applyFill="1" applyBorder="1" applyAlignment="1">
      <alignment horizontal="right" vertical="center" indent="1"/>
    </xf>
    <xf numFmtId="0" fontId="35" fillId="6" borderId="37" xfId="20" applyFont="1" applyFill="1" applyBorder="1" applyAlignment="1">
      <alignment horizontal="right" vertical="center" indent="1"/>
    </xf>
    <xf numFmtId="3" fontId="33" fillId="6" borderId="113" xfId="20" applyNumberFormat="1" applyFont="1" applyFill="1" applyBorder="1" applyAlignment="1">
      <alignment horizontal="right" vertical="center" indent="1"/>
    </xf>
    <xf numFmtId="3" fontId="33" fillId="10" borderId="87" xfId="20" applyNumberFormat="1" applyFont="1" applyFill="1" applyBorder="1" applyAlignment="1">
      <alignment horizontal="right" vertical="center" indent="1"/>
    </xf>
    <xf numFmtId="0" fontId="23" fillId="0" borderId="0" xfId="0" applyFont="1"/>
    <xf numFmtId="0" fontId="60" fillId="0" borderId="0" xfId="0" applyFont="1"/>
    <xf numFmtId="14" fontId="60" fillId="0" borderId="0" xfId="0" applyNumberFormat="1" applyFont="1"/>
    <xf numFmtId="14" fontId="61" fillId="7" borderId="0" xfId="0" applyNumberFormat="1" applyFont="1" applyFill="1" applyAlignment="1">
      <alignment horizontal="center"/>
    </xf>
    <xf numFmtId="14" fontId="62" fillId="0" borderId="0" xfId="0" applyNumberFormat="1" applyFont="1"/>
    <xf numFmtId="0" fontId="60" fillId="0" borderId="117" xfId="0" applyFont="1" applyBorder="1"/>
    <xf numFmtId="0" fontId="63" fillId="0" borderId="0" xfId="0" applyFont="1" applyAlignment="1">
      <alignment horizontal="center" vertical="center"/>
    </xf>
    <xf numFmtId="0" fontId="23" fillId="0" borderId="114" xfId="0" applyFont="1" applyBorder="1" applyAlignment="1">
      <alignment horizontal="left" indent="2"/>
    </xf>
    <xf numFmtId="3" fontId="64" fillId="6" borderId="118" xfId="20" applyNumberFormat="1" applyFont="1" applyFill="1" applyBorder="1" applyAlignment="1">
      <alignment horizontal="right" vertical="center" indent="1"/>
    </xf>
    <xf numFmtId="3" fontId="64" fillId="6" borderId="119" xfId="20" applyNumberFormat="1" applyFont="1" applyFill="1" applyBorder="1" applyAlignment="1">
      <alignment horizontal="right" vertical="center" indent="1"/>
    </xf>
    <xf numFmtId="3" fontId="64" fillId="6" borderId="120" xfId="20" applyNumberFormat="1" applyFont="1" applyFill="1" applyBorder="1" applyAlignment="1">
      <alignment horizontal="right" vertical="center" indent="1"/>
    </xf>
    <xf numFmtId="0" fontId="23" fillId="0" borderId="115" xfId="0" applyFont="1" applyBorder="1" applyAlignment="1">
      <alignment horizontal="left" indent="2"/>
    </xf>
    <xf numFmtId="3" fontId="64" fillId="6" borderId="121" xfId="20" applyNumberFormat="1" applyFont="1" applyFill="1" applyBorder="1" applyAlignment="1">
      <alignment horizontal="right" vertical="center" indent="1"/>
    </xf>
    <xf numFmtId="3" fontId="64" fillId="6" borderId="122" xfId="20" applyNumberFormat="1" applyFont="1" applyFill="1" applyBorder="1" applyAlignment="1">
      <alignment horizontal="right" vertical="center" indent="1"/>
    </xf>
    <xf numFmtId="3" fontId="64" fillId="6" borderId="123" xfId="20" applyNumberFormat="1" applyFont="1" applyFill="1" applyBorder="1" applyAlignment="1">
      <alignment horizontal="right" vertical="center" indent="1"/>
    </xf>
    <xf numFmtId="0" fontId="23" fillId="0" borderId="116" xfId="0" applyFont="1" applyBorder="1" applyAlignment="1">
      <alignment horizontal="left" indent="2"/>
    </xf>
    <xf numFmtId="3" fontId="64" fillId="6" borderId="124" xfId="20" applyNumberFormat="1" applyFont="1" applyFill="1" applyBorder="1" applyAlignment="1">
      <alignment horizontal="right" vertical="center" indent="1"/>
    </xf>
    <xf numFmtId="3" fontId="64" fillId="6" borderId="125" xfId="20" applyNumberFormat="1" applyFont="1" applyFill="1" applyBorder="1" applyAlignment="1">
      <alignment horizontal="right" vertical="center" indent="1"/>
    </xf>
    <xf numFmtId="3" fontId="64" fillId="6" borderId="126" xfId="20" applyNumberFormat="1" applyFont="1" applyFill="1" applyBorder="1" applyAlignment="1">
      <alignment horizontal="right" vertical="center" indent="1"/>
    </xf>
    <xf numFmtId="0" fontId="23" fillId="5" borderId="0" xfId="0" applyFont="1" applyFill="1" applyBorder="1" applyAlignment="1">
      <alignment horizontal="left" indent="2"/>
    </xf>
    <xf numFmtId="0" fontId="23" fillId="5" borderId="0" xfId="0" applyFont="1" applyFill="1" applyBorder="1"/>
    <xf numFmtId="38" fontId="23" fillId="5" borderId="0" xfId="0" applyNumberFormat="1" applyFont="1" applyFill="1" applyBorder="1"/>
    <xf numFmtId="0" fontId="65" fillId="9" borderId="46" xfId="20" applyFont="1" applyFill="1" applyBorder="1" applyAlignment="1">
      <alignment horizontal="left" vertical="center" indent="7"/>
    </xf>
    <xf numFmtId="0" fontId="66" fillId="0" borderId="0" xfId="0" applyFont="1"/>
    <xf numFmtId="3" fontId="65" fillId="9" borderId="47" xfId="20" applyNumberFormat="1" applyFont="1" applyFill="1" applyBorder="1" applyAlignment="1">
      <alignment horizontal="center" vertical="center"/>
    </xf>
    <xf numFmtId="3" fontId="65" fillId="9" borderId="48" xfId="20" applyNumberFormat="1" applyFont="1" applyFill="1" applyBorder="1" applyAlignment="1">
      <alignment horizontal="center" vertical="center"/>
    </xf>
    <xf numFmtId="38" fontId="67" fillId="0" borderId="0" xfId="0" applyNumberFormat="1" applyFont="1"/>
    <xf numFmtId="0" fontId="30" fillId="9" borderId="29" xfId="20" applyFont="1" applyFill="1" applyBorder="1" applyAlignment="1">
      <alignment horizontal="left" vertical="center" indent="1"/>
    </xf>
    <xf numFmtId="0" fontId="22" fillId="0" borderId="0" xfId="0" applyFont="1"/>
    <xf numFmtId="169" fontId="31" fillId="9" borderId="18" xfId="18" applyNumberFormat="1" applyFont="1" applyFill="1" applyBorder="1" applyAlignment="1" applyProtection="1">
      <alignment horizontal="center" vertical="center" wrapText="1"/>
      <protection locked="0"/>
    </xf>
    <xf numFmtId="169" fontId="31" fillId="9" borderId="18" xfId="18" applyNumberFormat="1" applyFont="1" applyFill="1" applyBorder="1" applyAlignment="1" applyProtection="1">
      <alignment horizontal="center" vertical="center"/>
      <protection locked="0"/>
    </xf>
    <xf numFmtId="0" fontId="26" fillId="8" borderId="15" xfId="18" applyFont="1" applyFill="1" applyBorder="1" applyAlignment="1">
      <alignment horizontal="left" vertical="center" wrapText="1" indent="1"/>
    </xf>
    <xf numFmtId="0" fontId="26" fillId="8" borderId="18" xfId="18" applyFont="1" applyFill="1" applyBorder="1" applyAlignment="1">
      <alignment horizontal="left" vertical="center" wrapText="1" indent="1"/>
    </xf>
    <xf numFmtId="0" fontId="33" fillId="6" borderId="31" xfId="20" applyFont="1" applyFill="1" applyBorder="1" applyAlignment="1">
      <alignment horizontal="right" vertical="center" indent="6"/>
    </xf>
    <xf numFmtId="3" fontId="44" fillId="0" borderId="0" xfId="20" applyNumberFormat="1" applyFont="1">
      <alignment vertical="center"/>
    </xf>
    <xf numFmtId="0" fontId="19" fillId="0" borderId="64" xfId="23" applyFont="1" applyBorder="1"/>
    <xf numFmtId="3" fontId="43" fillId="10" borderId="128" xfId="20" applyNumberFormat="1" applyFont="1" applyFill="1" applyBorder="1" applyAlignment="1">
      <alignment horizontal="right" vertical="center" indent="1"/>
    </xf>
    <xf numFmtId="3" fontId="36" fillId="10" borderId="128" xfId="20" applyNumberFormat="1" applyFont="1" applyFill="1" applyBorder="1" applyAlignment="1">
      <alignment horizontal="right" vertical="center" indent="1"/>
    </xf>
    <xf numFmtId="3" fontId="37" fillId="9" borderId="129" xfId="20" applyNumberFormat="1" applyFont="1" applyFill="1" applyBorder="1" applyAlignment="1">
      <alignment horizontal="center" vertical="center"/>
    </xf>
    <xf numFmtId="3" fontId="36" fillId="10" borderId="130" xfId="20" applyNumberFormat="1" applyFont="1" applyFill="1" applyBorder="1">
      <alignment vertical="center"/>
    </xf>
    <xf numFmtId="3" fontId="37" fillId="9" borderId="127" xfId="20" applyNumberFormat="1" applyFont="1" applyFill="1" applyBorder="1">
      <alignment vertical="center"/>
    </xf>
    <xf numFmtId="164" fontId="28" fillId="6" borderId="103" xfId="19" applyFont="1" applyFill="1" applyBorder="1" applyAlignment="1" applyProtection="1">
      <alignment horizontal="center" vertical="center"/>
      <protection locked="0"/>
    </xf>
    <xf numFmtId="164" fontId="28" fillId="6" borderId="104" xfId="19" applyFont="1" applyFill="1" applyBorder="1" applyAlignment="1" applyProtection="1">
      <alignment horizontal="center" vertical="center"/>
      <protection locked="0"/>
    </xf>
    <xf numFmtId="164" fontId="28" fillId="6" borderId="105" xfId="19" applyFont="1" applyFill="1" applyBorder="1" applyAlignment="1" applyProtection="1">
      <alignment horizontal="center" vertical="center"/>
      <protection locked="0"/>
    </xf>
    <xf numFmtId="164" fontId="28" fillId="6" borderId="106" xfId="19" applyFont="1" applyFill="1" applyBorder="1" applyAlignment="1" applyProtection="1">
      <alignment horizontal="center" vertical="center"/>
      <protection locked="0"/>
    </xf>
    <xf numFmtId="164" fontId="28" fillId="6" borderId="107" xfId="19" applyFont="1" applyFill="1" applyBorder="1" applyAlignment="1" applyProtection="1">
      <alignment horizontal="center" vertical="center"/>
      <protection locked="0"/>
    </xf>
    <xf numFmtId="164" fontId="28" fillId="6" borderId="108" xfId="19" applyFont="1" applyFill="1" applyBorder="1" applyAlignment="1" applyProtection="1">
      <alignment horizontal="center" vertical="center"/>
      <protection locked="0"/>
    </xf>
    <xf numFmtId="0" fontId="28" fillId="6" borderId="0" xfId="18" applyFont="1" applyFill="1" applyAlignment="1">
      <alignment vertical="center" wrapText="1"/>
    </xf>
    <xf numFmtId="0" fontId="10" fillId="0" borderId="0" xfId="18" applyFont="1" applyAlignment="1">
      <alignment horizontal="center"/>
    </xf>
    <xf numFmtId="0" fontId="11" fillId="0" borderId="0" xfId="18" applyFont="1" applyAlignment="1">
      <alignment horizontal="center" vertical="center"/>
    </xf>
    <xf numFmtId="0" fontId="12" fillId="0" borderId="0" xfId="18" applyFont="1" applyAlignment="1">
      <alignment horizontal="center" vertical="center"/>
    </xf>
    <xf numFmtId="0" fontId="34" fillId="9" borderId="26" xfId="20" applyFont="1" applyFill="1" applyBorder="1" applyAlignment="1">
      <alignment horizontal="center" vertical="center"/>
    </xf>
    <xf numFmtId="0" fontId="34" fillId="9" borderId="27" xfId="20" applyFont="1" applyFill="1" applyBorder="1" applyAlignment="1">
      <alignment horizontal="center" vertical="center"/>
    </xf>
    <xf numFmtId="49" fontId="27" fillId="9" borderId="28" xfId="18" applyNumberFormat="1" applyFont="1" applyFill="1" applyBorder="1" applyAlignment="1" applyProtection="1">
      <alignment horizontal="center" vertical="center"/>
      <protection locked="0"/>
    </xf>
    <xf numFmtId="49" fontId="27" fillId="9" borderId="30" xfId="18" applyNumberFormat="1" applyFont="1" applyFill="1" applyBorder="1" applyAlignment="1" applyProtection="1">
      <alignment horizontal="center" vertical="center"/>
      <protection locked="0"/>
    </xf>
    <xf numFmtId="49" fontId="27" fillId="9" borderId="28" xfId="0" applyNumberFormat="1" applyFont="1" applyFill="1" applyBorder="1" applyAlignment="1" applyProtection="1">
      <alignment horizontal="center" vertical="center"/>
      <protection locked="0"/>
    </xf>
    <xf numFmtId="49" fontId="27" fillId="9" borderId="30" xfId="0" applyNumberFormat="1" applyFont="1" applyFill="1" applyBorder="1" applyAlignment="1" applyProtection="1">
      <alignment horizontal="center" vertical="center"/>
      <protection locked="0"/>
    </xf>
    <xf numFmtId="173" fontId="19" fillId="5" borderId="61" xfId="23" applyNumberFormat="1" applyFont="1" applyFill="1" applyBorder="1" applyAlignment="1">
      <alignment horizontal="center"/>
    </xf>
    <xf numFmtId="173" fontId="19" fillId="5" borderId="62" xfId="23" applyNumberFormat="1" applyFont="1" applyFill="1" applyBorder="1" applyAlignment="1">
      <alignment horizontal="center"/>
    </xf>
    <xf numFmtId="0" fontId="34" fillId="0" borderId="0" xfId="23" applyFont="1" applyAlignment="1">
      <alignment horizontal="center" vertical="center"/>
    </xf>
    <xf numFmtId="0" fontId="20" fillId="0" borderId="0" xfId="23" applyFont="1" applyBorder="1" applyAlignment="1">
      <alignment horizontal="left" wrapText="1"/>
    </xf>
    <xf numFmtId="0" fontId="18" fillId="0" borderId="0" xfId="23" applyFont="1" applyBorder="1" applyAlignment="1">
      <alignment horizontal="left" vertical="top" wrapText="1"/>
    </xf>
    <xf numFmtId="0" fontId="18" fillId="0" borderId="77" xfId="23" applyFont="1" applyBorder="1" applyAlignment="1">
      <alignment horizontal="left" vertical="top" wrapText="1"/>
    </xf>
    <xf numFmtId="0" fontId="37" fillId="9" borderId="56" xfId="20" applyFont="1" applyFill="1" applyBorder="1" applyAlignment="1">
      <alignment horizontal="right" vertical="center" indent="8"/>
    </xf>
    <xf numFmtId="0" fontId="37" fillId="9" borderId="75" xfId="20" applyFont="1" applyFill="1" applyBorder="1" applyAlignment="1">
      <alignment horizontal="right" vertical="center" indent="8"/>
    </xf>
    <xf numFmtId="0" fontId="37" fillId="9" borderId="57" xfId="20" applyFont="1" applyFill="1" applyBorder="1" applyAlignment="1">
      <alignment horizontal="right" vertical="center" indent="8"/>
    </xf>
    <xf numFmtId="0" fontId="69" fillId="0" borderId="0" xfId="18" applyFont="1" applyAlignment="1">
      <alignment vertical="center"/>
    </xf>
  </cellXfs>
  <cellStyles count="31">
    <cellStyle name="Entrée 2" xfId="10"/>
    <cellStyle name="Milliers" xfId="27" builtinId="3"/>
    <cellStyle name="Milliers [0] 2" xfId="6"/>
    <cellStyle name="Milliers [0] 2 2" xfId="21"/>
    <cellStyle name="Milliers [0] 3" xfId="12"/>
    <cellStyle name="Milliers [0] 4" xfId="13"/>
    <cellStyle name="Milliers [0] 5" xfId="19"/>
    <cellStyle name="Milliers 2" xfId="5"/>
    <cellStyle name="Milliers 2 2" xfId="22"/>
    <cellStyle name="Milliers 3" xfId="8"/>
    <cellStyle name="Milliers 4" xfId="11"/>
    <cellStyle name="Milliers 4 2" xfId="24"/>
    <cellStyle name="Milliers 4 2 2" xfId="25"/>
    <cellStyle name="Milliers 4 2 3" xfId="30"/>
    <cellStyle name="Milliers 5" xfId="17"/>
    <cellStyle name="Milliers 8" xfId="9"/>
    <cellStyle name="Normal" xfId="0" builtinId="0"/>
    <cellStyle name="Normal 2" xfId="1"/>
    <cellStyle name="Normal 2 2" xfId="14"/>
    <cellStyle name="Normal 2 3" xfId="20"/>
    <cellStyle name="Normal 3" xfId="4"/>
    <cellStyle name="Normal 4" xfId="18"/>
    <cellStyle name="Normal 4 2" xfId="28"/>
    <cellStyle name="Normal 6" xfId="15"/>
    <cellStyle name="Normal 6 2" xfId="23"/>
    <cellStyle name="Normal 6 3" xfId="29"/>
    <cellStyle name="Pourcentage" xfId="2" builtinId="5"/>
    <cellStyle name="Pourcentage 2" xfId="3"/>
    <cellStyle name="Pourcentage 2 2" xfId="26"/>
    <cellStyle name="Pourcentage 3" xfId="7"/>
    <cellStyle name="Pourcentage 5" xfId="16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colors>
    <mruColors>
      <color rgb="FF34EC38"/>
      <color rgb="FFC00000"/>
      <color rgb="FFFF9383"/>
      <color rgb="FFFFB9AD"/>
      <color rgb="FFFFD0C9"/>
      <color rgb="FFFCE4D6"/>
      <color rgb="FFFDC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84666</xdr:rowOff>
    </xdr:from>
    <xdr:to>
      <xdr:col>2</xdr:col>
      <xdr:colOff>3524250</xdr:colOff>
      <xdr:row>6</xdr:row>
      <xdr:rowOff>42334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21E04E0-4C9D-F1B6-C81D-12D2D64DE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33" y="232833"/>
          <a:ext cx="3429000" cy="12382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cent.ouehi/AppData/Local/Microsoft/Windows/Temporary%20Internet%20Files/Content.Outlook/UV6FQBVV/A%20Traiter/AUTOMOBILE%201%20-%20GROUPE%20modi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ml350/d/PNR/TARAUTO%201.51(AGENC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BFR/Entit&#233;/CODIVAL/Contr&#244;le%20de%20gestion/Exercice%202017/BUDGET_CODIVAL_2017/Budget%20Investi%20-%202017_CODIVAL/Elaboration%20Budget%20Invest%202017/Budget%20Invest%20Conso%202017%20v4_CODIV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8BBFR/Entit&#233;/CODIVAL/Contr&#244;le%20de%20gestion/Exercice%202017/ANALYSE%20CA_CODIVAL_2017/CA%20Ao&#251;t-17_CODIVAL/Analyse_CA_ADAMA%20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cuments/Reporting%20SE/Brouillon%20reportin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BFR/Entit&#233;/CODIVAL/Contr&#244;le%20de%20gestion/Exercice%202017/BUDGET_CODIVAL_2017/Budget%20Investi%20-%202017_CODIVAL/Elaboration%20Budget%20Invest%202017/Retours%20Directions%20v2/Budget%20Invest%202017%20-%20DAB_CODIV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BFR/BWA/Budget/BASE%20IMMOS/Budget_investissement_consolid&#233;_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B166A9\COTATION%20FLOTTE%20AUTO_UA_FC2012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lt;= 3 ans"/>
      <sheetName val="&gt; 3 ans et &lt;= 5 ans"/>
      <sheetName val="&gt; 5 an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ynthèse Invest"/>
      <sheetName val="DAM 2017"/>
      <sheetName val="Budget Invest_Mens"/>
      <sheetName val="Budget Invest_CR"/>
      <sheetName val="DAM Auto"/>
      <sheetName val="DAM_Acqui-2016"/>
      <sheetName val="Liste immo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 t="str">
            <v>Abeng : Video. - Interp. - Serrure - Barbelet</v>
          </cell>
          <cell r="E8" t="str">
            <v>Armoire</v>
          </cell>
          <cell r="F8">
            <v>42736</v>
          </cell>
          <cell r="G8" t="str">
            <v>TFC</v>
          </cell>
        </row>
        <row r="9">
          <cell r="B9" t="str">
            <v>Alimentation automatique GE (carburant)</v>
          </cell>
          <cell r="E9" t="str">
            <v>ARMOIRE RIDEAUX</v>
          </cell>
          <cell r="F9">
            <v>42767</v>
          </cell>
          <cell r="G9" t="str">
            <v>TFA</v>
          </cell>
        </row>
        <row r="10">
          <cell r="B10" t="str">
            <v>Appareil de recyclage clim</v>
          </cell>
          <cell r="E10" t="str">
            <v xml:space="preserve">Armoire et Placard </v>
          </cell>
          <cell r="F10">
            <v>42795</v>
          </cell>
          <cell r="G10" t="str">
            <v xml:space="preserve">TRI </v>
          </cell>
        </row>
        <row r="11">
          <cell r="B11" t="str">
            <v>Armoire métallique</v>
          </cell>
          <cell r="E11" t="str">
            <v>Armoire pour archivage avec rido / AUPARCHEMIN</v>
          </cell>
          <cell r="F11">
            <v>42826</v>
          </cell>
          <cell r="G11" t="str">
            <v xml:space="preserve">DAB </v>
          </cell>
        </row>
        <row r="12">
          <cell r="B12" t="str">
            <v>Armoires électriques-Renovation</v>
          </cell>
          <cell r="E12" t="str">
            <v>Autres mobilers de bureau</v>
          </cell>
          <cell r="F12">
            <v>42856</v>
          </cell>
          <cell r="G12" t="str">
            <v>SEI</v>
          </cell>
        </row>
        <row r="13">
          <cell r="B13" t="str">
            <v>Armoires électriques-Renovation (Magasin SE)</v>
          </cell>
          <cell r="E13" t="str">
            <v xml:space="preserve">BUREAU+CAISSON </v>
          </cell>
          <cell r="F13">
            <v>42887</v>
          </cell>
          <cell r="G13" t="str">
            <v>ST</v>
          </cell>
        </row>
        <row r="14">
          <cell r="B14" t="str">
            <v>Armoires électriques-Renovation (TGBT)</v>
          </cell>
          <cell r="E14" t="str">
            <v>BUREAU KAMOS</v>
          </cell>
          <cell r="F14">
            <v>42917</v>
          </cell>
          <cell r="G14" t="str">
            <v xml:space="preserve">SECURITE </v>
          </cell>
        </row>
        <row r="15">
          <cell r="B15" t="str">
            <v>Aspirateur</v>
          </cell>
          <cell r="E15" t="str">
            <v xml:space="preserve">BUREAU VITRE </v>
          </cell>
          <cell r="F15">
            <v>42948</v>
          </cell>
          <cell r="G15" t="str">
            <v>GARAGE</v>
          </cell>
        </row>
        <row r="16">
          <cell r="B16" t="str">
            <v>Autres outillages</v>
          </cell>
          <cell r="E16" t="str">
            <v xml:space="preserve">BUREAU NOIR </v>
          </cell>
          <cell r="F16">
            <v>42979</v>
          </cell>
          <cell r="G16" t="str">
            <v>FAP DG</v>
          </cell>
        </row>
        <row r="17">
          <cell r="B17" t="str">
            <v>Battérie</v>
          </cell>
          <cell r="E17" t="str">
            <v>CAISSON KAMOS</v>
          </cell>
          <cell r="F17">
            <v>43009</v>
          </cell>
          <cell r="G17" t="str">
            <v>FAP DF</v>
          </cell>
        </row>
        <row r="18">
          <cell r="B18" t="str">
            <v>Booster</v>
          </cell>
          <cell r="E18" t="str">
            <v>Chaise visiteur</v>
          </cell>
          <cell r="F18">
            <v>43040</v>
          </cell>
          <cell r="G18" t="str">
            <v>FAP DDPLS</v>
          </cell>
        </row>
        <row r="19">
          <cell r="B19" t="str">
            <v>Caisse à outil</v>
          </cell>
          <cell r="E19" t="str">
            <v>Chaises pour table de travail</v>
          </cell>
          <cell r="F19">
            <v>43070</v>
          </cell>
          <cell r="G19" t="str">
            <v>FAP DRH</v>
          </cell>
        </row>
        <row r="20">
          <cell r="B20" t="str">
            <v>Camera</v>
          </cell>
          <cell r="E20" t="str">
            <v>Caisson mobile 3 tiroirs</v>
          </cell>
        </row>
        <row r="21">
          <cell r="B21" t="str">
            <v>Caméra  Infra rouge</v>
          </cell>
          <cell r="E21" t="str">
            <v xml:space="preserve">CANAPE 10 PLACES </v>
          </cell>
        </row>
        <row r="22">
          <cell r="B22" t="str">
            <v>Cameras IP</v>
          </cell>
          <cell r="E22" t="str">
            <v xml:space="preserve">CANAPE DOMINO </v>
          </cell>
        </row>
        <row r="23">
          <cell r="B23" t="str">
            <v>Ceinturons</v>
          </cell>
          <cell r="E23" t="str">
            <v>CANAPE MODULABLE</v>
          </cell>
        </row>
        <row r="24">
          <cell r="B24" t="str">
            <v>Cercleuses</v>
          </cell>
          <cell r="E24" t="str">
            <v>COMPTOIR</v>
          </cell>
        </row>
        <row r="25">
          <cell r="B25" t="str">
            <v>CHARGEUR RACK</v>
          </cell>
          <cell r="E25" t="str">
            <v xml:space="preserve">ETAGERES COFFRE CLOISONNEES </v>
          </cell>
        </row>
        <row r="26">
          <cell r="B26" t="str">
            <v>Chariots de manutention</v>
          </cell>
          <cell r="E26" t="str">
            <v>ETAGERES EN BOIS</v>
          </cell>
        </row>
        <row r="27">
          <cell r="B27" t="str">
            <v>Climatiseur</v>
          </cell>
          <cell r="E27" t="str">
            <v xml:space="preserve">ECRAN DE TELEVISION </v>
          </cell>
        </row>
        <row r="28">
          <cell r="B28" t="str">
            <v>Coffre fort</v>
          </cell>
          <cell r="E28" t="str">
            <v>Fauteuil de bureau</v>
          </cell>
        </row>
        <row r="29">
          <cell r="B29" t="str">
            <v>Coffre Relais</v>
          </cell>
          <cell r="E29" t="str">
            <v xml:space="preserve">FAUTEUIL DIRECTION </v>
          </cell>
        </row>
        <row r="30">
          <cell r="B30" t="str">
            <v>Compresseur d'air</v>
          </cell>
          <cell r="E30" t="str">
            <v xml:space="preserve">FAUTEUILS ROULANTS </v>
          </cell>
        </row>
        <row r="31">
          <cell r="B31" t="str">
            <v>COMPPRESSEUR D'AIR PLATEAU</v>
          </cell>
          <cell r="E31" t="str">
            <v>Fauteuil ergonomique pour cervicale</v>
          </cell>
        </row>
        <row r="32">
          <cell r="B32" t="str">
            <v>Compteuses de billets</v>
          </cell>
          <cell r="E32" t="str">
            <v xml:space="preserve">FRIGO </v>
          </cell>
        </row>
        <row r="33">
          <cell r="B33" t="str">
            <v>CONTENEUR 20 PIEDS CHANTIER</v>
          </cell>
          <cell r="E33" t="str">
            <v>MACHINE A CAFE</v>
          </cell>
        </row>
        <row r="34">
          <cell r="B34" t="str">
            <v>Contrôle d'accès</v>
          </cell>
          <cell r="E34" t="str">
            <v xml:space="preserve">MEUBLE METALLIQUE </v>
          </cell>
        </row>
        <row r="35">
          <cell r="B35" t="str">
            <v>Contrôleur</v>
          </cell>
          <cell r="E35" t="str">
            <v>Porte</v>
          </cell>
        </row>
        <row r="36">
          <cell r="B36" t="str">
            <v>Création puits perdus avec système de traitement des eaux usées</v>
          </cell>
          <cell r="E36" t="str">
            <v>Placard de rangement</v>
          </cell>
        </row>
        <row r="37">
          <cell r="B37" t="str">
            <v>CRIC ROULEUR</v>
          </cell>
          <cell r="E37" t="str">
            <v>Siège ergonomique</v>
          </cell>
        </row>
        <row r="38">
          <cell r="B38" t="str">
            <v>DETECTEUR DES METAUX</v>
          </cell>
          <cell r="E38" t="str">
            <v>Sièges visiteurs</v>
          </cell>
        </row>
        <row r="39">
          <cell r="B39" t="str">
            <v>Détecteurs faux billets</v>
          </cell>
          <cell r="E39" t="str">
            <v xml:space="preserve">TABLEAU </v>
          </cell>
        </row>
        <row r="40">
          <cell r="B40" t="str">
            <v>Diable pour manutention des caisses de jetons</v>
          </cell>
          <cell r="E40" t="str">
            <v xml:space="preserve">TABLE BASSE </v>
          </cell>
        </row>
        <row r="41">
          <cell r="B41" t="str">
            <v>Disjoncteur</v>
          </cell>
          <cell r="E41" t="str">
            <v>Table de bureau</v>
          </cell>
        </row>
        <row r="42">
          <cell r="B42" t="str">
            <v>Enregistreur Bietry</v>
          </cell>
          <cell r="E42" t="str">
            <v>Téléphone de bureau</v>
          </cell>
        </row>
        <row r="43">
          <cell r="B43" t="str">
            <v>Enregistreur numérique</v>
          </cell>
          <cell r="E43" t="str">
            <v>Téléphone de ligne groupées</v>
          </cell>
        </row>
        <row r="44">
          <cell r="B44" t="str">
            <v>Enregistreur Vridi</v>
          </cell>
          <cell r="E44" t="str">
            <v>Téléphone portable</v>
          </cell>
        </row>
        <row r="45">
          <cell r="B45" t="str">
            <v xml:space="preserve">Enrouleur de tuyau d'air </v>
          </cell>
          <cell r="E45" t="str">
            <v>TELEPHONE VB</v>
          </cell>
        </row>
        <row r="46">
          <cell r="B46" t="str">
            <v>Equipement d'ouverture de porte</v>
          </cell>
          <cell r="E46" t="str">
            <v>Téléviseur LCD</v>
          </cell>
        </row>
        <row r="47">
          <cell r="B47" t="str">
            <v>Etabli</v>
          </cell>
          <cell r="E47" t="str">
            <v>Workstation 4 postes avec 04 caissons / PAPICI</v>
          </cell>
        </row>
        <row r="48">
          <cell r="B48" t="str">
            <v>Etagère chambre forte</v>
          </cell>
          <cell r="E48">
            <v>0</v>
          </cell>
        </row>
        <row r="49">
          <cell r="B49" t="str">
            <v>Extincteur VB</v>
          </cell>
          <cell r="E49">
            <v>0</v>
          </cell>
        </row>
        <row r="50">
          <cell r="B50" t="str">
            <v>Extracteur pour toillette</v>
          </cell>
          <cell r="E50">
            <v>0</v>
          </cell>
        </row>
        <row r="51">
          <cell r="B51" t="str">
            <v>FONTAINE REFRIG CENTRE PLATEAU</v>
          </cell>
          <cell r="E51">
            <v>0</v>
          </cell>
        </row>
        <row r="52">
          <cell r="B52" t="str">
            <v>Fusil à pompe</v>
          </cell>
          <cell r="E52">
            <v>0</v>
          </cell>
        </row>
        <row r="53">
          <cell r="B53" t="str">
            <v>Fusil UZI</v>
          </cell>
          <cell r="E53">
            <v>0</v>
          </cell>
        </row>
        <row r="54">
          <cell r="B54" t="str">
            <v>Gilet par balles</v>
          </cell>
          <cell r="E54">
            <v>0</v>
          </cell>
        </row>
        <row r="55">
          <cell r="B55" t="str">
            <v>GROUPE EVAPORATEUR SALL DE TIR</v>
          </cell>
          <cell r="E55">
            <v>0</v>
          </cell>
        </row>
        <row r="56">
          <cell r="B56" t="str">
            <v>GROUPE EVAPORATEUR CTV</v>
          </cell>
          <cell r="E56">
            <v>0</v>
          </cell>
        </row>
        <row r="57">
          <cell r="B57" t="str">
            <v>KARCHER</v>
          </cell>
          <cell r="E57">
            <v>0</v>
          </cell>
        </row>
        <row r="58">
          <cell r="B58" t="str">
            <v>Korhogo : Climatisateur</v>
          </cell>
          <cell r="E58">
            <v>0</v>
          </cell>
        </row>
        <row r="59">
          <cell r="B59" t="str">
            <v>Korhogo : Climatisateur</v>
          </cell>
          <cell r="E59">
            <v>0</v>
          </cell>
        </row>
        <row r="60">
          <cell r="B60" t="str">
            <v>Korhogo : Video. - Interp. - Serrure - Barbelet</v>
          </cell>
          <cell r="E60">
            <v>0</v>
          </cell>
        </row>
        <row r="61">
          <cell r="B61" t="str">
            <v>Licence Viconnet (vidéosurveillance) Vridi</v>
          </cell>
          <cell r="E61">
            <v>0</v>
          </cell>
        </row>
        <row r="62">
          <cell r="B62" t="str">
            <v>Licence Winpack (contrôle d'accès) Vridi</v>
          </cell>
          <cell r="E62">
            <v>0</v>
          </cell>
        </row>
        <row r="63">
          <cell r="B63" t="str">
            <v>Logiciel catalogue Toyota</v>
          </cell>
          <cell r="E63">
            <v>0</v>
          </cell>
        </row>
        <row r="64">
          <cell r="B64" t="str">
            <v>Matériel lecture boite noire</v>
          </cell>
          <cell r="E64">
            <v>0</v>
          </cell>
        </row>
        <row r="65">
          <cell r="B65" t="str">
            <v>Module d'alarme</v>
          </cell>
          <cell r="E65">
            <v>0</v>
          </cell>
        </row>
        <row r="66">
          <cell r="B66" t="str">
            <v>Mise à terre (Abengourou, Gagnoa, Korhogo, Yamoussoukro)</v>
          </cell>
          <cell r="E66">
            <v>0</v>
          </cell>
        </row>
        <row r="67">
          <cell r="B67" t="str">
            <v xml:space="preserve">Moniteur </v>
          </cell>
          <cell r="E67">
            <v>0</v>
          </cell>
        </row>
        <row r="68">
          <cell r="B68" t="str">
            <v>Monte charge</v>
          </cell>
          <cell r="E68">
            <v>0</v>
          </cell>
        </row>
        <row r="69">
          <cell r="B69" t="str">
            <v>Moteurs COMBI</v>
          </cell>
          <cell r="E69">
            <v>0</v>
          </cell>
        </row>
        <row r="70">
          <cell r="B70" t="str">
            <v>Munition UZI</v>
          </cell>
          <cell r="E70">
            <v>0</v>
          </cell>
        </row>
        <row r="71">
          <cell r="B71" t="str">
            <v>Munitions fusil à pompe</v>
          </cell>
          <cell r="E71">
            <v>0</v>
          </cell>
        </row>
        <row r="72">
          <cell r="B72" t="str">
            <v>Munitions revolver</v>
          </cell>
          <cell r="E72">
            <v>0</v>
          </cell>
        </row>
        <row r="73">
          <cell r="B73" t="str">
            <v>NUMERON</v>
          </cell>
          <cell r="E73">
            <v>0</v>
          </cell>
        </row>
        <row r="74">
          <cell r="B74" t="str">
            <v xml:space="preserve">Onduleur </v>
          </cell>
          <cell r="E74">
            <v>0</v>
          </cell>
        </row>
        <row r="75">
          <cell r="B75" t="str">
            <v>PALAN ELECTRIQUE</v>
          </cell>
          <cell r="E75">
            <v>0</v>
          </cell>
        </row>
        <row r="76">
          <cell r="B76" t="str">
            <v>PDA</v>
          </cell>
          <cell r="E76">
            <v>0</v>
          </cell>
        </row>
        <row r="77">
          <cell r="B77" t="str">
            <v>PDA+ IMPRIMANTES</v>
          </cell>
          <cell r="E77">
            <v>0</v>
          </cell>
        </row>
        <row r="78">
          <cell r="B78" t="str">
            <v>PDA+ IMPRIMANTES+ ACCESOIRES</v>
          </cell>
          <cell r="E78">
            <v>0</v>
          </cell>
        </row>
        <row r="79">
          <cell r="B79" t="str">
            <v>Perceuse Fer</v>
          </cell>
          <cell r="E79">
            <v>0</v>
          </cell>
        </row>
        <row r="80">
          <cell r="B80" t="str">
            <v>Perceuse HILTI</v>
          </cell>
          <cell r="E80">
            <v>0</v>
          </cell>
        </row>
        <row r="81">
          <cell r="B81" t="str">
            <v>Phares longue portée</v>
          </cell>
          <cell r="E81">
            <v>0</v>
          </cell>
        </row>
        <row r="82">
          <cell r="B82" t="str">
            <v>Pièces Numeron</v>
          </cell>
          <cell r="E82">
            <v>0</v>
          </cell>
        </row>
        <row r="83">
          <cell r="B83" t="str">
            <v>PISTOLETS</v>
          </cell>
          <cell r="E83">
            <v>0</v>
          </cell>
        </row>
        <row r="84">
          <cell r="B84" t="str">
            <v>Pompe immergée</v>
          </cell>
          <cell r="E84">
            <v>0</v>
          </cell>
        </row>
        <row r="85">
          <cell r="B85" t="str">
            <v>Portatif radio</v>
          </cell>
          <cell r="E85">
            <v>0</v>
          </cell>
        </row>
        <row r="86">
          <cell r="B86" t="str">
            <v>Poste mobiles pour 02 VB</v>
          </cell>
          <cell r="E86">
            <v>0</v>
          </cell>
        </row>
        <row r="87">
          <cell r="B87" t="str">
            <v>Projet gestion du temps</v>
          </cell>
          <cell r="E87">
            <v>0</v>
          </cell>
        </row>
        <row r="88">
          <cell r="B88" t="str">
            <v xml:space="preserve">Racks </v>
          </cell>
          <cell r="E88">
            <v>0</v>
          </cell>
        </row>
        <row r="89">
          <cell r="B89" t="str">
            <v>Racks Mobiles</v>
          </cell>
          <cell r="E89">
            <v>0</v>
          </cell>
        </row>
        <row r="90">
          <cell r="B90" t="str">
            <v>Radio VHF/HF</v>
          </cell>
          <cell r="E90">
            <v>0</v>
          </cell>
        </row>
        <row r="91">
          <cell r="B91" t="str">
            <v>Refrigerateur</v>
          </cell>
          <cell r="E91">
            <v>0</v>
          </cell>
        </row>
        <row r="92">
          <cell r="B92" t="str">
            <v>Relais</v>
          </cell>
          <cell r="E92">
            <v>0</v>
          </cell>
        </row>
        <row r="93">
          <cell r="B93" t="str">
            <v>Renovation et renforcement des installations de sécurité</v>
          </cell>
          <cell r="E93">
            <v>0</v>
          </cell>
        </row>
        <row r="94">
          <cell r="B94" t="str">
            <v>Réparation presse  hydraulique</v>
          </cell>
          <cell r="E94">
            <v>0</v>
          </cell>
        </row>
        <row r="95">
          <cell r="B95" t="str">
            <v>Revolver S &amp; M</v>
          </cell>
          <cell r="E95">
            <v>0</v>
          </cell>
        </row>
        <row r="96">
          <cell r="B96" t="str">
            <v>Sécurité incendie Vridi</v>
          </cell>
          <cell r="E96">
            <v>0</v>
          </cell>
        </row>
        <row r="97">
          <cell r="B97" t="str">
            <v>Serrure coffre fort</v>
          </cell>
          <cell r="E97">
            <v>0</v>
          </cell>
        </row>
        <row r="98">
          <cell r="B98" t="str">
            <v>Serrure de sécurité (zone coffre)</v>
          </cell>
          <cell r="E98">
            <v>0</v>
          </cell>
        </row>
        <row r="99">
          <cell r="B99" t="str">
            <v>Serrure électronique</v>
          </cell>
          <cell r="E99">
            <v>0</v>
          </cell>
        </row>
        <row r="100">
          <cell r="B100" t="str">
            <v>Split</v>
          </cell>
        </row>
        <row r="101">
          <cell r="B101" t="str">
            <v>SPLIT BUREAU DCTV</v>
          </cell>
        </row>
        <row r="102">
          <cell r="B102" t="str">
            <v>SPLIT GAGNOA</v>
          </cell>
        </row>
        <row r="103">
          <cell r="B103" t="str">
            <v>SPLIT PLATEAU</v>
          </cell>
        </row>
        <row r="104">
          <cell r="B104" t="str">
            <v>Soufleuse</v>
          </cell>
        </row>
        <row r="105">
          <cell r="B105" t="str">
            <v>Système GPS pour VB et VL</v>
          </cell>
        </row>
        <row r="106">
          <cell r="B106" t="str">
            <v>Système de sécurité incendie</v>
          </cell>
        </row>
        <row r="107">
          <cell r="B107" t="str">
            <v>TFA-Axytrans</v>
          </cell>
        </row>
        <row r="108">
          <cell r="B108" t="str">
            <v>Téléphones fixes pour véhicules</v>
          </cell>
        </row>
        <row r="109">
          <cell r="B109" t="str">
            <v>Testeur</v>
          </cell>
        </row>
        <row r="110">
          <cell r="B110" t="str">
            <v>Uzi ou fusil à pompe</v>
          </cell>
        </row>
        <row r="111">
          <cell r="B111" t="str">
            <v>Valises Intelligentes</v>
          </cell>
        </row>
        <row r="112">
          <cell r="B112" t="str">
            <v>Vidéo portier</v>
          </cell>
        </row>
        <row r="113">
          <cell r="B113" t="str">
            <v>Yam : Video. - Interp. - Serrure - Barbelet</v>
          </cell>
        </row>
      </sheetData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_2014"/>
      <sheetName val="base_2013"/>
      <sheetName val="REEL_2013"/>
      <sheetName val="REEL_2014"/>
      <sheetName val="FORECAST_2014"/>
      <sheetName val="CA PAR ACTIVITE "/>
      <sheetName val="Saisonnalité"/>
      <sheetName val="Feuil10"/>
      <sheetName val="Base_2014"/>
      <sheetName val="BASE"/>
      <sheetName val="Paramétre"/>
      <sheetName val="ECART_REEL14_REEL13"/>
      <sheetName val="ECART_BUDGET14_REEL14"/>
      <sheetName val="Feuil1"/>
      <sheetName val="Feuil2"/>
      <sheetName val="CAAOUT&amp;SEPT"/>
      <sheetName val="ECART_REEL14_REEL13 AOUT"/>
      <sheetName val="ECART_BUDGET14_REEL14 AOUT"/>
      <sheetName val="Saisonnalité_analytique"/>
      <sheetName val="CA PAR CLIENT"/>
      <sheetName val="Feuil3 (2)"/>
      <sheetName val="Feuil3"/>
      <sheetName val="Feuil4"/>
      <sheetName val="Feuil5"/>
      <sheetName val="Feuil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str">
            <v>BWA</v>
          </cell>
          <cell r="D5">
            <v>2390712</v>
          </cell>
          <cell r="E5">
            <v>2390712</v>
          </cell>
          <cell r="F5">
            <v>2840712</v>
          </cell>
          <cell r="G5">
            <v>2390712</v>
          </cell>
          <cell r="H5">
            <v>2450712</v>
          </cell>
          <cell r="I5">
            <v>2390712</v>
          </cell>
          <cell r="J5">
            <v>2690712</v>
          </cell>
          <cell r="K5">
            <v>2510712</v>
          </cell>
          <cell r="L5">
            <v>3580712</v>
          </cell>
        </row>
        <row r="6">
          <cell r="C6" t="str">
            <v>BWA LOCATION APPART</v>
          </cell>
          <cell r="D6">
            <v>3125000</v>
          </cell>
          <cell r="E6">
            <v>3125000</v>
          </cell>
          <cell r="F6">
            <v>3125000</v>
          </cell>
          <cell r="G6">
            <v>3125000</v>
          </cell>
          <cell r="H6">
            <v>3125000</v>
          </cell>
          <cell r="I6">
            <v>3125000</v>
          </cell>
          <cell r="J6">
            <v>3125000</v>
          </cell>
          <cell r="K6">
            <v>3125000</v>
          </cell>
          <cell r="L6">
            <v>3125000</v>
          </cell>
        </row>
        <row r="7">
          <cell r="C7" t="str">
            <v>CNTS</v>
          </cell>
          <cell r="D7">
            <v>97000</v>
          </cell>
          <cell r="E7">
            <v>158750</v>
          </cell>
          <cell r="F7">
            <v>135250</v>
          </cell>
          <cell r="G7">
            <v>138000</v>
          </cell>
          <cell r="H7">
            <v>144625</v>
          </cell>
          <cell r="I7">
            <v>117000</v>
          </cell>
          <cell r="J7">
            <v>172150</v>
          </cell>
          <cell r="K7">
            <v>138750</v>
          </cell>
          <cell r="L7">
            <v>138750</v>
          </cell>
        </row>
        <row r="8">
          <cell r="C8" t="str">
            <v>UNICAFE/SIFCA</v>
          </cell>
          <cell r="D8">
            <v>606745</v>
          </cell>
          <cell r="E8">
            <v>652335</v>
          </cell>
          <cell r="F8">
            <v>602935</v>
          </cell>
          <cell r="G8">
            <v>588135</v>
          </cell>
          <cell r="H8">
            <v>590335</v>
          </cell>
          <cell r="I8">
            <v>613101</v>
          </cell>
          <cell r="J8">
            <v>589135</v>
          </cell>
          <cell r="K8">
            <v>597885</v>
          </cell>
          <cell r="L8">
            <v>606985</v>
          </cell>
        </row>
        <row r="9">
          <cell r="C9" t="str">
            <v>EDIPRESSE</v>
          </cell>
          <cell r="D9">
            <v>100000</v>
          </cell>
          <cell r="E9">
            <v>367000</v>
          </cell>
          <cell r="F9">
            <v>350000</v>
          </cell>
          <cell r="G9">
            <v>350000</v>
          </cell>
          <cell r="H9">
            <v>350000</v>
          </cell>
          <cell r="I9">
            <v>350000</v>
          </cell>
          <cell r="J9">
            <v>350000</v>
          </cell>
          <cell r="K9">
            <v>350000</v>
          </cell>
          <cell r="L9">
            <v>350000</v>
          </cell>
        </row>
        <row r="10">
          <cell r="C10" t="str">
            <v>ECOBANK</v>
          </cell>
          <cell r="D10">
            <v>3102000</v>
          </cell>
          <cell r="E10">
            <v>3431000</v>
          </cell>
          <cell r="F10">
            <v>3392750</v>
          </cell>
          <cell r="G10">
            <v>3317250</v>
          </cell>
          <cell r="H10">
            <v>3383740</v>
          </cell>
          <cell r="I10">
            <v>3372125</v>
          </cell>
          <cell r="J10">
            <v>4295300</v>
          </cell>
          <cell r="K10">
            <v>3586100</v>
          </cell>
          <cell r="L10">
            <v>3638150</v>
          </cell>
        </row>
        <row r="11">
          <cell r="C11" t="str">
            <v>UNICO S/PEDRO</v>
          </cell>
          <cell r="D11">
            <v>66120</v>
          </cell>
          <cell r="E11">
            <v>68120</v>
          </cell>
          <cell r="F11">
            <v>77720</v>
          </cell>
          <cell r="G11">
            <v>65720</v>
          </cell>
          <cell r="H11">
            <v>65720</v>
          </cell>
          <cell r="I11">
            <v>65720</v>
          </cell>
          <cell r="J11">
            <v>65720</v>
          </cell>
          <cell r="K11">
            <v>65720</v>
          </cell>
          <cell r="L11">
            <v>74470</v>
          </cell>
        </row>
        <row r="12">
          <cell r="C12" t="str">
            <v>KLEENN SERVICE</v>
          </cell>
          <cell r="D12" t="str">
            <v>-</v>
          </cell>
          <cell r="E12">
            <v>215000</v>
          </cell>
          <cell r="F12">
            <v>375000</v>
          </cell>
          <cell r="G12">
            <v>266000</v>
          </cell>
          <cell r="H12">
            <v>211000</v>
          </cell>
          <cell r="I12">
            <v>279000</v>
          </cell>
          <cell r="J12">
            <v>55000</v>
          </cell>
          <cell r="K12">
            <v>179000</v>
          </cell>
          <cell r="L12" t="str">
            <v>-</v>
          </cell>
        </row>
        <row r="13">
          <cell r="C13" t="str">
            <v>CORIS BANK</v>
          </cell>
          <cell r="D13">
            <v>238250</v>
          </cell>
          <cell r="E13">
            <v>247250</v>
          </cell>
          <cell r="F13">
            <v>268000</v>
          </cell>
          <cell r="G13">
            <v>238500</v>
          </cell>
          <cell r="H13">
            <v>662630</v>
          </cell>
          <cell r="I13">
            <v>398250</v>
          </cell>
          <cell r="J13">
            <v>343750</v>
          </cell>
          <cell r="K13">
            <v>382950</v>
          </cell>
          <cell r="L13">
            <v>350550</v>
          </cell>
        </row>
        <row r="14">
          <cell r="C14" t="str">
            <v>AXA CI</v>
          </cell>
          <cell r="D14">
            <v>50000</v>
          </cell>
          <cell r="E14">
            <v>50000</v>
          </cell>
          <cell r="F14">
            <v>50000</v>
          </cell>
          <cell r="G14">
            <v>50000</v>
          </cell>
          <cell r="H14">
            <v>50000</v>
          </cell>
          <cell r="I14">
            <v>50000</v>
          </cell>
          <cell r="J14">
            <v>50000</v>
          </cell>
          <cell r="K14">
            <v>50000</v>
          </cell>
          <cell r="L14">
            <v>50000</v>
          </cell>
        </row>
        <row r="15">
          <cell r="C15" t="str">
            <v>BERNABE</v>
          </cell>
          <cell r="H15">
            <v>38000</v>
          </cell>
          <cell r="I15">
            <v>100750</v>
          </cell>
          <cell r="J15">
            <v>95300</v>
          </cell>
          <cell r="K15">
            <v>75000</v>
          </cell>
          <cell r="L15">
            <v>153350</v>
          </cell>
        </row>
        <row r="16">
          <cell r="C16" t="str">
            <v>GMA</v>
          </cell>
          <cell r="D16" t="str">
            <v>-</v>
          </cell>
          <cell r="E16">
            <v>167204</v>
          </cell>
          <cell r="F16">
            <v>115454</v>
          </cell>
          <cell r="G16">
            <v>115454</v>
          </cell>
          <cell r="H16">
            <v>115454</v>
          </cell>
          <cell r="I16">
            <v>115454</v>
          </cell>
          <cell r="J16" t="str">
            <v>-</v>
          </cell>
          <cell r="K16">
            <v>115454</v>
          </cell>
          <cell r="L16" t="str">
            <v>-</v>
          </cell>
        </row>
        <row r="17">
          <cell r="C17" t="str">
            <v>PDA STORE</v>
          </cell>
          <cell r="D17" t="str">
            <v>-</v>
          </cell>
          <cell r="E17">
            <v>13400</v>
          </cell>
          <cell r="F17" t="str">
            <v>-</v>
          </cell>
          <cell r="G17" t="str">
            <v>-</v>
          </cell>
          <cell r="H17">
            <v>7700</v>
          </cell>
          <cell r="I17">
            <v>16400</v>
          </cell>
          <cell r="J17" t="str">
            <v>-</v>
          </cell>
          <cell r="K17" t="str">
            <v>-</v>
          </cell>
          <cell r="L17" t="str">
            <v>-</v>
          </cell>
        </row>
        <row r="18">
          <cell r="C18" t="str">
            <v>AIS (coursier)</v>
          </cell>
          <cell r="D18">
            <v>440000</v>
          </cell>
          <cell r="E18">
            <v>440000</v>
          </cell>
          <cell r="F18">
            <v>440000</v>
          </cell>
          <cell r="G18">
            <v>440000</v>
          </cell>
          <cell r="H18">
            <v>440000</v>
          </cell>
          <cell r="I18">
            <v>440000</v>
          </cell>
          <cell r="J18">
            <v>440000</v>
          </cell>
          <cell r="K18">
            <v>440000</v>
          </cell>
          <cell r="L18">
            <v>440000</v>
          </cell>
        </row>
        <row r="19">
          <cell r="C19" t="str">
            <v>AIS (location vl et appartement)</v>
          </cell>
          <cell r="D19">
            <v>3125000</v>
          </cell>
          <cell r="E19">
            <v>3125000</v>
          </cell>
          <cell r="F19">
            <v>2900000</v>
          </cell>
          <cell r="G19">
            <v>2925000</v>
          </cell>
          <cell r="H19">
            <v>2925000</v>
          </cell>
          <cell r="I19">
            <v>2925000</v>
          </cell>
          <cell r="J19">
            <v>2925000</v>
          </cell>
          <cell r="K19">
            <v>2925000</v>
          </cell>
          <cell r="L19">
            <v>2925000</v>
          </cell>
        </row>
        <row r="20">
          <cell r="C20" t="str">
            <v>CBR CORPORATION</v>
          </cell>
          <cell r="H20">
            <v>71100</v>
          </cell>
          <cell r="I20">
            <v>28000</v>
          </cell>
          <cell r="J20">
            <v>14000</v>
          </cell>
          <cell r="K20">
            <v>14000</v>
          </cell>
          <cell r="L20" t="str">
            <v>-</v>
          </cell>
        </row>
        <row r="21">
          <cell r="C21" t="str">
            <v>BWA LOCATION VL</v>
          </cell>
          <cell r="D21">
            <v>11950000</v>
          </cell>
          <cell r="E21">
            <v>11950000</v>
          </cell>
          <cell r="F21">
            <v>4200000</v>
          </cell>
          <cell r="G21">
            <v>4200000</v>
          </cell>
          <cell r="H21">
            <v>4200000</v>
          </cell>
          <cell r="I21">
            <v>4200000</v>
          </cell>
          <cell r="J21">
            <v>4200000</v>
          </cell>
          <cell r="K21">
            <v>4200000</v>
          </cell>
          <cell r="L21">
            <v>4200000</v>
          </cell>
        </row>
        <row r="22">
          <cell r="C22" t="str">
            <v>AMSA ASSURANCE</v>
          </cell>
          <cell r="D22">
            <v>221500</v>
          </cell>
          <cell r="E22">
            <v>249750</v>
          </cell>
          <cell r="F22">
            <v>356750</v>
          </cell>
          <cell r="G22">
            <v>302750</v>
          </cell>
          <cell r="H22">
            <v>291500</v>
          </cell>
          <cell r="I22">
            <v>289000</v>
          </cell>
          <cell r="J22">
            <v>302700</v>
          </cell>
          <cell r="K22">
            <v>309800</v>
          </cell>
          <cell r="L22">
            <v>280300</v>
          </cell>
        </row>
        <row r="23">
          <cell r="C23" t="str">
            <v>PRAREP PROPACOM</v>
          </cell>
          <cell r="D23">
            <v>89250</v>
          </cell>
          <cell r="E23">
            <v>235000</v>
          </cell>
          <cell r="F23">
            <v>221500</v>
          </cell>
          <cell r="G23">
            <v>228500</v>
          </cell>
          <cell r="H23">
            <v>96000</v>
          </cell>
          <cell r="I23">
            <v>52000</v>
          </cell>
          <cell r="J23">
            <v>190000</v>
          </cell>
          <cell r="K23">
            <v>152000</v>
          </cell>
          <cell r="L23">
            <v>224500</v>
          </cell>
        </row>
        <row r="24">
          <cell r="C24" t="str">
            <v>POLYPOMPE IVOIRE</v>
          </cell>
          <cell r="I24">
            <v>300000</v>
          </cell>
          <cell r="J24" t="str">
            <v>-</v>
          </cell>
          <cell r="K24" t="str">
            <v>-</v>
          </cell>
          <cell r="L24" t="str">
            <v>-</v>
          </cell>
        </row>
        <row r="25">
          <cell r="C25" t="str">
            <v>SITAB</v>
          </cell>
          <cell r="D25">
            <v>392333</v>
          </cell>
          <cell r="E25">
            <v>443833</v>
          </cell>
          <cell r="F25">
            <v>437083</v>
          </cell>
          <cell r="G25">
            <v>410333</v>
          </cell>
          <cell r="H25">
            <v>413636</v>
          </cell>
          <cell r="I25">
            <v>428333</v>
          </cell>
          <cell r="J25">
            <v>469733</v>
          </cell>
          <cell r="K25">
            <v>474733</v>
          </cell>
          <cell r="L25">
            <v>442883</v>
          </cell>
        </row>
        <row r="26">
          <cell r="C26" t="str">
            <v>LONACI</v>
          </cell>
          <cell r="D26">
            <v>1617000</v>
          </cell>
          <cell r="E26">
            <v>2006003</v>
          </cell>
          <cell r="F26">
            <v>1834750</v>
          </cell>
          <cell r="G26">
            <v>1364250</v>
          </cell>
          <cell r="H26">
            <v>2243506</v>
          </cell>
          <cell r="I26">
            <v>2242000</v>
          </cell>
          <cell r="J26">
            <v>2087450</v>
          </cell>
          <cell r="K26">
            <v>2540300</v>
          </cell>
          <cell r="L26">
            <v>1751100</v>
          </cell>
        </row>
        <row r="27">
          <cell r="C27" t="str">
            <v>JUMIA</v>
          </cell>
          <cell r="L27">
            <v>350000</v>
          </cell>
        </row>
        <row r="28">
          <cell r="C28" t="str">
            <v>BCEAO</v>
          </cell>
          <cell r="D28">
            <v>278891</v>
          </cell>
          <cell r="E28">
            <v>349141</v>
          </cell>
          <cell r="F28">
            <v>425141</v>
          </cell>
          <cell r="G28">
            <v>373141</v>
          </cell>
          <cell r="H28">
            <v>299941</v>
          </cell>
          <cell r="I28">
            <v>294641</v>
          </cell>
          <cell r="J28">
            <v>637441</v>
          </cell>
          <cell r="K28">
            <v>307391</v>
          </cell>
          <cell r="L28">
            <v>379841</v>
          </cell>
        </row>
        <row r="29">
          <cell r="C29" t="str">
            <v>CNPS</v>
          </cell>
          <cell r="D29">
            <v>371218</v>
          </cell>
          <cell r="E29">
            <v>386218</v>
          </cell>
          <cell r="F29">
            <v>462718</v>
          </cell>
          <cell r="G29">
            <v>427218</v>
          </cell>
          <cell r="H29">
            <v>383463</v>
          </cell>
          <cell r="I29">
            <v>413218</v>
          </cell>
          <cell r="J29">
            <v>364668</v>
          </cell>
          <cell r="K29">
            <v>404568</v>
          </cell>
          <cell r="L29">
            <v>466968</v>
          </cell>
        </row>
        <row r="30">
          <cell r="C30" t="str">
            <v>SICTA</v>
          </cell>
          <cell r="D30">
            <v>950010</v>
          </cell>
          <cell r="E30">
            <v>1098260</v>
          </cell>
          <cell r="F30">
            <v>1095760</v>
          </cell>
          <cell r="G30">
            <v>993260</v>
          </cell>
          <cell r="H30">
            <v>1093910</v>
          </cell>
          <cell r="I30">
            <v>1067010</v>
          </cell>
          <cell r="J30">
            <v>1197810</v>
          </cell>
          <cell r="K30">
            <v>1129560</v>
          </cell>
          <cell r="L30">
            <v>1238760</v>
          </cell>
        </row>
        <row r="31">
          <cell r="C31" t="str">
            <v xml:space="preserve">SGBCI </v>
          </cell>
          <cell r="D31">
            <v>7999848</v>
          </cell>
          <cell r="E31">
            <v>7886848</v>
          </cell>
          <cell r="F31">
            <v>7926348</v>
          </cell>
          <cell r="G31">
            <v>8080848</v>
          </cell>
          <cell r="H31">
            <v>7949848</v>
          </cell>
          <cell r="I31">
            <v>7849848</v>
          </cell>
          <cell r="J31">
            <v>8199848</v>
          </cell>
          <cell r="K31">
            <v>8024848</v>
          </cell>
          <cell r="L31">
            <v>7996348</v>
          </cell>
        </row>
        <row r="32">
          <cell r="C32" t="str">
            <v>COTIVOIRIENNE</v>
          </cell>
          <cell r="D32">
            <v>135825</v>
          </cell>
          <cell r="E32">
            <v>142525</v>
          </cell>
          <cell r="F32">
            <v>141775</v>
          </cell>
          <cell r="G32">
            <v>139025</v>
          </cell>
          <cell r="H32">
            <v>137615</v>
          </cell>
          <cell r="I32">
            <v>136275</v>
          </cell>
          <cell r="J32">
            <v>134525</v>
          </cell>
          <cell r="K32">
            <v>135225</v>
          </cell>
          <cell r="L32">
            <v>139425</v>
          </cell>
        </row>
        <row r="33">
          <cell r="C33" t="str">
            <v>ALIOS FINANCE CI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</row>
        <row r="34">
          <cell r="C34" t="str">
            <v>EXAT</v>
          </cell>
          <cell r="D34">
            <v>190000</v>
          </cell>
          <cell r="E34">
            <v>191000</v>
          </cell>
          <cell r="F34">
            <v>191750</v>
          </cell>
          <cell r="G34">
            <v>190500</v>
          </cell>
          <cell r="H34">
            <v>190000</v>
          </cell>
          <cell r="I34">
            <v>190000</v>
          </cell>
          <cell r="J34">
            <v>190000</v>
          </cell>
          <cell r="K34">
            <v>190000</v>
          </cell>
          <cell r="L34">
            <v>195950</v>
          </cell>
        </row>
        <row r="35">
          <cell r="C35" t="str">
            <v>TOTAL CI</v>
          </cell>
          <cell r="D35">
            <v>173844</v>
          </cell>
          <cell r="E35">
            <v>874694</v>
          </cell>
          <cell r="F35">
            <v>745344</v>
          </cell>
          <cell r="G35">
            <v>340294</v>
          </cell>
          <cell r="H35">
            <v>546147</v>
          </cell>
          <cell r="I35">
            <v>561594</v>
          </cell>
          <cell r="J35">
            <v>465544</v>
          </cell>
          <cell r="K35">
            <v>221704</v>
          </cell>
          <cell r="L35">
            <v>344094</v>
          </cell>
        </row>
        <row r="36">
          <cell r="C36" t="str">
            <v>SIB PLATEAU</v>
          </cell>
          <cell r="D36">
            <v>4700000</v>
          </cell>
          <cell r="E36">
            <v>4960000</v>
          </cell>
          <cell r="F36">
            <v>5025000</v>
          </cell>
          <cell r="G36">
            <v>5025000</v>
          </cell>
          <cell r="H36">
            <v>5025000</v>
          </cell>
          <cell r="I36">
            <v>5025000</v>
          </cell>
          <cell r="J36">
            <v>5025000</v>
          </cell>
          <cell r="K36">
            <v>5025000</v>
          </cell>
          <cell r="L36">
            <v>5025000</v>
          </cell>
        </row>
        <row r="37">
          <cell r="C37" t="str">
            <v>DOGUE ET ABBE</v>
          </cell>
          <cell r="D37">
            <v>5500</v>
          </cell>
          <cell r="E37">
            <v>10000</v>
          </cell>
          <cell r="F37">
            <v>5500</v>
          </cell>
          <cell r="G37" t="str">
            <v>-</v>
          </cell>
          <cell r="H37">
            <v>11000</v>
          </cell>
          <cell r="I37">
            <v>15500</v>
          </cell>
          <cell r="J37">
            <v>21000</v>
          </cell>
          <cell r="K37">
            <v>5500</v>
          </cell>
          <cell r="L37" t="str">
            <v>-</v>
          </cell>
        </row>
        <row r="38">
          <cell r="C38" t="str">
            <v>GETMA CI</v>
          </cell>
          <cell r="D38" t="str">
            <v>-</v>
          </cell>
          <cell r="E38">
            <v>35000</v>
          </cell>
          <cell r="F38">
            <v>47000</v>
          </cell>
          <cell r="G38">
            <v>37000</v>
          </cell>
          <cell r="H38">
            <v>7000</v>
          </cell>
          <cell r="I38">
            <v>37000</v>
          </cell>
          <cell r="J38">
            <v>40000</v>
          </cell>
          <cell r="K38">
            <v>7000</v>
          </cell>
          <cell r="L38">
            <v>14000</v>
          </cell>
        </row>
        <row r="39">
          <cell r="C39" t="str">
            <v>DHL</v>
          </cell>
          <cell r="D39">
            <v>694250</v>
          </cell>
          <cell r="E39">
            <v>885000</v>
          </cell>
          <cell r="F39">
            <v>871375</v>
          </cell>
          <cell r="G39">
            <v>756250</v>
          </cell>
          <cell r="H39">
            <v>849325</v>
          </cell>
          <cell r="I39">
            <v>687250</v>
          </cell>
          <cell r="J39">
            <v>777880</v>
          </cell>
          <cell r="K39">
            <v>837650</v>
          </cell>
          <cell r="L39">
            <v>724710</v>
          </cell>
        </row>
        <row r="40">
          <cell r="C40" t="str">
            <v>SODECI</v>
          </cell>
          <cell r="D40">
            <v>405000</v>
          </cell>
          <cell r="E40">
            <v>453250</v>
          </cell>
          <cell r="F40">
            <v>406750</v>
          </cell>
          <cell r="G40">
            <v>408250</v>
          </cell>
          <cell r="H40">
            <v>404868</v>
          </cell>
          <cell r="I40">
            <v>403000</v>
          </cell>
          <cell r="J40">
            <v>407000</v>
          </cell>
          <cell r="K40">
            <v>401050</v>
          </cell>
          <cell r="L40">
            <v>419000</v>
          </cell>
        </row>
        <row r="41">
          <cell r="C41" t="str">
            <v>GESTOCI</v>
          </cell>
          <cell r="D41">
            <v>169244</v>
          </cell>
          <cell r="E41">
            <v>289244</v>
          </cell>
          <cell r="F41">
            <v>164244</v>
          </cell>
          <cell r="G41">
            <v>241244</v>
          </cell>
          <cell r="H41">
            <v>365927</v>
          </cell>
          <cell r="I41">
            <v>102994</v>
          </cell>
          <cell r="J41">
            <v>160594</v>
          </cell>
          <cell r="K41">
            <v>253344</v>
          </cell>
          <cell r="L41">
            <v>175994</v>
          </cell>
        </row>
        <row r="42">
          <cell r="C42" t="str">
            <v>SEV CI</v>
          </cell>
          <cell r="D42">
            <v>127750</v>
          </cell>
          <cell r="E42">
            <v>126000</v>
          </cell>
          <cell r="F42">
            <v>136500</v>
          </cell>
          <cell r="G42">
            <v>130000</v>
          </cell>
          <cell r="H42">
            <v>125000</v>
          </cell>
          <cell r="I42">
            <v>135000</v>
          </cell>
          <cell r="J42">
            <v>160350</v>
          </cell>
          <cell r="K42">
            <v>125000</v>
          </cell>
          <cell r="L42">
            <v>125000</v>
          </cell>
        </row>
        <row r="43">
          <cell r="C43" t="str">
            <v>BSIC CI</v>
          </cell>
          <cell r="D43">
            <v>512500</v>
          </cell>
          <cell r="E43">
            <v>575000</v>
          </cell>
          <cell r="F43">
            <v>665500</v>
          </cell>
          <cell r="G43">
            <v>532150</v>
          </cell>
          <cell r="H43">
            <v>539173</v>
          </cell>
          <cell r="I43">
            <v>575500</v>
          </cell>
          <cell r="J43">
            <v>673100</v>
          </cell>
          <cell r="K43">
            <v>567400</v>
          </cell>
          <cell r="L43">
            <v>614100</v>
          </cell>
        </row>
        <row r="44">
          <cell r="C44" t="str">
            <v>HEALTH ALLIANCE</v>
          </cell>
          <cell r="D44" t="str">
            <v>-</v>
          </cell>
          <cell r="E44" t="str">
            <v>-</v>
          </cell>
          <cell r="F44">
            <v>81250</v>
          </cell>
          <cell r="G44">
            <v>80000</v>
          </cell>
          <cell r="H44">
            <v>30000</v>
          </cell>
          <cell r="I44">
            <v>30000</v>
          </cell>
          <cell r="J44">
            <v>81750</v>
          </cell>
          <cell r="K44">
            <v>50000</v>
          </cell>
          <cell r="L44">
            <v>81050</v>
          </cell>
        </row>
        <row r="45">
          <cell r="C45" t="str">
            <v>SOFAD</v>
          </cell>
          <cell r="D45">
            <v>462750</v>
          </cell>
          <cell r="E45">
            <v>474500</v>
          </cell>
          <cell r="F45">
            <v>520000</v>
          </cell>
          <cell r="G45">
            <v>643750</v>
          </cell>
          <cell r="H45">
            <v>548750</v>
          </cell>
          <cell r="I45">
            <v>465750</v>
          </cell>
          <cell r="J45">
            <v>506450</v>
          </cell>
          <cell r="K45">
            <v>866350</v>
          </cell>
          <cell r="L45">
            <v>701850</v>
          </cell>
        </row>
        <row r="46">
          <cell r="C46" t="str">
            <v>ORDRE DES AVOCATS</v>
          </cell>
          <cell r="D46">
            <v>25950</v>
          </cell>
          <cell r="E46">
            <v>25525</v>
          </cell>
          <cell r="F46">
            <v>25950</v>
          </cell>
          <cell r="G46">
            <v>21700</v>
          </cell>
          <cell r="H46" t="str">
            <v>-</v>
          </cell>
          <cell r="I46">
            <v>20850</v>
          </cell>
          <cell r="J46" t="str">
            <v>-</v>
          </cell>
          <cell r="K46" t="str">
            <v>-</v>
          </cell>
          <cell r="L46" t="str">
            <v>-</v>
          </cell>
        </row>
        <row r="47">
          <cell r="C47" t="str">
            <v>2GE</v>
          </cell>
          <cell r="D47">
            <v>394259</v>
          </cell>
          <cell r="E47">
            <v>394259</v>
          </cell>
          <cell r="F47">
            <v>402009</v>
          </cell>
          <cell r="G47">
            <v>394259</v>
          </cell>
          <cell r="H47">
            <v>394259</v>
          </cell>
          <cell r="I47">
            <v>394259</v>
          </cell>
          <cell r="J47">
            <v>395659</v>
          </cell>
          <cell r="K47">
            <v>400759</v>
          </cell>
          <cell r="L47">
            <v>394259</v>
          </cell>
        </row>
        <row r="48">
          <cell r="C48" t="str">
            <v>CGRAE</v>
          </cell>
          <cell r="D48">
            <v>1100000</v>
          </cell>
          <cell r="E48">
            <v>1100000</v>
          </cell>
          <cell r="F48">
            <v>1100000</v>
          </cell>
          <cell r="G48">
            <v>1131000</v>
          </cell>
          <cell r="H48">
            <v>1100000</v>
          </cell>
          <cell r="I48">
            <v>1100000</v>
          </cell>
          <cell r="J48">
            <v>1100000</v>
          </cell>
          <cell r="K48">
            <v>1100000</v>
          </cell>
          <cell r="L48">
            <v>1200000</v>
          </cell>
        </row>
        <row r="49">
          <cell r="C49" t="str">
            <v>COPHARMED</v>
          </cell>
          <cell r="D49">
            <v>125000</v>
          </cell>
          <cell r="E49">
            <v>125000</v>
          </cell>
          <cell r="F49">
            <v>250000</v>
          </cell>
          <cell r="G49">
            <v>250000</v>
          </cell>
          <cell r="H49">
            <v>313040</v>
          </cell>
          <cell r="I49">
            <v>277480</v>
          </cell>
          <cell r="J49">
            <v>250000</v>
          </cell>
          <cell r="K49">
            <v>320410</v>
          </cell>
          <cell r="L49">
            <v>250000</v>
          </cell>
        </row>
        <row r="50">
          <cell r="C50" t="str">
            <v>CFAO TECHNOLOGIES</v>
          </cell>
          <cell r="D50" t="str">
            <v>-</v>
          </cell>
          <cell r="E50">
            <v>40000</v>
          </cell>
          <cell r="F50" t="str">
            <v>-</v>
          </cell>
          <cell r="G50" t="str">
            <v>-</v>
          </cell>
          <cell r="H50">
            <v>35000</v>
          </cell>
          <cell r="I50">
            <v>25000</v>
          </cell>
          <cell r="J50">
            <v>30000</v>
          </cell>
          <cell r="K50">
            <v>37550</v>
          </cell>
          <cell r="L50" t="str">
            <v>-</v>
          </cell>
        </row>
        <row r="51">
          <cell r="C51" t="str">
            <v>AIR LIQUIDE</v>
          </cell>
          <cell r="D51">
            <v>416000</v>
          </cell>
          <cell r="E51">
            <v>416000</v>
          </cell>
          <cell r="F51">
            <v>416000</v>
          </cell>
          <cell r="G51">
            <v>446000</v>
          </cell>
          <cell r="H51">
            <v>446000</v>
          </cell>
          <cell r="I51">
            <v>446000</v>
          </cell>
          <cell r="J51">
            <v>446000</v>
          </cell>
          <cell r="K51">
            <v>446000</v>
          </cell>
          <cell r="L51">
            <v>446000</v>
          </cell>
        </row>
        <row r="52">
          <cell r="C52" t="str">
            <v>SOREPCI</v>
          </cell>
          <cell r="D52">
            <v>43800</v>
          </cell>
          <cell r="E52">
            <v>87000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>
            <v>1325650</v>
          </cell>
          <cell r="K52">
            <v>105750</v>
          </cell>
          <cell r="L52">
            <v>353700</v>
          </cell>
        </row>
        <row r="53">
          <cell r="C53" t="str">
            <v>FIDRA</v>
          </cell>
          <cell r="D53">
            <v>585250</v>
          </cell>
          <cell r="E53">
            <v>688750</v>
          </cell>
          <cell r="F53">
            <v>766000</v>
          </cell>
          <cell r="G53">
            <v>758250</v>
          </cell>
          <cell r="H53">
            <v>756743</v>
          </cell>
          <cell r="I53">
            <v>759750</v>
          </cell>
          <cell r="J53">
            <v>758500</v>
          </cell>
          <cell r="K53">
            <v>757450</v>
          </cell>
          <cell r="L53">
            <v>781550</v>
          </cell>
        </row>
        <row r="54">
          <cell r="C54" t="str">
            <v>LOCATEC</v>
          </cell>
          <cell r="D54" t="str">
            <v>-</v>
          </cell>
          <cell r="E54">
            <v>55100</v>
          </cell>
          <cell r="F54">
            <v>12200</v>
          </cell>
          <cell r="G54">
            <v>13800</v>
          </cell>
          <cell r="H54">
            <v>15900</v>
          </cell>
          <cell r="I54">
            <v>12000</v>
          </cell>
          <cell r="J54">
            <v>54000</v>
          </cell>
          <cell r="K54">
            <v>82400</v>
          </cell>
          <cell r="L54">
            <v>63300</v>
          </cell>
        </row>
        <row r="55">
          <cell r="C55" t="str">
            <v>NESTLE CI</v>
          </cell>
          <cell r="D55">
            <v>549250</v>
          </cell>
          <cell r="E55">
            <v>659250</v>
          </cell>
          <cell r="F55">
            <v>611750</v>
          </cell>
          <cell r="G55">
            <v>725500</v>
          </cell>
          <cell r="H55">
            <v>616250</v>
          </cell>
          <cell r="I55">
            <v>603500</v>
          </cell>
          <cell r="J55">
            <v>649350</v>
          </cell>
          <cell r="K55">
            <v>635350</v>
          </cell>
          <cell r="L55">
            <v>667550</v>
          </cell>
        </row>
        <row r="56">
          <cell r="C56" t="str">
            <v>SACO</v>
          </cell>
          <cell r="D56">
            <v>270550</v>
          </cell>
          <cell r="E56">
            <v>251800</v>
          </cell>
          <cell r="F56">
            <v>282300</v>
          </cell>
          <cell r="G56">
            <v>243550</v>
          </cell>
          <cell r="H56">
            <v>261925</v>
          </cell>
          <cell r="I56">
            <v>231300</v>
          </cell>
          <cell r="J56">
            <v>322000</v>
          </cell>
          <cell r="K56">
            <v>1192550</v>
          </cell>
          <cell r="L56">
            <v>230300</v>
          </cell>
        </row>
        <row r="57">
          <cell r="C57" t="str">
            <v>ANADER</v>
          </cell>
          <cell r="D57">
            <v>401550</v>
          </cell>
          <cell r="E57">
            <v>433050</v>
          </cell>
          <cell r="F57">
            <v>496300</v>
          </cell>
          <cell r="G57">
            <v>494050</v>
          </cell>
          <cell r="H57">
            <v>508800</v>
          </cell>
          <cell r="I57">
            <v>535050</v>
          </cell>
          <cell r="J57">
            <v>515050</v>
          </cell>
          <cell r="K57">
            <v>491700</v>
          </cell>
          <cell r="L57">
            <v>520400</v>
          </cell>
        </row>
        <row r="58">
          <cell r="C58" t="str">
            <v>COOPEC</v>
          </cell>
          <cell r="D58">
            <v>358371</v>
          </cell>
          <cell r="E58">
            <v>220871</v>
          </cell>
          <cell r="F58">
            <v>336721</v>
          </cell>
          <cell r="G58">
            <v>257771</v>
          </cell>
          <cell r="H58">
            <v>272096</v>
          </cell>
          <cell r="I58">
            <v>232071</v>
          </cell>
          <cell r="J58">
            <v>407021</v>
          </cell>
          <cell r="K58">
            <v>343771</v>
          </cell>
          <cell r="L58">
            <v>309821</v>
          </cell>
        </row>
        <row r="59">
          <cell r="C59" t="str">
            <v>SOCOMELEC</v>
          </cell>
          <cell r="D59" t="str">
            <v>-</v>
          </cell>
          <cell r="E59" t="str">
            <v>-</v>
          </cell>
          <cell r="F59" t="str">
            <v>-</v>
          </cell>
          <cell r="G59" t="str">
            <v>-</v>
          </cell>
          <cell r="H59" t="str">
            <v>-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</row>
        <row r="60">
          <cell r="C60" t="str">
            <v>ORANGE</v>
          </cell>
          <cell r="D60">
            <v>6006256</v>
          </cell>
          <cell r="E60">
            <v>5925292</v>
          </cell>
          <cell r="F60">
            <v>6001132</v>
          </cell>
          <cell r="G60">
            <v>5775808</v>
          </cell>
          <cell r="H60">
            <v>6065973</v>
          </cell>
          <cell r="I60">
            <v>5061560</v>
          </cell>
          <cell r="J60">
            <v>7647160</v>
          </cell>
          <cell r="K60">
            <v>6972332</v>
          </cell>
          <cell r="L60">
            <v>7882398</v>
          </cell>
        </row>
        <row r="61">
          <cell r="C61" t="str">
            <v>SIPRA</v>
          </cell>
          <cell r="D61">
            <v>408640</v>
          </cell>
          <cell r="E61">
            <v>408640</v>
          </cell>
          <cell r="F61">
            <v>408640</v>
          </cell>
          <cell r="G61">
            <v>538640</v>
          </cell>
          <cell r="H61">
            <v>408640</v>
          </cell>
          <cell r="I61">
            <v>415140</v>
          </cell>
          <cell r="J61">
            <v>551640</v>
          </cell>
          <cell r="K61">
            <v>408640</v>
          </cell>
          <cell r="L61">
            <v>408640</v>
          </cell>
        </row>
        <row r="62">
          <cell r="C62" t="str">
            <v>CFAO EQUIPEMENT</v>
          </cell>
          <cell r="D62" t="str">
            <v>-</v>
          </cell>
          <cell r="E62">
            <v>43500</v>
          </cell>
          <cell r="F62">
            <v>35900</v>
          </cell>
          <cell r="G62">
            <v>54000</v>
          </cell>
          <cell r="H62">
            <v>42900</v>
          </cell>
          <cell r="I62">
            <v>35500</v>
          </cell>
          <cell r="J62">
            <v>67300</v>
          </cell>
          <cell r="K62">
            <v>36000</v>
          </cell>
          <cell r="L62">
            <v>90800</v>
          </cell>
        </row>
        <row r="63">
          <cell r="C63" t="str">
            <v>VIVO ENERGY</v>
          </cell>
          <cell r="D63">
            <v>114500</v>
          </cell>
          <cell r="E63">
            <v>216500</v>
          </cell>
          <cell r="F63">
            <v>268500</v>
          </cell>
          <cell r="G63">
            <v>231000</v>
          </cell>
          <cell r="H63">
            <v>148000</v>
          </cell>
          <cell r="I63">
            <v>190500</v>
          </cell>
          <cell r="J63">
            <v>253500</v>
          </cell>
          <cell r="K63">
            <v>144500</v>
          </cell>
          <cell r="L63">
            <v>106150</v>
          </cell>
        </row>
        <row r="64">
          <cell r="C64" t="str">
            <v>BRIDGE BANK</v>
          </cell>
          <cell r="D64">
            <v>130000</v>
          </cell>
          <cell r="E64">
            <v>130000</v>
          </cell>
          <cell r="F64">
            <v>130000</v>
          </cell>
          <cell r="G64">
            <v>130000</v>
          </cell>
          <cell r="H64">
            <v>130000</v>
          </cell>
          <cell r="I64">
            <v>136750</v>
          </cell>
          <cell r="J64">
            <v>130000</v>
          </cell>
          <cell r="K64">
            <v>137700</v>
          </cell>
          <cell r="L64">
            <v>130000</v>
          </cell>
        </row>
        <row r="65">
          <cell r="C65" t="str">
            <v>SEDACI CANAL+HORIZON</v>
          </cell>
          <cell r="D65">
            <v>2932608</v>
          </cell>
          <cell r="E65">
            <v>3068000</v>
          </cell>
          <cell r="F65">
            <v>2953750</v>
          </cell>
          <cell r="G65">
            <v>3011250</v>
          </cell>
          <cell r="H65">
            <v>2950400</v>
          </cell>
          <cell r="I65">
            <v>2966250</v>
          </cell>
          <cell r="J65">
            <v>2949900</v>
          </cell>
          <cell r="K65">
            <v>3007600</v>
          </cell>
          <cell r="L65">
            <v>2921500</v>
          </cell>
        </row>
        <row r="66">
          <cell r="C66" t="str">
            <v>MTN CI</v>
          </cell>
          <cell r="D66">
            <v>1666000</v>
          </cell>
          <cell r="E66">
            <v>1253000</v>
          </cell>
          <cell r="F66">
            <v>2696000</v>
          </cell>
          <cell r="G66">
            <v>3316250</v>
          </cell>
          <cell r="H66">
            <v>1629675</v>
          </cell>
          <cell r="I66">
            <v>1190250</v>
          </cell>
          <cell r="J66">
            <v>1714600</v>
          </cell>
          <cell r="K66">
            <v>1619100</v>
          </cell>
          <cell r="L66">
            <v>1307400</v>
          </cell>
        </row>
        <row r="67">
          <cell r="C67" t="str">
            <v>CITIBANK</v>
          </cell>
          <cell r="D67">
            <v>1275000</v>
          </cell>
          <cell r="E67">
            <v>1275000</v>
          </cell>
          <cell r="F67">
            <v>1275000</v>
          </cell>
          <cell r="G67">
            <v>1275000</v>
          </cell>
          <cell r="H67">
            <v>1275000</v>
          </cell>
          <cell r="I67">
            <v>1275000</v>
          </cell>
          <cell r="J67">
            <v>1275000</v>
          </cell>
          <cell r="K67">
            <v>1275000</v>
          </cell>
          <cell r="L67">
            <v>1275000</v>
          </cell>
        </row>
        <row r="68">
          <cell r="C68" t="str">
            <v xml:space="preserve">BICICI ABIDJAN </v>
          </cell>
          <cell r="D68">
            <v>4556127</v>
          </cell>
          <cell r="E68">
            <v>4530627</v>
          </cell>
          <cell r="F68">
            <v>4380877</v>
          </cell>
          <cell r="G68">
            <v>4314377</v>
          </cell>
          <cell r="H68">
            <v>4433152</v>
          </cell>
          <cell r="I68">
            <v>4342627</v>
          </cell>
          <cell r="J68">
            <v>4449677</v>
          </cell>
          <cell r="K68">
            <v>4423777</v>
          </cell>
          <cell r="L68">
            <v>4578552</v>
          </cell>
        </row>
        <row r="69">
          <cell r="C69" t="str">
            <v>DPCI</v>
          </cell>
          <cell r="D69">
            <v>1900000</v>
          </cell>
          <cell r="E69">
            <v>1900000</v>
          </cell>
          <cell r="F69">
            <v>1965653</v>
          </cell>
          <cell r="G69">
            <v>2256380</v>
          </cell>
          <cell r="H69">
            <v>2681300</v>
          </cell>
          <cell r="I69">
            <v>2972975</v>
          </cell>
          <cell r="J69">
            <v>3325855</v>
          </cell>
          <cell r="K69">
            <v>2811453</v>
          </cell>
          <cell r="L69">
            <v>2725727</v>
          </cell>
        </row>
        <row r="70">
          <cell r="C70" t="str">
            <v>CI TELECOM POSTEL 2001</v>
          </cell>
          <cell r="D70">
            <v>1621464</v>
          </cell>
          <cell r="E70">
            <v>2349144</v>
          </cell>
          <cell r="F70">
            <v>1715124</v>
          </cell>
          <cell r="G70">
            <v>1603167</v>
          </cell>
          <cell r="H70">
            <v>1445577</v>
          </cell>
          <cell r="I70">
            <v>1757236</v>
          </cell>
          <cell r="J70">
            <v>1834039</v>
          </cell>
          <cell r="K70">
            <v>1678596</v>
          </cell>
          <cell r="L70">
            <v>2034448</v>
          </cell>
        </row>
        <row r="71">
          <cell r="C71" t="str">
            <v>BIAO</v>
          </cell>
          <cell r="D71">
            <v>4036100</v>
          </cell>
          <cell r="E71">
            <v>4784100</v>
          </cell>
          <cell r="F71">
            <v>4392600</v>
          </cell>
          <cell r="G71">
            <v>4194600</v>
          </cell>
          <cell r="H71">
            <v>4266600</v>
          </cell>
          <cell r="I71">
            <v>4077600</v>
          </cell>
          <cell r="J71">
            <v>4294100</v>
          </cell>
          <cell r="K71">
            <v>4271100</v>
          </cell>
          <cell r="L71">
            <v>4599600</v>
          </cell>
        </row>
        <row r="72">
          <cell r="C72" t="str">
            <v>ACCD TRESOR PUBLIC</v>
          </cell>
          <cell r="D72">
            <v>1752500</v>
          </cell>
          <cell r="E72">
            <v>1788500</v>
          </cell>
          <cell r="F72">
            <v>1746000</v>
          </cell>
          <cell r="G72">
            <v>1730250</v>
          </cell>
          <cell r="H72">
            <v>1756000</v>
          </cell>
          <cell r="I72">
            <v>1733000</v>
          </cell>
          <cell r="J72">
            <v>1720000</v>
          </cell>
          <cell r="K72">
            <v>1726500</v>
          </cell>
          <cell r="L72">
            <v>1720000</v>
          </cell>
        </row>
        <row r="73">
          <cell r="C73" t="str">
            <v>MODERNE OPTIQUE</v>
          </cell>
          <cell r="D73">
            <v>149160</v>
          </cell>
          <cell r="E73">
            <v>149410</v>
          </cell>
          <cell r="F73">
            <v>149160</v>
          </cell>
          <cell r="G73">
            <v>150910</v>
          </cell>
          <cell r="H73">
            <v>151660</v>
          </cell>
          <cell r="I73">
            <v>155160</v>
          </cell>
          <cell r="J73">
            <v>157560</v>
          </cell>
          <cell r="K73">
            <v>159660</v>
          </cell>
          <cell r="L73">
            <v>149160</v>
          </cell>
        </row>
        <row r="74">
          <cell r="C74" t="str">
            <v>GRAS SAVOYE</v>
          </cell>
          <cell r="D74">
            <v>257640</v>
          </cell>
          <cell r="E74">
            <v>257640</v>
          </cell>
          <cell r="F74">
            <v>257640</v>
          </cell>
          <cell r="G74">
            <v>257640</v>
          </cell>
          <cell r="H74">
            <v>257640</v>
          </cell>
          <cell r="I74">
            <v>257640</v>
          </cell>
          <cell r="J74">
            <v>257640</v>
          </cell>
          <cell r="K74">
            <v>257640</v>
          </cell>
          <cell r="L74">
            <v>257640</v>
          </cell>
        </row>
        <row r="75">
          <cell r="C75" t="str">
            <v>CTOP</v>
          </cell>
          <cell r="D75">
            <v>646080</v>
          </cell>
          <cell r="E75">
            <v>703830</v>
          </cell>
          <cell r="F75">
            <v>728580</v>
          </cell>
          <cell r="G75">
            <v>738330</v>
          </cell>
          <cell r="H75">
            <v>677340</v>
          </cell>
          <cell r="I75">
            <v>663330</v>
          </cell>
          <cell r="J75">
            <v>683830</v>
          </cell>
          <cell r="K75">
            <v>689080</v>
          </cell>
          <cell r="L75">
            <v>680680</v>
          </cell>
        </row>
        <row r="76">
          <cell r="C76" t="str">
            <v>BFA</v>
          </cell>
          <cell r="D76">
            <v>444000</v>
          </cell>
          <cell r="E76">
            <v>459250</v>
          </cell>
          <cell r="F76">
            <v>451500</v>
          </cell>
          <cell r="G76">
            <v>440500</v>
          </cell>
          <cell r="H76">
            <v>444000</v>
          </cell>
          <cell r="I76">
            <v>445750</v>
          </cell>
          <cell r="J76">
            <v>501150</v>
          </cell>
          <cell r="K76">
            <v>435000</v>
          </cell>
          <cell r="L76">
            <v>448250</v>
          </cell>
        </row>
        <row r="77">
          <cell r="C77" t="str">
            <v>CONSEIL CAFE CACAO</v>
          </cell>
          <cell r="D77">
            <v>485000</v>
          </cell>
          <cell r="E77">
            <v>400000</v>
          </cell>
          <cell r="F77">
            <v>433000</v>
          </cell>
          <cell r="G77">
            <v>476500</v>
          </cell>
          <cell r="H77">
            <v>364855</v>
          </cell>
          <cell r="I77">
            <v>389000</v>
          </cell>
          <cell r="J77">
            <v>860700</v>
          </cell>
          <cell r="K77">
            <v>559150</v>
          </cell>
          <cell r="L77">
            <v>1821125</v>
          </cell>
        </row>
        <row r="78">
          <cell r="C78" t="str">
            <v>BOA</v>
          </cell>
          <cell r="D78">
            <v>2203250</v>
          </cell>
          <cell r="E78">
            <v>2359785</v>
          </cell>
          <cell r="F78">
            <v>2395250</v>
          </cell>
          <cell r="G78">
            <v>2363850</v>
          </cell>
          <cell r="H78">
            <v>2332243</v>
          </cell>
          <cell r="I78">
            <v>2451250</v>
          </cell>
          <cell r="J78">
            <v>3121550</v>
          </cell>
          <cell r="K78">
            <v>2763500</v>
          </cell>
          <cell r="L78">
            <v>3037340</v>
          </cell>
        </row>
        <row r="79">
          <cell r="C79" t="str">
            <v>COOPEC GAGNOA</v>
          </cell>
          <cell r="D79">
            <v>504500</v>
          </cell>
          <cell r="E79">
            <v>506750</v>
          </cell>
          <cell r="F79">
            <v>507250</v>
          </cell>
          <cell r="G79">
            <v>490000</v>
          </cell>
          <cell r="H79">
            <v>492500</v>
          </cell>
          <cell r="I79">
            <v>490000</v>
          </cell>
          <cell r="J79">
            <v>490000</v>
          </cell>
          <cell r="K79">
            <v>526750</v>
          </cell>
          <cell r="L79">
            <v>507500</v>
          </cell>
        </row>
        <row r="80">
          <cell r="C80" t="str">
            <v>FOREVER LIVING PRODUCT</v>
          </cell>
          <cell r="D80">
            <v>1658250</v>
          </cell>
          <cell r="E80">
            <v>2793750</v>
          </cell>
          <cell r="F80">
            <v>2119500</v>
          </cell>
          <cell r="G80">
            <v>2032850</v>
          </cell>
          <cell r="H80">
            <v>2008625</v>
          </cell>
          <cell r="I80">
            <v>2259250</v>
          </cell>
          <cell r="J80">
            <v>2659790</v>
          </cell>
          <cell r="K80">
            <v>3190851</v>
          </cell>
          <cell r="L80">
            <v>2540900</v>
          </cell>
        </row>
        <row r="81">
          <cell r="C81" t="str">
            <v>ATTILA KOULA</v>
          </cell>
          <cell r="D81">
            <v>50250</v>
          </cell>
          <cell r="E81">
            <v>6500</v>
          </cell>
          <cell r="F81">
            <v>13000</v>
          </cell>
          <cell r="G81">
            <v>42000</v>
          </cell>
          <cell r="H81">
            <v>68325</v>
          </cell>
          <cell r="I81">
            <v>6500</v>
          </cell>
          <cell r="J81">
            <v>6500</v>
          </cell>
          <cell r="K81">
            <v>70650</v>
          </cell>
          <cell r="L81">
            <v>58400</v>
          </cell>
        </row>
        <row r="82">
          <cell r="C82" t="str">
            <v>MOOV</v>
          </cell>
          <cell r="D82">
            <v>2881000</v>
          </cell>
          <cell r="E82">
            <v>4404000</v>
          </cell>
          <cell r="F82">
            <v>3054750</v>
          </cell>
          <cell r="G82">
            <v>3270275</v>
          </cell>
          <cell r="H82">
            <v>3559513</v>
          </cell>
          <cell r="I82">
            <v>2909500</v>
          </cell>
          <cell r="J82">
            <v>3364750</v>
          </cell>
          <cell r="K82">
            <v>3399050</v>
          </cell>
          <cell r="L82">
            <v>2264700</v>
          </cell>
        </row>
        <row r="83">
          <cell r="C83" t="str">
            <v>PHCIE ND FATIMA</v>
          </cell>
          <cell r="D83">
            <v>33899</v>
          </cell>
          <cell r="E83">
            <v>33899</v>
          </cell>
          <cell r="F83">
            <v>33899</v>
          </cell>
          <cell r="G83">
            <v>37399</v>
          </cell>
          <cell r="H83">
            <v>33899</v>
          </cell>
          <cell r="I83">
            <v>33899</v>
          </cell>
          <cell r="J83">
            <v>36349</v>
          </cell>
          <cell r="K83">
            <v>33899</v>
          </cell>
          <cell r="L83">
            <v>33899</v>
          </cell>
        </row>
        <row r="84">
          <cell r="C84" t="str">
            <v>ADISCOM</v>
          </cell>
          <cell r="D84" t="str">
            <v>-</v>
          </cell>
          <cell r="E84" t="str">
            <v>-</v>
          </cell>
          <cell r="F84" t="str">
            <v>-</v>
          </cell>
          <cell r="G84" t="str">
            <v>-</v>
          </cell>
          <cell r="H84" t="str">
            <v>-</v>
          </cell>
          <cell r="I84">
            <v>104500</v>
          </cell>
          <cell r="J84">
            <v>100000</v>
          </cell>
          <cell r="K84">
            <v>106500</v>
          </cell>
          <cell r="L84" t="str">
            <v>-</v>
          </cell>
        </row>
        <row r="85">
          <cell r="C85" t="str">
            <v>BNI</v>
          </cell>
          <cell r="D85">
            <v>2707950</v>
          </cell>
          <cell r="E85">
            <v>3087550</v>
          </cell>
          <cell r="F85">
            <v>3213050</v>
          </cell>
          <cell r="G85">
            <v>3124100</v>
          </cell>
          <cell r="H85">
            <v>3256980</v>
          </cell>
          <cell r="I85">
            <v>3308400</v>
          </cell>
          <cell r="J85">
            <v>3032700</v>
          </cell>
          <cell r="K85">
            <v>3141100</v>
          </cell>
          <cell r="L85">
            <v>3545600</v>
          </cell>
        </row>
        <row r="86">
          <cell r="C86" t="str">
            <v>STANDARD CHARTERED BANK</v>
          </cell>
          <cell r="D86">
            <v>800000</v>
          </cell>
          <cell r="E86">
            <v>800000</v>
          </cell>
          <cell r="F86">
            <v>800000</v>
          </cell>
          <cell r="G86">
            <v>800000</v>
          </cell>
          <cell r="H86">
            <v>800000</v>
          </cell>
          <cell r="I86">
            <v>800000</v>
          </cell>
          <cell r="J86">
            <v>1120000</v>
          </cell>
          <cell r="K86">
            <v>1169000</v>
          </cell>
          <cell r="L86">
            <v>1216000</v>
          </cell>
        </row>
        <row r="87">
          <cell r="C87" t="str">
            <v>CHRONOPOST</v>
          </cell>
          <cell r="D87">
            <v>200750</v>
          </cell>
          <cell r="E87">
            <v>257375</v>
          </cell>
          <cell r="F87">
            <v>182000</v>
          </cell>
          <cell r="G87">
            <v>165450</v>
          </cell>
          <cell r="H87">
            <v>93750</v>
          </cell>
          <cell r="I87">
            <v>115325</v>
          </cell>
          <cell r="J87">
            <v>73445</v>
          </cell>
          <cell r="K87">
            <v>195780</v>
          </cell>
          <cell r="L87">
            <v>167885</v>
          </cell>
        </row>
        <row r="88">
          <cell r="C88" t="str">
            <v>COCITAM</v>
          </cell>
          <cell r="D88">
            <v>495650</v>
          </cell>
          <cell r="E88">
            <v>501400</v>
          </cell>
          <cell r="F88">
            <v>440650</v>
          </cell>
          <cell r="G88">
            <v>346650</v>
          </cell>
          <cell r="H88">
            <v>423065</v>
          </cell>
          <cell r="I88">
            <v>307400</v>
          </cell>
          <cell r="J88">
            <v>577150</v>
          </cell>
          <cell r="K88">
            <v>749700</v>
          </cell>
          <cell r="L88">
            <v>275100</v>
          </cell>
        </row>
        <row r="89">
          <cell r="C89" t="str">
            <v>BACI</v>
          </cell>
          <cell r="D89">
            <v>7177805</v>
          </cell>
          <cell r="E89">
            <v>7112305</v>
          </cell>
          <cell r="F89">
            <v>6928555</v>
          </cell>
          <cell r="G89">
            <v>6801805</v>
          </cell>
          <cell r="H89">
            <v>6813305</v>
          </cell>
          <cell r="I89">
            <v>7254805</v>
          </cell>
          <cell r="J89">
            <v>7867705</v>
          </cell>
          <cell r="K89">
            <v>7237405</v>
          </cell>
          <cell r="L89">
            <v>7178605</v>
          </cell>
        </row>
        <row r="90">
          <cell r="C90" t="str">
            <v>ORANGE ( DISTRIBUTION DE FACTURES )</v>
          </cell>
          <cell r="D90">
            <v>700000</v>
          </cell>
          <cell r="E90">
            <v>700000</v>
          </cell>
          <cell r="F90">
            <v>700000</v>
          </cell>
          <cell r="G90">
            <v>700000</v>
          </cell>
          <cell r="H90">
            <v>700000</v>
          </cell>
          <cell r="I90">
            <v>700000</v>
          </cell>
          <cell r="J90">
            <v>700000</v>
          </cell>
          <cell r="K90">
            <v>700000</v>
          </cell>
          <cell r="L90">
            <v>700000</v>
          </cell>
        </row>
        <row r="91">
          <cell r="C91" t="str">
            <v>CI TELCOM ( DISTRIBUTION DE FACTURES )</v>
          </cell>
          <cell r="D91">
            <v>6300000</v>
          </cell>
          <cell r="E91">
            <v>6300000</v>
          </cell>
          <cell r="F91">
            <v>6300000</v>
          </cell>
          <cell r="G91">
            <v>6300000</v>
          </cell>
          <cell r="H91">
            <v>6300000</v>
          </cell>
          <cell r="I91">
            <v>6300000</v>
          </cell>
          <cell r="J91">
            <v>6300000</v>
          </cell>
          <cell r="K91">
            <v>6300000</v>
          </cell>
          <cell r="L91">
            <v>6300000</v>
          </cell>
        </row>
        <row r="92">
          <cell r="C92" t="str">
            <v>SIVCO</v>
          </cell>
          <cell r="D92">
            <v>121030</v>
          </cell>
          <cell r="E92">
            <v>151030</v>
          </cell>
          <cell r="F92">
            <v>111030</v>
          </cell>
          <cell r="G92">
            <v>164030</v>
          </cell>
          <cell r="H92">
            <v>101030</v>
          </cell>
          <cell r="I92">
            <v>81030</v>
          </cell>
          <cell r="J92">
            <v>81030</v>
          </cell>
          <cell r="K92">
            <v>81030</v>
          </cell>
          <cell r="L92">
            <v>81030</v>
          </cell>
        </row>
        <row r="93">
          <cell r="C93" t="str">
            <v>COMIUM</v>
          </cell>
          <cell r="D93">
            <v>1842000</v>
          </cell>
          <cell r="E93">
            <v>1929892</v>
          </cell>
          <cell r="F93">
            <v>2073400</v>
          </cell>
          <cell r="G93">
            <v>2008000</v>
          </cell>
          <cell r="H93">
            <v>2116712</v>
          </cell>
          <cell r="I93">
            <v>1946384</v>
          </cell>
          <cell r="J93">
            <v>2347000</v>
          </cell>
          <cell r="K93">
            <v>1942500</v>
          </cell>
          <cell r="L93">
            <v>2139400</v>
          </cell>
        </row>
        <row r="94">
          <cell r="C94" t="str">
            <v>NOUVELLE EMMERAUDE</v>
          </cell>
          <cell r="D94">
            <v>-6250</v>
          </cell>
          <cell r="E94" t="str">
            <v>-</v>
          </cell>
          <cell r="F94" t="str">
            <v>-</v>
          </cell>
          <cell r="G94" t="str">
            <v>-</v>
          </cell>
          <cell r="H94" t="str">
            <v>-</v>
          </cell>
          <cell r="I94" t="str">
            <v>-</v>
          </cell>
          <cell r="J94" t="str">
            <v>-</v>
          </cell>
          <cell r="K94" t="str">
            <v>-</v>
          </cell>
          <cell r="L94" t="str">
            <v>-</v>
          </cell>
        </row>
        <row r="95">
          <cell r="C95" t="str">
            <v>SONATT</v>
          </cell>
          <cell r="D95">
            <v>446750</v>
          </cell>
          <cell r="E95">
            <v>856250</v>
          </cell>
          <cell r="F95">
            <v>539000</v>
          </cell>
          <cell r="G95">
            <v>504750</v>
          </cell>
          <cell r="H95">
            <v>557155</v>
          </cell>
          <cell r="I95">
            <v>555743</v>
          </cell>
          <cell r="J95">
            <v>439250</v>
          </cell>
          <cell r="K95" t="str">
            <v>-</v>
          </cell>
          <cell r="L95" t="str">
            <v>-</v>
          </cell>
        </row>
        <row r="96">
          <cell r="C96" t="str">
            <v>AFCO</v>
          </cell>
          <cell r="D96" t="str">
            <v>-</v>
          </cell>
          <cell r="E96" t="str">
            <v>-</v>
          </cell>
          <cell r="F96" t="str">
            <v>-</v>
          </cell>
          <cell r="G96" t="str">
            <v>-</v>
          </cell>
          <cell r="H96" t="str">
            <v>-</v>
          </cell>
          <cell r="I96" t="str">
            <v>-</v>
          </cell>
          <cell r="J96" t="str">
            <v>-</v>
          </cell>
          <cell r="K96" t="str">
            <v>-</v>
          </cell>
          <cell r="L96" t="str">
            <v>-</v>
          </cell>
        </row>
        <row r="97">
          <cell r="C97" t="str">
            <v>COOPEC YAKRO</v>
          </cell>
          <cell r="D97">
            <v>365500</v>
          </cell>
          <cell r="E97">
            <v>478500</v>
          </cell>
          <cell r="F97">
            <v>265500</v>
          </cell>
          <cell r="G97">
            <v>410000</v>
          </cell>
          <cell r="H97">
            <v>419768</v>
          </cell>
          <cell r="I97">
            <v>506000</v>
          </cell>
          <cell r="J97">
            <v>444700</v>
          </cell>
          <cell r="K97">
            <v>447150</v>
          </cell>
          <cell r="L97">
            <v>365250</v>
          </cell>
        </row>
        <row r="98">
          <cell r="C98" t="str">
            <v>ZETES</v>
          </cell>
          <cell r="D98">
            <v>386000</v>
          </cell>
          <cell r="E98">
            <v>561000</v>
          </cell>
          <cell r="F98">
            <v>386000</v>
          </cell>
          <cell r="G98">
            <v>386000</v>
          </cell>
          <cell r="H98">
            <v>386000</v>
          </cell>
          <cell r="I98">
            <v>386000</v>
          </cell>
          <cell r="J98">
            <v>386000</v>
          </cell>
          <cell r="K98">
            <v>386000</v>
          </cell>
          <cell r="L98">
            <v>386000</v>
          </cell>
        </row>
        <row r="99">
          <cell r="C99" t="str">
            <v>GREENN CI</v>
          </cell>
          <cell r="D99" t="str">
            <v>-</v>
          </cell>
          <cell r="E99">
            <v>76000</v>
          </cell>
          <cell r="F99">
            <v>45500</v>
          </cell>
          <cell r="G99">
            <v>52100</v>
          </cell>
          <cell r="H99">
            <v>441500</v>
          </cell>
          <cell r="I99">
            <v>135000</v>
          </cell>
          <cell r="J99">
            <v>123000</v>
          </cell>
          <cell r="K99">
            <v>199650</v>
          </cell>
          <cell r="L99">
            <v>92100</v>
          </cell>
        </row>
        <row r="100">
          <cell r="C100" t="str">
            <v>BHCI</v>
          </cell>
          <cell r="D100">
            <v>714000</v>
          </cell>
          <cell r="E100">
            <v>735500</v>
          </cell>
          <cell r="F100">
            <v>742250</v>
          </cell>
          <cell r="G100">
            <v>686500</v>
          </cell>
          <cell r="H100">
            <v>716163</v>
          </cell>
          <cell r="I100">
            <v>700500</v>
          </cell>
          <cell r="J100">
            <v>1058700</v>
          </cell>
          <cell r="K100">
            <v>698450</v>
          </cell>
          <cell r="L100">
            <v>688700</v>
          </cell>
        </row>
        <row r="101">
          <cell r="C101" t="str">
            <v>STAR AUTO</v>
          </cell>
          <cell r="D101">
            <v>325000</v>
          </cell>
          <cell r="E101">
            <v>325000</v>
          </cell>
          <cell r="F101">
            <v>325000</v>
          </cell>
          <cell r="G101">
            <v>325000</v>
          </cell>
          <cell r="H101">
            <v>325000</v>
          </cell>
          <cell r="I101">
            <v>325000</v>
          </cell>
          <cell r="J101">
            <v>325000</v>
          </cell>
          <cell r="K101">
            <v>325000</v>
          </cell>
          <cell r="L101">
            <v>325000</v>
          </cell>
        </row>
        <row r="102">
          <cell r="C102" t="str">
            <v>ITCA</v>
          </cell>
          <cell r="D102">
            <v>100000</v>
          </cell>
          <cell r="E102">
            <v>100000</v>
          </cell>
          <cell r="F102">
            <v>100000</v>
          </cell>
          <cell r="G102" t="str">
            <v>-</v>
          </cell>
          <cell r="H102" t="str">
            <v>-</v>
          </cell>
          <cell r="I102" t="str">
            <v>-</v>
          </cell>
          <cell r="J102" t="str">
            <v>-</v>
          </cell>
          <cell r="K102" t="str">
            <v>-</v>
          </cell>
          <cell r="L102" t="str">
            <v>-</v>
          </cell>
        </row>
        <row r="103">
          <cell r="C103" t="str">
            <v>COLINA VIE</v>
          </cell>
          <cell r="D103">
            <v>546250</v>
          </cell>
          <cell r="E103">
            <v>409000</v>
          </cell>
          <cell r="F103">
            <v>377750</v>
          </cell>
          <cell r="G103">
            <v>370000</v>
          </cell>
          <cell r="H103">
            <v>392750</v>
          </cell>
          <cell r="I103">
            <v>371750</v>
          </cell>
          <cell r="J103">
            <v>382000</v>
          </cell>
          <cell r="K103">
            <v>389250</v>
          </cell>
          <cell r="L103">
            <v>460350</v>
          </cell>
        </row>
        <row r="104">
          <cell r="C104" t="str">
            <v>ICAP</v>
          </cell>
          <cell r="F104">
            <v>200000</v>
          </cell>
          <cell r="G104">
            <v>200000</v>
          </cell>
          <cell r="H104">
            <v>200000</v>
          </cell>
          <cell r="I104">
            <v>200000</v>
          </cell>
          <cell r="J104">
            <v>200000</v>
          </cell>
          <cell r="K104">
            <v>200000</v>
          </cell>
          <cell r="L104">
            <v>200000</v>
          </cell>
        </row>
        <row r="105">
          <cell r="C105" t="str">
            <v>CHAKA CARD</v>
          </cell>
          <cell r="D105">
            <v>39000</v>
          </cell>
          <cell r="E105">
            <v>56500</v>
          </cell>
          <cell r="F105">
            <v>42500</v>
          </cell>
          <cell r="G105">
            <v>34500</v>
          </cell>
          <cell r="H105">
            <v>32500</v>
          </cell>
          <cell r="I105">
            <v>45000</v>
          </cell>
          <cell r="J105">
            <v>49500</v>
          </cell>
          <cell r="K105">
            <v>41500</v>
          </cell>
          <cell r="L105">
            <v>45000</v>
          </cell>
        </row>
        <row r="106">
          <cell r="C106" t="str">
            <v>BAKAYOKO DISTRIBUTION</v>
          </cell>
          <cell r="D106">
            <v>480750</v>
          </cell>
          <cell r="E106">
            <v>827000</v>
          </cell>
          <cell r="F106">
            <v>578250</v>
          </cell>
          <cell r="G106">
            <v>535500</v>
          </cell>
          <cell r="H106">
            <v>469000</v>
          </cell>
          <cell r="I106">
            <v>463750</v>
          </cell>
          <cell r="J106">
            <v>737600</v>
          </cell>
          <cell r="K106">
            <v>462750</v>
          </cell>
          <cell r="L106">
            <v>450350</v>
          </cell>
        </row>
        <row r="107">
          <cell r="C107" t="str">
            <v>LABORATOIRE MADOU</v>
          </cell>
          <cell r="D107">
            <v>26700</v>
          </cell>
          <cell r="E107">
            <v>85800</v>
          </cell>
          <cell r="F107">
            <v>86400</v>
          </cell>
          <cell r="G107">
            <v>80400</v>
          </cell>
          <cell r="H107">
            <v>84300</v>
          </cell>
          <cell r="I107">
            <v>69600</v>
          </cell>
          <cell r="J107">
            <v>17250</v>
          </cell>
          <cell r="K107">
            <v>28900</v>
          </cell>
          <cell r="L107">
            <v>43700</v>
          </cell>
        </row>
        <row r="108">
          <cell r="C108" t="str">
            <v>PHCIE MADOU</v>
          </cell>
          <cell r="D108">
            <v>6000</v>
          </cell>
          <cell r="E108">
            <v>12000</v>
          </cell>
          <cell r="F108" t="str">
            <v>-</v>
          </cell>
          <cell r="G108" t="str">
            <v>-</v>
          </cell>
          <cell r="H108">
            <v>6000</v>
          </cell>
          <cell r="I108">
            <v>6000</v>
          </cell>
          <cell r="J108">
            <v>10550</v>
          </cell>
          <cell r="K108" t="str">
            <v>-</v>
          </cell>
          <cell r="L108">
            <v>6000</v>
          </cell>
        </row>
        <row r="109">
          <cell r="C109" t="str">
            <v>GSA</v>
          </cell>
          <cell r="D109">
            <v>350000</v>
          </cell>
          <cell r="E109">
            <v>350000</v>
          </cell>
          <cell r="F109">
            <v>350000</v>
          </cell>
          <cell r="G109">
            <v>350000</v>
          </cell>
          <cell r="H109">
            <v>350000</v>
          </cell>
          <cell r="I109">
            <v>351250</v>
          </cell>
          <cell r="J109">
            <v>350000</v>
          </cell>
          <cell r="K109">
            <v>350000</v>
          </cell>
          <cell r="L109">
            <v>350000</v>
          </cell>
        </row>
        <row r="110">
          <cell r="C110" t="str">
            <v>MUGEF CI</v>
          </cell>
          <cell r="D110">
            <v>697750</v>
          </cell>
          <cell r="E110">
            <v>810750</v>
          </cell>
          <cell r="F110">
            <v>610750</v>
          </cell>
          <cell r="G110">
            <v>936425</v>
          </cell>
          <cell r="H110">
            <v>761100</v>
          </cell>
          <cell r="I110">
            <v>969500</v>
          </cell>
          <cell r="J110">
            <v>1116500</v>
          </cell>
          <cell r="K110">
            <v>919300</v>
          </cell>
          <cell r="L110">
            <v>960440</v>
          </cell>
        </row>
        <row r="111">
          <cell r="C111" t="str">
            <v>AIS GROUP</v>
          </cell>
          <cell r="D111">
            <v>123750</v>
          </cell>
          <cell r="E111">
            <v>310750</v>
          </cell>
          <cell r="F111">
            <v>130500</v>
          </cell>
          <cell r="G111">
            <v>137000</v>
          </cell>
          <cell r="H111">
            <v>359750</v>
          </cell>
          <cell r="I111">
            <v>365000</v>
          </cell>
          <cell r="J111">
            <v>167600</v>
          </cell>
          <cell r="K111">
            <v>312650</v>
          </cell>
          <cell r="L111">
            <v>555250</v>
          </cell>
        </row>
        <row r="112">
          <cell r="C112" t="str">
            <v>Clients divers</v>
          </cell>
          <cell r="D112">
            <v>168440</v>
          </cell>
          <cell r="E112">
            <v>132237</v>
          </cell>
          <cell r="F112">
            <v>209695</v>
          </cell>
          <cell r="G112">
            <v>341200</v>
          </cell>
          <cell r="H112">
            <v>427298</v>
          </cell>
          <cell r="I112">
            <v>326246</v>
          </cell>
          <cell r="J112">
            <v>397930</v>
          </cell>
          <cell r="K112">
            <v>91500</v>
          </cell>
          <cell r="L112">
            <v>234657</v>
          </cell>
        </row>
        <row r="113">
          <cell r="C113" t="str">
            <v>FDFP</v>
          </cell>
          <cell r="D113" t="str">
            <v>-</v>
          </cell>
          <cell r="E113" t="str">
            <v>-</v>
          </cell>
          <cell r="F113">
            <v>995000</v>
          </cell>
          <cell r="G113">
            <v>40000</v>
          </cell>
          <cell r="H113">
            <v>985000</v>
          </cell>
          <cell r="I113">
            <v>60000</v>
          </cell>
          <cell r="J113">
            <v>25000</v>
          </cell>
          <cell r="K113">
            <v>60000</v>
          </cell>
          <cell r="L113">
            <v>990000</v>
          </cell>
        </row>
        <row r="114">
          <cell r="C114" t="str">
            <v>LYDIA LUDIC</v>
          </cell>
          <cell r="D114">
            <v>209750</v>
          </cell>
          <cell r="E114">
            <v>254750</v>
          </cell>
          <cell r="F114">
            <v>285750</v>
          </cell>
          <cell r="G114">
            <v>275000</v>
          </cell>
          <cell r="H114">
            <v>288505</v>
          </cell>
          <cell r="I114">
            <v>183750</v>
          </cell>
          <cell r="J114">
            <v>205250</v>
          </cell>
          <cell r="K114">
            <v>297300</v>
          </cell>
          <cell r="L114">
            <v>274700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 CA"/>
      <sheetName val="Feuil1"/>
      <sheetName val="Brouillon reporting"/>
    </sheetNames>
    <definedNames>
      <definedName name="Début_Prêt" refersTo="#REF!"/>
    </definedNames>
    <sheetDataSet>
      <sheetData sheetId="0" refreshError="1"/>
      <sheetData sheetId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BUDG_INVEST_2017_DAB"/>
      <sheetName val="INVEST CONSO_activité"/>
      <sheetName val="SYNTHESE INVEST"/>
      <sheetName val="DOTATIONS"/>
      <sheetName val="Liste immo"/>
    </sheetNames>
    <sheetDataSet>
      <sheetData sheetId="0"/>
      <sheetData sheetId="1"/>
      <sheetData sheetId="2"/>
      <sheetData sheetId="3"/>
      <sheetData sheetId="4"/>
      <sheetData sheetId="5">
        <row r="7">
          <cell r="H7" t="str">
            <v>TFC</v>
          </cell>
        </row>
        <row r="8">
          <cell r="H8" t="str">
            <v>TFA</v>
          </cell>
        </row>
        <row r="9">
          <cell r="H9" t="str">
            <v xml:space="preserve">TRI </v>
          </cell>
        </row>
        <row r="10">
          <cell r="H10" t="str">
            <v xml:space="preserve">DAB </v>
          </cell>
        </row>
        <row r="11">
          <cell r="H11" t="str">
            <v>SEI</v>
          </cell>
        </row>
        <row r="12">
          <cell r="H12" t="str">
            <v>ST</v>
          </cell>
        </row>
        <row r="13">
          <cell r="H13" t="str">
            <v xml:space="preserve">SECURITE </v>
          </cell>
        </row>
        <row r="14">
          <cell r="H14" t="str">
            <v>GARAGE</v>
          </cell>
        </row>
        <row r="15">
          <cell r="H15" t="str">
            <v>FAP DG</v>
          </cell>
        </row>
        <row r="16">
          <cell r="H16" t="str">
            <v>FAP DF</v>
          </cell>
        </row>
        <row r="17">
          <cell r="H17" t="str">
            <v>FAP DDPLS</v>
          </cell>
        </row>
        <row r="18">
          <cell r="H18" t="str">
            <v>FAP DRH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_2014_mensualisé"/>
      <sheetName val="Liste immo"/>
      <sheetName val="Budget_activité"/>
      <sheetName val="Synthése"/>
      <sheetName val="Simulation_amortis_existant"/>
      <sheetName val="Amortissment existant"/>
      <sheetName val="Nouveux_amortissement"/>
      <sheetName val="Amortissement_budget_2014"/>
    </sheetNames>
    <sheetDataSet>
      <sheetData sheetId="0">
        <row r="8">
          <cell r="AA8">
            <v>1</v>
          </cell>
        </row>
      </sheetData>
      <sheetData sheetId="1">
        <row r="5">
          <cell r="F5" t="str">
            <v>Mobilier de bureau</v>
          </cell>
        </row>
        <row r="6">
          <cell r="F6" t="str">
            <v xml:space="preserve">Armoire et Placard </v>
          </cell>
        </row>
        <row r="7">
          <cell r="F7" t="str">
            <v>Autres mobilers de bureau</v>
          </cell>
        </row>
        <row r="8">
          <cell r="F8" t="str">
            <v>Chaise visiteur</v>
          </cell>
        </row>
        <row r="9">
          <cell r="F9" t="str">
            <v>Fauteuil de bureau</v>
          </cell>
        </row>
        <row r="10">
          <cell r="F10" t="str">
            <v>Placard de rangement</v>
          </cell>
        </row>
        <row r="11">
          <cell r="F11" t="str">
            <v>Table de bureau</v>
          </cell>
        </row>
        <row r="12">
          <cell r="F12" t="str">
            <v>Téléphone de bureau</v>
          </cell>
        </row>
        <row r="13">
          <cell r="F13" t="str">
            <v>Téléphone de ligne groupées</v>
          </cell>
        </row>
        <row r="14">
          <cell r="F14" t="str">
            <v>Téléphone portable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C2:Q22"/>
  <sheetViews>
    <sheetView showGridLines="0" showRowColHeaders="0" view="pageBreakPreview" zoomScale="90" zoomScaleNormal="100" zoomScaleSheetLayoutView="90" workbookViewId="0">
      <pane xSplit="5" ySplit="5" topLeftCell="F6" activePane="bottomRight" state="frozen"/>
      <selection activeCell="AE77" sqref="AE77"/>
      <selection pane="topRight" activeCell="AE77" sqref="AE77"/>
      <selection pane="bottomLeft" activeCell="AE77" sqref="AE77"/>
      <selection pane="bottomRight" activeCell="J22" sqref="J22"/>
    </sheetView>
  </sheetViews>
  <sheetFormatPr baseColWidth="10" defaultColWidth="10.75" defaultRowHeight="20.100000000000001" customHeight="1" x14ac:dyDescent="0.2"/>
  <cols>
    <col min="1" max="2" width="1.875" style="318" customWidth="1"/>
    <col min="3" max="3" width="38" style="318" customWidth="1"/>
    <col min="4" max="4" width="1.25" style="318" customWidth="1"/>
    <col min="5" max="5" width="10.625" style="318" customWidth="1"/>
    <col min="6" max="17" width="10.125" style="318" customWidth="1"/>
    <col min="18" max="18" width="3.5" style="318" customWidth="1"/>
    <col min="19" max="19" width="1.625" style="318" customWidth="1"/>
    <col min="20" max="16384" width="10.75" style="318"/>
  </cols>
  <sheetData>
    <row r="2" spans="3:17" s="319" customFormat="1" ht="20.100000000000001" customHeight="1" x14ac:dyDescent="0.2"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</row>
    <row r="3" spans="3:17" s="319" customFormat="1" ht="20.100000000000001" customHeight="1" x14ac:dyDescent="0.3">
      <c r="C3" s="321" t="s">
        <v>136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</row>
    <row r="4" spans="3:17" s="319" customFormat="1" ht="20.100000000000001" customHeight="1" thickBot="1" x14ac:dyDescent="0.25">
      <c r="E4" s="319" t="s">
        <v>14</v>
      </c>
      <c r="F4" s="320">
        <v>45596</v>
      </c>
      <c r="G4" s="320">
        <v>45626</v>
      </c>
      <c r="H4" s="320">
        <v>45657</v>
      </c>
      <c r="I4" s="320">
        <v>45688</v>
      </c>
      <c r="J4" s="320">
        <v>45716</v>
      </c>
      <c r="K4" s="320">
        <v>45747</v>
      </c>
      <c r="L4" s="320">
        <v>45777</v>
      </c>
      <c r="M4" s="320">
        <v>45808</v>
      </c>
      <c r="N4" s="320">
        <v>45838</v>
      </c>
      <c r="O4" s="320">
        <v>45869</v>
      </c>
      <c r="P4" s="320">
        <v>45900</v>
      </c>
      <c r="Q4" s="320">
        <v>45930</v>
      </c>
    </row>
    <row r="5" spans="3:17" s="346" customFormat="1" ht="28.5" customHeight="1" thickTop="1" thickBot="1" x14ac:dyDescent="0.25">
      <c r="C5" s="345" t="s">
        <v>1</v>
      </c>
      <c r="E5" s="347" t="s">
        <v>137</v>
      </c>
      <c r="F5" s="348">
        <v>45961</v>
      </c>
      <c r="G5" s="348">
        <v>45991</v>
      </c>
      <c r="H5" s="348">
        <v>46022</v>
      </c>
      <c r="I5" s="348">
        <v>46053</v>
      </c>
      <c r="J5" s="348">
        <v>46081</v>
      </c>
      <c r="K5" s="348">
        <v>46112</v>
      </c>
      <c r="L5" s="348">
        <v>46142</v>
      </c>
      <c r="M5" s="348">
        <v>46173</v>
      </c>
      <c r="N5" s="348">
        <v>46203</v>
      </c>
      <c r="O5" s="348">
        <v>46234</v>
      </c>
      <c r="P5" s="348">
        <v>46265</v>
      </c>
      <c r="Q5" s="348">
        <v>46295</v>
      </c>
    </row>
    <row r="6" spans="3:17" s="319" customFormat="1" ht="3" customHeight="1" thickTop="1" x14ac:dyDescent="0.2">
      <c r="C6" s="323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</row>
    <row r="7" spans="3:17" ht="20.100000000000001" customHeight="1" x14ac:dyDescent="0.2">
      <c r="C7" s="325" t="s">
        <v>164</v>
      </c>
      <c r="E7" s="326">
        <f t="shared" ref="E7:E17" si="0">SUM(F7:P7)</f>
        <v>0</v>
      </c>
      <c r="F7" s="327"/>
      <c r="G7" s="327"/>
      <c r="H7" s="327"/>
      <c r="I7" s="327"/>
      <c r="J7" s="327"/>
      <c r="K7" s="327"/>
      <c r="L7" s="327"/>
      <c r="M7" s="327"/>
      <c r="N7" s="327"/>
      <c r="O7" s="327"/>
      <c r="P7" s="327"/>
      <c r="Q7" s="328"/>
    </row>
    <row r="8" spans="3:17" ht="20.100000000000001" customHeight="1" x14ac:dyDescent="0.2">
      <c r="C8" s="329" t="s">
        <v>165</v>
      </c>
      <c r="E8" s="330">
        <f t="shared" si="0"/>
        <v>0</v>
      </c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2"/>
    </row>
    <row r="9" spans="3:17" ht="20.100000000000001" customHeight="1" x14ac:dyDescent="0.2">
      <c r="C9" s="329" t="s">
        <v>166</v>
      </c>
      <c r="E9" s="330">
        <f t="shared" si="0"/>
        <v>0</v>
      </c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2"/>
    </row>
    <row r="10" spans="3:17" ht="20.100000000000001" customHeight="1" x14ac:dyDescent="0.2">
      <c r="C10" s="329"/>
      <c r="E10" s="330">
        <f t="shared" si="0"/>
        <v>0</v>
      </c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2"/>
    </row>
    <row r="11" spans="3:17" ht="20.100000000000001" customHeight="1" x14ac:dyDescent="0.2">
      <c r="C11" s="329"/>
      <c r="E11" s="330">
        <f t="shared" si="0"/>
        <v>0</v>
      </c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2"/>
    </row>
    <row r="12" spans="3:17" ht="20.100000000000001" customHeight="1" x14ac:dyDescent="0.2">
      <c r="C12" s="329"/>
      <c r="E12" s="330">
        <f t="shared" si="0"/>
        <v>0</v>
      </c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2"/>
    </row>
    <row r="13" spans="3:17" ht="20.100000000000001" customHeight="1" x14ac:dyDescent="0.2">
      <c r="C13" s="329"/>
      <c r="E13" s="330">
        <f t="shared" si="0"/>
        <v>0</v>
      </c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2"/>
    </row>
    <row r="14" spans="3:17" ht="20.100000000000001" customHeight="1" x14ac:dyDescent="0.2">
      <c r="C14" s="329"/>
      <c r="E14" s="330">
        <f t="shared" si="0"/>
        <v>0</v>
      </c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2"/>
    </row>
    <row r="15" spans="3:17" ht="20.100000000000001" customHeight="1" x14ac:dyDescent="0.2">
      <c r="C15" s="329"/>
      <c r="E15" s="330">
        <f t="shared" si="0"/>
        <v>0</v>
      </c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32"/>
    </row>
    <row r="16" spans="3:17" ht="20.100000000000001" customHeight="1" x14ac:dyDescent="0.2">
      <c r="C16" s="329"/>
      <c r="E16" s="330">
        <f t="shared" si="0"/>
        <v>0</v>
      </c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32"/>
    </row>
    <row r="17" spans="3:17" ht="20.100000000000001" customHeight="1" x14ac:dyDescent="0.2">
      <c r="C17" s="333"/>
      <c r="E17" s="334">
        <f t="shared" si="0"/>
        <v>0</v>
      </c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6"/>
    </row>
    <row r="18" spans="3:17" ht="3" customHeight="1" x14ac:dyDescent="0.2">
      <c r="C18" s="337"/>
      <c r="D18" s="338"/>
      <c r="E18" s="339"/>
      <c r="F18" s="339"/>
      <c r="G18" s="339"/>
      <c r="H18" s="339"/>
      <c r="I18" s="339"/>
      <c r="J18" s="339"/>
      <c r="K18" s="339"/>
      <c r="L18" s="339"/>
      <c r="M18" s="339"/>
      <c r="N18" s="339"/>
      <c r="O18" s="339"/>
      <c r="P18" s="339"/>
      <c r="Q18" s="339"/>
    </row>
    <row r="19" spans="3:17" s="341" customFormat="1" ht="20.100000000000001" customHeight="1" thickBot="1" x14ac:dyDescent="0.25">
      <c r="C19" s="340" t="s">
        <v>3</v>
      </c>
      <c r="E19" s="342">
        <f>SUM(F19:P19)</f>
        <v>0</v>
      </c>
      <c r="F19" s="343">
        <f t="shared" ref="F19:P19" si="1">SUM(F7:F17)</f>
        <v>0</v>
      </c>
      <c r="G19" s="343">
        <f t="shared" si="1"/>
        <v>0</v>
      </c>
      <c r="H19" s="343">
        <f t="shared" si="1"/>
        <v>0</v>
      </c>
      <c r="I19" s="343">
        <f t="shared" si="1"/>
        <v>0</v>
      </c>
      <c r="J19" s="343">
        <f t="shared" si="1"/>
        <v>0</v>
      </c>
      <c r="K19" s="343">
        <f t="shared" si="1"/>
        <v>0</v>
      </c>
      <c r="L19" s="343">
        <f t="shared" si="1"/>
        <v>0</v>
      </c>
      <c r="M19" s="343">
        <f t="shared" si="1"/>
        <v>0</v>
      </c>
      <c r="N19" s="343">
        <f t="shared" si="1"/>
        <v>0</v>
      </c>
      <c r="O19" s="343">
        <f t="shared" si="1"/>
        <v>0</v>
      </c>
      <c r="P19" s="343">
        <f t="shared" si="1"/>
        <v>0</v>
      </c>
      <c r="Q19" s="343">
        <f t="shared" ref="Q19" si="2">SUM(Q7:Q17)</f>
        <v>0</v>
      </c>
    </row>
    <row r="20" spans="3:17" ht="20.100000000000001" customHeight="1" thickTop="1" x14ac:dyDescent="0.2"/>
    <row r="22" spans="3:17" ht="20.100000000000001" customHeight="1" x14ac:dyDescent="0.2">
      <c r="K22" s="344"/>
      <c r="M22" s="344">
        <f>+L19-M19</f>
        <v>0</v>
      </c>
    </row>
  </sheetData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V57"/>
  <sheetViews>
    <sheetView showGridLines="0" showRowColHeaders="0" view="pageBreakPreview" zoomScale="80" zoomScaleNormal="101" zoomScaleSheetLayoutView="80" workbookViewId="0">
      <pane xSplit="23" ySplit="7" topLeftCell="X8" activePane="bottomRight" state="frozen"/>
      <selection activeCell="AE77" sqref="AE77"/>
      <selection pane="topRight" activeCell="AE77" sqref="AE77"/>
      <selection pane="bottomLeft" activeCell="AE77" sqref="AE77"/>
      <selection pane="bottomRight" activeCell="V27" sqref="V27"/>
    </sheetView>
  </sheetViews>
  <sheetFormatPr baseColWidth="10" defaultColWidth="10.75" defaultRowHeight="15" x14ac:dyDescent="0.25"/>
  <cols>
    <col min="1" max="1" width="1.125" style="2" customWidth="1"/>
    <col min="2" max="2" width="2.75" style="1" customWidth="1"/>
    <col min="3" max="3" width="5.25" style="2" bestFit="1" customWidth="1"/>
    <col min="4" max="4" width="8.5" style="2" customWidth="1"/>
    <col min="5" max="5" width="17.75" style="2" bestFit="1" customWidth="1"/>
    <col min="6" max="6" width="11.875" style="2" customWidth="1"/>
    <col min="7" max="7" width="6.875" style="2" customWidth="1"/>
    <col min="8" max="8" width="9.375" style="2" customWidth="1"/>
    <col min="9" max="9" width="13.25" style="2" bestFit="1" customWidth="1"/>
    <col min="10" max="10" width="11.5" style="2" bestFit="1" customWidth="1"/>
    <col min="11" max="11" width="5.25" style="2" bestFit="1" customWidth="1"/>
    <col min="12" max="12" width="9.875" style="2" customWidth="1"/>
    <col min="13" max="13" width="11" style="2" customWidth="1"/>
    <col min="14" max="14" width="7.625" style="2" bestFit="1" customWidth="1"/>
    <col min="15" max="15" width="14.75" style="2" customWidth="1"/>
    <col min="16" max="16" width="9.25" style="2" customWidth="1"/>
    <col min="17" max="17" width="12.25" style="2" bestFit="1" customWidth="1"/>
    <col min="18" max="18" width="13" style="2" customWidth="1"/>
    <col min="19" max="19" width="11.5" style="2" bestFit="1" customWidth="1"/>
    <col min="20" max="20" width="9.25" style="2" bestFit="1" customWidth="1"/>
    <col min="21" max="21" width="9.875" style="2" customWidth="1"/>
    <col min="22" max="22" width="11.75" style="2" customWidth="1"/>
    <col min="23" max="23" width="3.25" style="2" customWidth="1"/>
    <col min="24" max="16384" width="10.75" style="2"/>
  </cols>
  <sheetData>
    <row r="2" spans="2:22" ht="7.5" customHeight="1" x14ac:dyDescent="0.25"/>
    <row r="3" spans="2:22" x14ac:dyDescent="0.25">
      <c r="T3" s="366" t="s">
        <v>132</v>
      </c>
      <c r="U3" s="366"/>
      <c r="V3" s="366"/>
    </row>
    <row r="4" spans="2:22" ht="15" customHeight="1" x14ac:dyDescent="0.25">
      <c r="C4" s="367" t="s">
        <v>16</v>
      </c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  <c r="S4" s="367"/>
      <c r="T4" s="367"/>
      <c r="U4" s="367"/>
      <c r="V4" s="367"/>
    </row>
    <row r="5" spans="2:22" ht="12" customHeight="1" x14ac:dyDescent="0.25">
      <c r="C5" s="368" t="s">
        <v>17</v>
      </c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</row>
    <row r="6" spans="2:22" ht="15.75" thickBot="1" x14ac:dyDescent="0.3"/>
    <row r="7" spans="2:22" s="8" customFormat="1" ht="75" customHeight="1" x14ac:dyDescent="0.25">
      <c r="B7" s="3"/>
      <c r="C7" s="4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6" t="s">
        <v>23</v>
      </c>
      <c r="I7" s="5" t="s">
        <v>24</v>
      </c>
      <c r="J7" s="5" t="s">
        <v>25</v>
      </c>
      <c r="K7" s="5" t="s">
        <v>26</v>
      </c>
      <c r="L7" s="5" t="s">
        <v>27</v>
      </c>
      <c r="M7" s="5" t="s">
        <v>28</v>
      </c>
      <c r="N7" s="5" t="s">
        <v>29</v>
      </c>
      <c r="O7" s="5" t="s">
        <v>30</v>
      </c>
      <c r="P7" s="5" t="s">
        <v>31</v>
      </c>
      <c r="Q7" s="5" t="s">
        <v>32</v>
      </c>
      <c r="R7" s="5" t="s">
        <v>33</v>
      </c>
      <c r="S7" s="5" t="s">
        <v>34</v>
      </c>
      <c r="T7" s="5" t="s">
        <v>35</v>
      </c>
      <c r="U7" s="5" t="s">
        <v>36</v>
      </c>
      <c r="V7" s="7" t="s">
        <v>37</v>
      </c>
    </row>
    <row r="8" spans="2:22" x14ac:dyDescent="0.25">
      <c r="B8" s="1" t="str">
        <f>+E8&amp;" "&amp;F8</f>
        <v xml:space="preserve"> </v>
      </c>
      <c r="C8" s="9">
        <v>1</v>
      </c>
      <c r="D8" s="10" t="s">
        <v>38</v>
      </c>
      <c r="E8" s="11"/>
      <c r="F8" s="12"/>
      <c r="G8" s="13"/>
      <c r="H8" s="14"/>
      <c r="I8" s="15"/>
      <c r="J8" s="13"/>
      <c r="K8" s="13"/>
      <c r="L8" s="13"/>
      <c r="M8" s="16"/>
      <c r="N8" s="16"/>
      <c r="O8" s="16"/>
      <c r="P8" s="16"/>
      <c r="Q8" s="16"/>
      <c r="R8" s="16"/>
      <c r="S8" s="16"/>
      <c r="T8" s="16"/>
      <c r="U8" s="16"/>
      <c r="V8" s="17"/>
    </row>
    <row r="9" spans="2:22" x14ac:dyDescent="0.25">
      <c r="B9" s="1" t="str">
        <f t="shared" ref="B9:B18" si="0">+E9&amp;" "&amp;F9</f>
        <v xml:space="preserve"> </v>
      </c>
      <c r="C9" s="18">
        <f>+C8+1</f>
        <v>2</v>
      </c>
      <c r="D9" s="19" t="str">
        <f>TEXT(D8+1,"000")</f>
        <v>002</v>
      </c>
      <c r="E9" s="20"/>
      <c r="F9" s="21"/>
      <c r="G9" s="22"/>
      <c r="H9" s="23"/>
      <c r="I9" s="24"/>
      <c r="J9" s="22"/>
      <c r="K9" s="13"/>
      <c r="L9" s="22"/>
      <c r="M9" s="25"/>
      <c r="N9" s="25"/>
      <c r="O9" s="25"/>
      <c r="P9" s="25"/>
      <c r="Q9" s="25"/>
      <c r="R9" s="25"/>
      <c r="S9" s="25"/>
      <c r="T9" s="25"/>
      <c r="U9" s="25"/>
      <c r="V9" s="26"/>
    </row>
    <row r="10" spans="2:22" ht="15" customHeight="1" x14ac:dyDescent="0.25">
      <c r="B10" s="1" t="str">
        <f t="shared" si="0"/>
        <v xml:space="preserve"> </v>
      </c>
      <c r="C10" s="18">
        <f t="shared" ref="C10:C18" si="1">+C9+1</f>
        <v>3</v>
      </c>
      <c r="D10" s="19" t="str">
        <f t="shared" ref="D10:D16" si="2">TEXT(D9+1,"000")</f>
        <v>003</v>
      </c>
      <c r="E10" s="20"/>
      <c r="F10" s="21"/>
      <c r="G10" s="22"/>
      <c r="H10" s="23"/>
      <c r="I10" s="24"/>
      <c r="J10" s="22"/>
      <c r="K10" s="13"/>
      <c r="L10" s="22"/>
      <c r="M10" s="25"/>
      <c r="N10" s="25"/>
      <c r="O10" s="25"/>
      <c r="P10" s="25"/>
      <c r="Q10" s="25"/>
      <c r="R10" s="25"/>
      <c r="S10" s="25"/>
      <c r="T10" s="25"/>
      <c r="U10" s="25"/>
      <c r="V10" s="26"/>
    </row>
    <row r="11" spans="2:22" x14ac:dyDescent="0.25">
      <c r="B11" s="1" t="str">
        <f t="shared" si="0"/>
        <v xml:space="preserve"> </v>
      </c>
      <c r="C11" s="18">
        <f t="shared" si="1"/>
        <v>4</v>
      </c>
      <c r="D11" s="19" t="str">
        <f t="shared" si="2"/>
        <v>004</v>
      </c>
      <c r="E11" s="20"/>
      <c r="F11" s="21"/>
      <c r="G11" s="22"/>
      <c r="H11" s="23"/>
      <c r="I11" s="24"/>
      <c r="J11" s="22"/>
      <c r="K11" s="13"/>
      <c r="L11" s="22"/>
      <c r="M11" s="25"/>
      <c r="N11" s="25"/>
      <c r="O11" s="25"/>
      <c r="P11" s="25"/>
      <c r="Q11" s="25"/>
      <c r="R11" s="25"/>
      <c r="S11" s="25"/>
      <c r="T11" s="25"/>
      <c r="U11" s="25"/>
      <c r="V11" s="26"/>
    </row>
    <row r="12" spans="2:22" x14ac:dyDescent="0.25">
      <c r="B12" s="1" t="str">
        <f t="shared" si="0"/>
        <v xml:space="preserve"> </v>
      </c>
      <c r="C12" s="18">
        <f t="shared" si="1"/>
        <v>5</v>
      </c>
      <c r="D12" s="19" t="str">
        <f t="shared" si="2"/>
        <v>005</v>
      </c>
      <c r="E12" s="20"/>
      <c r="F12" s="21"/>
      <c r="G12" s="22"/>
      <c r="H12" s="23"/>
      <c r="I12" s="24"/>
      <c r="J12" s="22"/>
      <c r="K12" s="13"/>
      <c r="L12" s="22"/>
      <c r="M12" s="25"/>
      <c r="N12" s="25"/>
      <c r="O12" s="25"/>
      <c r="P12" s="25"/>
      <c r="Q12" s="25"/>
      <c r="R12" s="25"/>
      <c r="S12" s="25"/>
      <c r="T12" s="25"/>
      <c r="U12" s="25"/>
      <c r="V12" s="26"/>
    </row>
    <row r="13" spans="2:22" ht="15" customHeight="1" x14ac:dyDescent="0.25">
      <c r="B13" s="1" t="str">
        <f t="shared" si="0"/>
        <v xml:space="preserve"> </v>
      </c>
      <c r="C13" s="18">
        <f t="shared" si="1"/>
        <v>6</v>
      </c>
      <c r="D13" s="19" t="str">
        <f t="shared" si="2"/>
        <v>006</v>
      </c>
      <c r="E13" s="20"/>
      <c r="F13" s="21"/>
      <c r="G13" s="22"/>
      <c r="H13" s="23"/>
      <c r="I13" s="24"/>
      <c r="J13" s="22"/>
      <c r="K13" s="13"/>
      <c r="L13" s="22"/>
      <c r="M13" s="25"/>
      <c r="N13" s="25"/>
      <c r="O13" s="25"/>
      <c r="P13" s="25"/>
      <c r="Q13" s="25"/>
      <c r="R13" s="25"/>
      <c r="S13" s="25"/>
      <c r="T13" s="25"/>
      <c r="U13" s="25"/>
      <c r="V13" s="26"/>
    </row>
    <row r="14" spans="2:22" x14ac:dyDescent="0.25">
      <c r="B14" s="1" t="str">
        <f t="shared" si="0"/>
        <v xml:space="preserve"> </v>
      </c>
      <c r="C14" s="18">
        <f t="shared" si="1"/>
        <v>7</v>
      </c>
      <c r="D14" s="19" t="str">
        <f t="shared" si="2"/>
        <v>007</v>
      </c>
      <c r="E14" s="20"/>
      <c r="F14" s="21"/>
      <c r="G14" s="22"/>
      <c r="H14" s="23"/>
      <c r="I14" s="24"/>
      <c r="J14" s="22"/>
      <c r="K14" s="13"/>
      <c r="L14" s="22"/>
      <c r="M14" s="25"/>
      <c r="N14" s="25"/>
      <c r="O14" s="25"/>
      <c r="P14" s="25"/>
      <c r="Q14" s="25"/>
      <c r="R14" s="25"/>
      <c r="S14" s="25"/>
      <c r="T14" s="25"/>
      <c r="U14" s="25"/>
      <c r="V14" s="26"/>
    </row>
    <row r="15" spans="2:22" x14ac:dyDescent="0.25">
      <c r="B15" s="1" t="str">
        <f t="shared" si="0"/>
        <v xml:space="preserve"> </v>
      </c>
      <c r="C15" s="18">
        <f t="shared" si="1"/>
        <v>8</v>
      </c>
      <c r="D15" s="19" t="str">
        <f t="shared" si="2"/>
        <v>008</v>
      </c>
      <c r="E15" s="20"/>
      <c r="F15" s="21"/>
      <c r="G15" s="22"/>
      <c r="H15" s="23"/>
      <c r="I15" s="24"/>
      <c r="J15" s="22"/>
      <c r="K15" s="22"/>
      <c r="L15" s="22"/>
      <c r="M15" s="25"/>
      <c r="N15" s="25"/>
      <c r="O15" s="25"/>
      <c r="P15" s="25"/>
      <c r="Q15" s="25"/>
      <c r="R15" s="25"/>
      <c r="S15" s="25"/>
      <c r="T15" s="25"/>
      <c r="U15" s="25"/>
      <c r="V15" s="26"/>
    </row>
    <row r="16" spans="2:22" x14ac:dyDescent="0.25">
      <c r="B16" s="1" t="str">
        <f t="shared" si="0"/>
        <v xml:space="preserve"> </v>
      </c>
      <c r="C16" s="18">
        <f t="shared" si="1"/>
        <v>9</v>
      </c>
      <c r="D16" s="19" t="str">
        <f t="shared" si="2"/>
        <v>009</v>
      </c>
      <c r="E16" s="20"/>
      <c r="F16" s="21"/>
      <c r="G16" s="22"/>
      <c r="H16" s="23"/>
      <c r="I16" s="24"/>
      <c r="J16" s="22"/>
      <c r="K16" s="22"/>
      <c r="L16" s="22"/>
      <c r="M16" s="25"/>
      <c r="N16" s="25"/>
      <c r="O16" s="25"/>
      <c r="P16" s="25"/>
      <c r="Q16" s="25"/>
      <c r="R16" s="25"/>
      <c r="S16" s="25"/>
      <c r="T16" s="25"/>
      <c r="U16" s="25"/>
      <c r="V16" s="26"/>
    </row>
    <row r="17" spans="2:22" x14ac:dyDescent="0.25">
      <c r="B17" s="1" t="str">
        <f t="shared" si="0"/>
        <v xml:space="preserve"> </v>
      </c>
      <c r="C17" s="18">
        <f t="shared" si="1"/>
        <v>10</v>
      </c>
      <c r="D17" s="27"/>
      <c r="E17" s="20"/>
      <c r="F17" s="21"/>
      <c r="G17" s="22"/>
      <c r="H17" s="23"/>
      <c r="I17" s="24"/>
      <c r="J17" s="22"/>
      <c r="K17" s="22"/>
      <c r="L17" s="22"/>
      <c r="M17" s="25"/>
      <c r="N17" s="25"/>
      <c r="O17" s="25"/>
      <c r="P17" s="25"/>
      <c r="Q17" s="25"/>
      <c r="R17" s="25" t="s">
        <v>39</v>
      </c>
      <c r="S17" s="25"/>
      <c r="T17" s="25"/>
      <c r="U17" s="25"/>
      <c r="V17" s="26"/>
    </row>
    <row r="18" spans="2:22" ht="15.75" thickBot="1" x14ac:dyDescent="0.3">
      <c r="B18" s="1" t="str">
        <f t="shared" si="0"/>
        <v xml:space="preserve"> </v>
      </c>
      <c r="C18" s="18">
        <f t="shared" si="1"/>
        <v>11</v>
      </c>
      <c r="D18" s="28"/>
      <c r="E18" s="29"/>
      <c r="F18" s="30"/>
      <c r="G18" s="31"/>
      <c r="H18" s="32"/>
      <c r="I18" s="33"/>
      <c r="J18" s="31"/>
      <c r="K18" s="31"/>
      <c r="L18" s="31"/>
      <c r="M18" s="34"/>
      <c r="N18" s="34"/>
      <c r="O18" s="34"/>
      <c r="P18" s="34"/>
      <c r="Q18" s="34"/>
      <c r="R18" s="34"/>
      <c r="S18" s="34"/>
      <c r="T18" s="34"/>
      <c r="U18" s="34"/>
      <c r="V18" s="35"/>
    </row>
    <row r="19" spans="2:22" x14ac:dyDescent="0.25">
      <c r="H19" s="36"/>
    </row>
    <row r="20" spans="2:22" x14ac:dyDescent="0.25">
      <c r="H20" s="36"/>
    </row>
    <row r="21" spans="2:22" x14ac:dyDescent="0.25">
      <c r="H21" s="36"/>
    </row>
    <row r="22" spans="2:22" x14ac:dyDescent="0.25">
      <c r="H22" s="36"/>
    </row>
    <row r="23" spans="2:22" x14ac:dyDescent="0.25">
      <c r="H23" s="36"/>
    </row>
    <row r="24" spans="2:22" x14ac:dyDescent="0.25">
      <c r="H24" s="36"/>
    </row>
    <row r="25" spans="2:22" x14ac:dyDescent="0.25">
      <c r="H25" s="36"/>
    </row>
    <row r="26" spans="2:22" x14ac:dyDescent="0.25">
      <c r="H26" s="36"/>
    </row>
    <row r="27" spans="2:22" x14ac:dyDescent="0.25">
      <c r="H27" s="36"/>
    </row>
    <row r="28" spans="2:22" x14ac:dyDescent="0.25">
      <c r="H28" s="36"/>
    </row>
    <row r="29" spans="2:22" x14ac:dyDescent="0.25">
      <c r="H29" s="36"/>
    </row>
    <row r="30" spans="2:22" x14ac:dyDescent="0.25">
      <c r="H30" s="36"/>
    </row>
    <row r="31" spans="2:22" x14ac:dyDescent="0.25">
      <c r="H31" s="36"/>
    </row>
    <row r="32" spans="2:22" x14ac:dyDescent="0.25">
      <c r="H32" s="36"/>
    </row>
    <row r="33" spans="8:8" x14ac:dyDescent="0.25">
      <c r="H33" s="36"/>
    </row>
    <row r="34" spans="8:8" x14ac:dyDescent="0.25">
      <c r="H34" s="36"/>
    </row>
    <row r="35" spans="8:8" x14ac:dyDescent="0.25">
      <c r="H35" s="36"/>
    </row>
    <row r="36" spans="8:8" x14ac:dyDescent="0.25">
      <c r="H36" s="36"/>
    </row>
    <row r="37" spans="8:8" x14ac:dyDescent="0.25">
      <c r="H37" s="36"/>
    </row>
    <row r="38" spans="8:8" x14ac:dyDescent="0.25">
      <c r="H38" s="36"/>
    </row>
    <row r="39" spans="8:8" x14ac:dyDescent="0.25">
      <c r="H39" s="36"/>
    </row>
    <row r="40" spans="8:8" x14ac:dyDescent="0.25">
      <c r="H40" s="36"/>
    </row>
    <row r="41" spans="8:8" x14ac:dyDescent="0.25">
      <c r="H41" s="36"/>
    </row>
    <row r="42" spans="8:8" x14ac:dyDescent="0.25">
      <c r="H42" s="36"/>
    </row>
    <row r="43" spans="8:8" x14ac:dyDescent="0.25">
      <c r="H43" s="36"/>
    </row>
    <row r="44" spans="8:8" x14ac:dyDescent="0.25">
      <c r="H44" s="36"/>
    </row>
    <row r="45" spans="8:8" x14ac:dyDescent="0.25">
      <c r="H45" s="36"/>
    </row>
    <row r="46" spans="8:8" x14ac:dyDescent="0.25">
      <c r="H46" s="36"/>
    </row>
    <row r="47" spans="8:8" x14ac:dyDescent="0.25">
      <c r="H47" s="36"/>
    </row>
    <row r="48" spans="8:8" x14ac:dyDescent="0.25">
      <c r="H48" s="36"/>
    </row>
    <row r="49" spans="8:8" x14ac:dyDescent="0.25">
      <c r="H49" s="36"/>
    </row>
    <row r="50" spans="8:8" x14ac:dyDescent="0.25">
      <c r="H50" s="36"/>
    </row>
    <row r="51" spans="8:8" x14ac:dyDescent="0.25">
      <c r="H51" s="36"/>
    </row>
    <row r="52" spans="8:8" x14ac:dyDescent="0.25">
      <c r="H52" s="36"/>
    </row>
    <row r="53" spans="8:8" x14ac:dyDescent="0.25">
      <c r="H53" s="36"/>
    </row>
    <row r="54" spans="8:8" x14ac:dyDescent="0.25">
      <c r="H54" s="36"/>
    </row>
    <row r="55" spans="8:8" x14ac:dyDescent="0.25">
      <c r="H55" s="36"/>
    </row>
    <row r="56" spans="8:8" x14ac:dyDescent="0.25">
      <c r="H56" s="36"/>
    </row>
    <row r="57" spans="8:8" x14ac:dyDescent="0.25">
      <c r="H57" s="36"/>
    </row>
  </sheetData>
  <mergeCells count="3">
    <mergeCell ref="T3:V3"/>
    <mergeCell ref="C4:V4"/>
    <mergeCell ref="C5:V5"/>
  </mergeCells>
  <conditionalFormatting sqref="C8:V18">
    <cfRule type="expression" dxfId="22" priority="1">
      <formula>MOD(ROW($D8),2)=0</formula>
    </cfRule>
  </conditionalFormatting>
  <pageMargins left="0.7" right="0.7" top="0.75" bottom="0.75" header="0.3" footer="0.3"/>
  <pageSetup paperSize="9" scale="3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AZ544"/>
  <sheetViews>
    <sheetView showGridLines="0" showRowColHeaders="0" tabSelected="1" view="pageBreakPreview" zoomScale="80" zoomScaleNormal="80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2" width="1.625" style="38" customWidth="1"/>
    <col min="3" max="3" width="5.875" style="37" customWidth="1"/>
    <col min="4" max="4" width="18.125" style="38" customWidth="1"/>
    <col min="5" max="5" width="9.75" style="38" customWidth="1"/>
    <col min="6" max="6" width="15.875" style="38" bestFit="1" customWidth="1"/>
    <col min="7" max="7" width="12.25" style="39" customWidth="1"/>
    <col min="8" max="12" width="12.25" style="40" customWidth="1"/>
    <col min="13" max="13" width="12.25" style="41" customWidth="1"/>
    <col min="14" max="16" width="12.25" style="41" customWidth="1" outlineLevel="1"/>
    <col min="17" max="18" width="12.25" style="42" customWidth="1" outlineLevel="1"/>
    <col min="19" max="21" width="12.25" style="38" customWidth="1" outlineLevel="1"/>
    <col min="22" max="22" width="1.625" style="295" customWidth="1"/>
    <col min="23" max="23" width="10.5" style="38"/>
    <col min="24" max="31" width="10.5" style="38" customWidth="1" outlineLevel="1"/>
    <col min="32" max="32" width="1.625" style="295" customWidth="1"/>
    <col min="33" max="33" width="10.5" style="38"/>
    <col min="34" max="41" width="0" style="38" hidden="1" customWidth="1" outlineLevel="1"/>
    <col min="42" max="42" width="1.625" style="295" customWidth="1" collapsed="1"/>
    <col min="43" max="43" width="10.5" style="38"/>
    <col min="44" max="51" width="0" style="38" hidden="1" customWidth="1" outlineLevel="1"/>
    <col min="52" max="52" width="4.125" style="295" customWidth="1" collapsed="1"/>
    <col min="53" max="16384" width="10.5" style="295"/>
  </cols>
  <sheetData>
    <row r="2" spans="1:51" ht="18.75" x14ac:dyDescent="0.25">
      <c r="D2" s="384" t="s">
        <v>103</v>
      </c>
    </row>
    <row r="3" spans="1:51" ht="30" customHeight="1" x14ac:dyDescent="0.25">
      <c r="H3" s="41"/>
      <c r="I3" s="41"/>
      <c r="J3" s="41"/>
      <c r="K3" s="41"/>
      <c r="L3" s="41"/>
    </row>
    <row r="4" spans="1:51" x14ac:dyDescent="0.25">
      <c r="D4" s="43" t="s">
        <v>42</v>
      </c>
      <c r="H4" s="41"/>
      <c r="I4" s="41"/>
      <c r="J4" s="41"/>
      <c r="K4" s="41"/>
      <c r="L4" s="41"/>
    </row>
    <row r="5" spans="1:51" ht="15" thickBot="1" x14ac:dyDescent="0.3">
      <c r="D5" s="43"/>
      <c r="H5" s="41"/>
      <c r="I5" s="41"/>
      <c r="J5" s="41"/>
      <c r="K5" s="41"/>
      <c r="L5" s="41"/>
    </row>
    <row r="6" spans="1:51" ht="24.95" customHeight="1" thickTop="1" thickBot="1" x14ac:dyDescent="0.3"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1:51" s="207" customFormat="1" ht="39.75" customHeight="1" thickTop="1" thickBot="1" x14ac:dyDescent="0.3">
      <c r="A7" s="49"/>
      <c r="B7" s="49"/>
      <c r="C7" s="48"/>
      <c r="D7" s="49"/>
      <c r="E7" s="49"/>
      <c r="F7" s="49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51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</row>
    <row r="8" spans="1:51" s="296" customFormat="1" ht="33" thickTop="1" thickBot="1" x14ac:dyDescent="0.3">
      <c r="A8" s="52"/>
      <c r="B8" s="52"/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T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+SUM(M9:M41)</f>
        <v>0</v>
      </c>
      <c r="N8" s="363">
        <f t="shared" si="0"/>
        <v>0</v>
      </c>
      <c r="O8" s="363">
        <f t="shared" si="0"/>
        <v>0</v>
      </c>
      <c r="P8" s="363">
        <f t="shared" si="0"/>
        <v>0</v>
      </c>
      <c r="Q8" s="363">
        <f t="shared" si="0"/>
        <v>0</v>
      </c>
      <c r="R8" s="363">
        <f>+SUM(R9:R41)</f>
        <v>0</v>
      </c>
      <c r="S8" s="363">
        <f t="shared" si="0"/>
        <v>0</v>
      </c>
      <c r="T8" s="363">
        <f t="shared" si="0"/>
        <v>0</v>
      </c>
      <c r="U8" s="364">
        <f>+SUM(U9:U41)</f>
        <v>0</v>
      </c>
      <c r="V8" s="365"/>
      <c r="W8" s="362">
        <f>+SUM(W9:W41)</f>
        <v>0</v>
      </c>
      <c r="X8" s="363">
        <f t="shared" ref="X8:AA8" si="1">+SUM(X9:X41)</f>
        <v>0</v>
      </c>
      <c r="Y8" s="363">
        <f t="shared" si="1"/>
        <v>0</v>
      </c>
      <c r="Z8" s="363">
        <f t="shared" si="1"/>
        <v>0</v>
      </c>
      <c r="AA8" s="363">
        <f t="shared" si="1"/>
        <v>0</v>
      </c>
      <c r="AB8" s="363">
        <f>+SUM(AB9:AB41)</f>
        <v>0</v>
      </c>
      <c r="AC8" s="363">
        <f t="shared" ref="AC8:AD8" si="2">+SUM(AC9:AC41)</f>
        <v>0</v>
      </c>
      <c r="AD8" s="363">
        <f t="shared" si="2"/>
        <v>0</v>
      </c>
      <c r="AE8" s="364">
        <f>+SUM(AE9:AE41)</f>
        <v>0</v>
      </c>
      <c r="AF8" s="365"/>
      <c r="AG8" s="362">
        <f>+SUM(AG9:AG41)</f>
        <v>0</v>
      </c>
      <c r="AH8" s="363">
        <f t="shared" ref="AH8:AK8" si="3">+SUM(AH9:AH41)</f>
        <v>0</v>
      </c>
      <c r="AI8" s="363">
        <f t="shared" si="3"/>
        <v>0</v>
      </c>
      <c r="AJ8" s="363">
        <f t="shared" si="3"/>
        <v>0</v>
      </c>
      <c r="AK8" s="363">
        <f t="shared" si="3"/>
        <v>0</v>
      </c>
      <c r="AL8" s="363">
        <f>+SUM(AL9:AL41)</f>
        <v>0</v>
      </c>
      <c r="AM8" s="363">
        <f t="shared" ref="AM8:AN8" si="4">+SUM(AM9:AM41)</f>
        <v>0</v>
      </c>
      <c r="AN8" s="363">
        <f t="shared" si="4"/>
        <v>0</v>
      </c>
      <c r="AO8" s="364">
        <f>+SUM(AO9:AO41)</f>
        <v>0</v>
      </c>
      <c r="AP8" s="365"/>
      <c r="AQ8" s="362">
        <f>+SUM(AQ9:AQ41)</f>
        <v>0</v>
      </c>
      <c r="AR8" s="363">
        <f t="shared" ref="AR8:AU8" si="5">+SUM(AR9:AR41)</f>
        <v>1</v>
      </c>
      <c r="AS8" s="363">
        <f t="shared" si="5"/>
        <v>1</v>
      </c>
      <c r="AT8" s="363">
        <f t="shared" si="5"/>
        <v>1</v>
      </c>
      <c r="AU8" s="363">
        <f t="shared" si="5"/>
        <v>1</v>
      </c>
      <c r="AV8" s="363">
        <f>+SUM(AV9:AV41)</f>
        <v>1</v>
      </c>
      <c r="AW8" s="363">
        <f t="shared" ref="AW8:AX8" si="6">+SUM(AW9:AW41)</f>
        <v>1</v>
      </c>
      <c r="AX8" s="363">
        <f t="shared" si="6"/>
        <v>1</v>
      </c>
      <c r="AY8" s="364">
        <f>+SUM(AY9:AY41)</f>
        <v>1</v>
      </c>
    </row>
    <row r="9" spans="1:51" s="207" customFormat="1" ht="18" customHeight="1" thickTop="1" x14ac:dyDescent="0.25">
      <c r="A9" s="49"/>
      <c r="B9" s="49"/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W9" s="288"/>
      <c r="X9" s="289"/>
      <c r="Y9" s="289"/>
      <c r="Z9" s="289"/>
      <c r="AA9" s="289"/>
      <c r="AB9" s="289"/>
      <c r="AC9" s="289"/>
      <c r="AD9" s="289"/>
      <c r="AE9" s="290"/>
      <c r="AG9" s="288"/>
      <c r="AH9" s="289"/>
      <c r="AI9" s="289"/>
      <c r="AJ9" s="289"/>
      <c r="AK9" s="289"/>
      <c r="AL9" s="289"/>
      <c r="AM9" s="289"/>
      <c r="AN9" s="289"/>
      <c r="AO9" s="290"/>
      <c r="AQ9" s="288"/>
      <c r="AR9" s="289">
        <v>1</v>
      </c>
      <c r="AS9" s="289">
        <v>1</v>
      </c>
      <c r="AT9" s="289">
        <v>1</v>
      </c>
      <c r="AU9" s="289">
        <v>1</v>
      </c>
      <c r="AV9" s="289">
        <v>1</v>
      </c>
      <c r="AW9" s="289">
        <v>1</v>
      </c>
      <c r="AX9" s="289">
        <v>1</v>
      </c>
      <c r="AY9" s="290">
        <v>1</v>
      </c>
    </row>
    <row r="10" spans="1:51" s="207" customFormat="1" ht="18" customHeight="1" x14ac:dyDescent="0.25">
      <c r="A10" s="49"/>
      <c r="B10" s="49"/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W10" s="291"/>
      <c r="X10" s="292"/>
      <c r="Y10" s="289"/>
      <c r="Z10" s="292"/>
      <c r="AA10" s="292"/>
      <c r="AB10" s="292"/>
      <c r="AC10" s="292"/>
      <c r="AD10" s="292"/>
      <c r="AE10" s="293"/>
      <c r="AG10" s="291"/>
      <c r="AH10" s="292"/>
      <c r="AI10" s="289"/>
      <c r="AJ10" s="292"/>
      <c r="AK10" s="292"/>
      <c r="AL10" s="292"/>
      <c r="AM10" s="292"/>
      <c r="AN10" s="292"/>
      <c r="AO10" s="293"/>
      <c r="AQ10" s="291"/>
      <c r="AR10" s="292"/>
      <c r="AS10" s="289"/>
      <c r="AT10" s="292"/>
      <c r="AU10" s="292"/>
      <c r="AV10" s="292"/>
      <c r="AW10" s="292"/>
      <c r="AX10" s="292"/>
      <c r="AY10" s="293"/>
    </row>
    <row r="11" spans="1:51" s="207" customFormat="1" ht="18" customHeight="1" x14ac:dyDescent="0.25">
      <c r="A11" s="49"/>
      <c r="B11" s="49"/>
      <c r="C11" s="56">
        <f t="shared" ref="C11:C40" si="7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W11" s="291"/>
      <c r="X11" s="292"/>
      <c r="Y11" s="289"/>
      <c r="Z11" s="292"/>
      <c r="AA11" s="292"/>
      <c r="AB11" s="292"/>
      <c r="AC11" s="292"/>
      <c r="AD11" s="292"/>
      <c r="AE11" s="293"/>
      <c r="AG11" s="291"/>
      <c r="AH11" s="292"/>
      <c r="AI11" s="289"/>
      <c r="AJ11" s="292"/>
      <c r="AK11" s="292"/>
      <c r="AL11" s="292"/>
      <c r="AM11" s="292"/>
      <c r="AN11" s="292"/>
      <c r="AO11" s="293"/>
      <c r="AQ11" s="291"/>
      <c r="AR11" s="292"/>
      <c r="AS11" s="289"/>
      <c r="AT11" s="292"/>
      <c r="AU11" s="292"/>
      <c r="AV11" s="292"/>
      <c r="AW11" s="292"/>
      <c r="AX11" s="292"/>
      <c r="AY11" s="293"/>
    </row>
    <row r="12" spans="1:51" s="207" customFormat="1" ht="18" customHeight="1" x14ac:dyDescent="0.25">
      <c r="A12" s="49"/>
      <c r="B12" s="49"/>
      <c r="C12" s="56">
        <f t="shared" si="7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W12" s="291"/>
      <c r="X12" s="292"/>
      <c r="Y12" s="289"/>
      <c r="Z12" s="292"/>
      <c r="AA12" s="292"/>
      <c r="AB12" s="292"/>
      <c r="AC12" s="292"/>
      <c r="AD12" s="292"/>
      <c r="AE12" s="293"/>
      <c r="AG12" s="291"/>
      <c r="AH12" s="292"/>
      <c r="AI12" s="289"/>
      <c r="AJ12" s="292"/>
      <c r="AK12" s="292"/>
      <c r="AL12" s="292"/>
      <c r="AM12" s="292"/>
      <c r="AN12" s="292"/>
      <c r="AO12" s="293"/>
      <c r="AQ12" s="291"/>
      <c r="AR12" s="292"/>
      <c r="AS12" s="289"/>
      <c r="AT12" s="292"/>
      <c r="AU12" s="292"/>
      <c r="AV12" s="292"/>
      <c r="AW12" s="292"/>
      <c r="AX12" s="292"/>
      <c r="AY12" s="293"/>
    </row>
    <row r="13" spans="1:51" s="207" customFormat="1" ht="18" customHeight="1" x14ac:dyDescent="0.25">
      <c r="A13" s="49"/>
      <c r="B13" s="49"/>
      <c r="C13" s="56">
        <f t="shared" si="7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W13" s="291"/>
      <c r="X13" s="292"/>
      <c r="Y13" s="289"/>
      <c r="Z13" s="292"/>
      <c r="AA13" s="292"/>
      <c r="AB13" s="292"/>
      <c r="AC13" s="292"/>
      <c r="AD13" s="292"/>
      <c r="AE13" s="293"/>
      <c r="AG13" s="291"/>
      <c r="AH13" s="292"/>
      <c r="AI13" s="289"/>
      <c r="AJ13" s="292"/>
      <c r="AK13" s="292"/>
      <c r="AL13" s="292"/>
      <c r="AM13" s="292"/>
      <c r="AN13" s="292"/>
      <c r="AO13" s="293"/>
      <c r="AQ13" s="291"/>
      <c r="AR13" s="292"/>
      <c r="AS13" s="289"/>
      <c r="AT13" s="292"/>
      <c r="AU13" s="292"/>
      <c r="AV13" s="292"/>
      <c r="AW13" s="292"/>
      <c r="AX13" s="292"/>
      <c r="AY13" s="293"/>
    </row>
    <row r="14" spans="1:51" s="207" customFormat="1" ht="18" customHeight="1" x14ac:dyDescent="0.25">
      <c r="A14" s="49"/>
      <c r="B14" s="49"/>
      <c r="C14" s="56">
        <f t="shared" si="7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W14" s="291"/>
      <c r="X14" s="292"/>
      <c r="Y14" s="289"/>
      <c r="Z14" s="292"/>
      <c r="AA14" s="292"/>
      <c r="AB14" s="292"/>
      <c r="AC14" s="292"/>
      <c r="AD14" s="292"/>
      <c r="AE14" s="293"/>
      <c r="AG14" s="291"/>
      <c r="AH14" s="292"/>
      <c r="AI14" s="289"/>
      <c r="AJ14" s="292"/>
      <c r="AK14" s="292"/>
      <c r="AL14" s="292"/>
      <c r="AM14" s="292"/>
      <c r="AN14" s="292"/>
      <c r="AO14" s="293"/>
      <c r="AQ14" s="291"/>
      <c r="AR14" s="292"/>
      <c r="AS14" s="289"/>
      <c r="AT14" s="292"/>
      <c r="AU14" s="292"/>
      <c r="AV14" s="292"/>
      <c r="AW14" s="292"/>
      <c r="AX14" s="292"/>
      <c r="AY14" s="293"/>
    </row>
    <row r="15" spans="1:51" s="207" customFormat="1" ht="18" customHeight="1" x14ac:dyDescent="0.25">
      <c r="A15" s="49"/>
      <c r="B15" s="49"/>
      <c r="C15" s="56">
        <f t="shared" si="7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W15" s="291"/>
      <c r="X15" s="292"/>
      <c r="Y15" s="289"/>
      <c r="Z15" s="292"/>
      <c r="AA15" s="292"/>
      <c r="AB15" s="292"/>
      <c r="AC15" s="292"/>
      <c r="AD15" s="292"/>
      <c r="AE15" s="293"/>
      <c r="AG15" s="291"/>
      <c r="AH15" s="292"/>
      <c r="AI15" s="289"/>
      <c r="AJ15" s="292"/>
      <c r="AK15" s="292"/>
      <c r="AL15" s="292"/>
      <c r="AM15" s="292"/>
      <c r="AN15" s="292"/>
      <c r="AO15" s="293"/>
      <c r="AQ15" s="291"/>
      <c r="AR15" s="292"/>
      <c r="AS15" s="289"/>
      <c r="AT15" s="292"/>
      <c r="AU15" s="292"/>
      <c r="AV15" s="292"/>
      <c r="AW15" s="292"/>
      <c r="AX15" s="292"/>
      <c r="AY15" s="293"/>
    </row>
    <row r="16" spans="1:51" s="207" customFormat="1" ht="18" customHeight="1" x14ac:dyDescent="0.25">
      <c r="A16" s="49"/>
      <c r="B16" s="49"/>
      <c r="C16" s="56">
        <f t="shared" si="7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W16" s="291"/>
      <c r="X16" s="292"/>
      <c r="Y16" s="289"/>
      <c r="Z16" s="292"/>
      <c r="AA16" s="292"/>
      <c r="AB16" s="292"/>
      <c r="AC16" s="292"/>
      <c r="AD16" s="292"/>
      <c r="AE16" s="293"/>
      <c r="AG16" s="291"/>
      <c r="AH16" s="292"/>
      <c r="AI16" s="289"/>
      <c r="AJ16" s="292"/>
      <c r="AK16" s="292"/>
      <c r="AL16" s="292"/>
      <c r="AM16" s="292"/>
      <c r="AN16" s="292"/>
      <c r="AO16" s="293"/>
      <c r="AQ16" s="291"/>
      <c r="AR16" s="292"/>
      <c r="AS16" s="289"/>
      <c r="AT16" s="292"/>
      <c r="AU16" s="292"/>
      <c r="AV16" s="292"/>
      <c r="AW16" s="292"/>
      <c r="AX16" s="292"/>
      <c r="AY16" s="293"/>
    </row>
    <row r="17" spans="1:51" s="207" customFormat="1" ht="18" customHeight="1" x14ac:dyDescent="0.25">
      <c r="A17" s="204"/>
      <c r="C17" s="56">
        <f t="shared" si="7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W17" s="291"/>
      <c r="X17" s="292"/>
      <c r="Y17" s="289"/>
      <c r="Z17" s="292"/>
      <c r="AA17" s="292"/>
      <c r="AB17" s="292"/>
      <c r="AC17" s="292"/>
      <c r="AD17" s="292"/>
      <c r="AE17" s="293"/>
      <c r="AG17" s="291"/>
      <c r="AH17" s="292"/>
      <c r="AI17" s="289"/>
      <c r="AJ17" s="292"/>
      <c r="AK17" s="292"/>
      <c r="AL17" s="292"/>
      <c r="AM17" s="292"/>
      <c r="AN17" s="292"/>
      <c r="AO17" s="293"/>
      <c r="AQ17" s="291"/>
      <c r="AR17" s="292"/>
      <c r="AS17" s="289"/>
      <c r="AT17" s="292"/>
      <c r="AU17" s="292"/>
      <c r="AV17" s="292"/>
      <c r="AW17" s="292"/>
      <c r="AX17" s="292"/>
      <c r="AY17" s="293"/>
    </row>
    <row r="18" spans="1:51" s="207" customFormat="1" ht="18" customHeight="1" x14ac:dyDescent="0.25">
      <c r="A18" s="49"/>
      <c r="B18" s="49"/>
      <c r="C18" s="56">
        <f t="shared" si="7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W18" s="291"/>
      <c r="X18" s="292"/>
      <c r="Y18" s="289"/>
      <c r="Z18" s="292"/>
      <c r="AA18" s="292"/>
      <c r="AB18" s="292"/>
      <c r="AC18" s="292"/>
      <c r="AD18" s="292"/>
      <c r="AE18" s="293"/>
      <c r="AG18" s="291"/>
      <c r="AH18" s="292"/>
      <c r="AI18" s="289"/>
      <c r="AJ18" s="292"/>
      <c r="AK18" s="292"/>
      <c r="AL18" s="292"/>
      <c r="AM18" s="292"/>
      <c r="AN18" s="292"/>
      <c r="AO18" s="293"/>
      <c r="AQ18" s="291"/>
      <c r="AR18" s="292"/>
      <c r="AS18" s="289"/>
      <c r="AT18" s="292"/>
      <c r="AU18" s="292"/>
      <c r="AV18" s="292"/>
      <c r="AW18" s="292"/>
      <c r="AX18" s="292"/>
      <c r="AY18" s="293"/>
    </row>
    <row r="19" spans="1:51" s="207" customFormat="1" ht="18" customHeight="1" x14ac:dyDescent="0.25">
      <c r="A19" s="49"/>
      <c r="B19" s="49"/>
      <c r="C19" s="56">
        <f t="shared" si="7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W19" s="291"/>
      <c r="X19" s="292"/>
      <c r="Y19" s="289"/>
      <c r="Z19" s="292"/>
      <c r="AA19" s="292"/>
      <c r="AB19" s="292"/>
      <c r="AC19" s="292"/>
      <c r="AD19" s="292"/>
      <c r="AE19" s="293"/>
      <c r="AG19" s="291"/>
      <c r="AH19" s="292"/>
      <c r="AI19" s="289"/>
      <c r="AJ19" s="292"/>
      <c r="AK19" s="292"/>
      <c r="AL19" s="292"/>
      <c r="AM19" s="292"/>
      <c r="AN19" s="292"/>
      <c r="AO19" s="293"/>
      <c r="AQ19" s="291"/>
      <c r="AR19" s="292"/>
      <c r="AS19" s="289"/>
      <c r="AT19" s="292"/>
      <c r="AU19" s="292"/>
      <c r="AV19" s="292"/>
      <c r="AW19" s="292"/>
      <c r="AX19" s="292"/>
      <c r="AY19" s="293"/>
    </row>
    <row r="20" spans="1:51" s="207" customFormat="1" ht="18" customHeight="1" x14ac:dyDescent="0.25">
      <c r="A20" s="49"/>
      <c r="B20" s="49"/>
      <c r="C20" s="56">
        <f t="shared" si="7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W20" s="291"/>
      <c r="X20" s="292"/>
      <c r="Y20" s="289"/>
      <c r="Z20" s="292"/>
      <c r="AA20" s="292"/>
      <c r="AB20" s="292"/>
      <c r="AC20" s="292"/>
      <c r="AD20" s="292"/>
      <c r="AE20" s="293"/>
      <c r="AG20" s="291"/>
      <c r="AH20" s="292"/>
      <c r="AI20" s="289"/>
      <c r="AJ20" s="292"/>
      <c r="AK20" s="292"/>
      <c r="AL20" s="292"/>
      <c r="AM20" s="292"/>
      <c r="AN20" s="292"/>
      <c r="AO20" s="293"/>
      <c r="AQ20" s="291"/>
      <c r="AR20" s="292"/>
      <c r="AS20" s="289"/>
      <c r="AT20" s="292"/>
      <c r="AU20" s="292"/>
      <c r="AV20" s="292"/>
      <c r="AW20" s="292"/>
      <c r="AX20" s="292"/>
      <c r="AY20" s="293"/>
    </row>
    <row r="21" spans="1:51" s="207" customFormat="1" ht="18" customHeight="1" x14ac:dyDescent="0.25">
      <c r="A21" s="49"/>
      <c r="B21" s="49"/>
      <c r="C21" s="56">
        <f t="shared" si="7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W21" s="291"/>
      <c r="X21" s="292"/>
      <c r="Y21" s="289"/>
      <c r="Z21" s="292"/>
      <c r="AA21" s="292"/>
      <c r="AB21" s="292"/>
      <c r="AC21" s="292"/>
      <c r="AD21" s="292"/>
      <c r="AE21" s="293"/>
      <c r="AG21" s="291"/>
      <c r="AH21" s="292"/>
      <c r="AI21" s="289"/>
      <c r="AJ21" s="292"/>
      <c r="AK21" s="292"/>
      <c r="AL21" s="292"/>
      <c r="AM21" s="292"/>
      <c r="AN21" s="292"/>
      <c r="AO21" s="293"/>
      <c r="AQ21" s="291"/>
      <c r="AR21" s="292"/>
      <c r="AS21" s="289"/>
      <c r="AT21" s="292"/>
      <c r="AU21" s="292"/>
      <c r="AV21" s="292"/>
      <c r="AW21" s="292"/>
      <c r="AX21" s="292"/>
      <c r="AY21" s="293"/>
    </row>
    <row r="22" spans="1:51" s="207" customFormat="1" ht="18" customHeight="1" x14ac:dyDescent="0.25">
      <c r="A22" s="49"/>
      <c r="B22" s="49"/>
      <c r="C22" s="56">
        <f t="shared" si="7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W22" s="291"/>
      <c r="X22" s="292"/>
      <c r="Y22" s="289"/>
      <c r="Z22" s="292"/>
      <c r="AA22" s="292"/>
      <c r="AB22" s="292"/>
      <c r="AC22" s="292"/>
      <c r="AD22" s="292"/>
      <c r="AE22" s="293"/>
      <c r="AG22" s="291"/>
      <c r="AH22" s="292"/>
      <c r="AI22" s="289"/>
      <c r="AJ22" s="292"/>
      <c r="AK22" s="292"/>
      <c r="AL22" s="292"/>
      <c r="AM22" s="292"/>
      <c r="AN22" s="292"/>
      <c r="AO22" s="293"/>
      <c r="AQ22" s="291"/>
      <c r="AR22" s="292"/>
      <c r="AS22" s="289"/>
      <c r="AT22" s="292"/>
      <c r="AU22" s="292"/>
      <c r="AV22" s="292"/>
      <c r="AW22" s="292"/>
      <c r="AX22" s="292"/>
      <c r="AY22" s="293"/>
    </row>
    <row r="23" spans="1:51" s="207" customFormat="1" ht="18" customHeight="1" x14ac:dyDescent="0.25">
      <c r="A23" s="49"/>
      <c r="B23" s="49"/>
      <c r="C23" s="56">
        <f t="shared" si="7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W23" s="291"/>
      <c r="X23" s="292"/>
      <c r="Y23" s="289"/>
      <c r="Z23" s="292"/>
      <c r="AA23" s="292"/>
      <c r="AB23" s="292"/>
      <c r="AC23" s="292"/>
      <c r="AD23" s="292"/>
      <c r="AE23" s="293"/>
      <c r="AG23" s="291"/>
      <c r="AH23" s="292"/>
      <c r="AI23" s="289"/>
      <c r="AJ23" s="292"/>
      <c r="AK23" s="292"/>
      <c r="AL23" s="292"/>
      <c r="AM23" s="292"/>
      <c r="AN23" s="292"/>
      <c r="AO23" s="293"/>
      <c r="AQ23" s="291"/>
      <c r="AR23" s="292"/>
      <c r="AS23" s="289"/>
      <c r="AT23" s="292"/>
      <c r="AU23" s="292"/>
      <c r="AV23" s="292"/>
      <c r="AW23" s="292"/>
      <c r="AX23" s="292"/>
      <c r="AY23" s="293"/>
    </row>
    <row r="24" spans="1:51" s="207" customFormat="1" ht="18" customHeight="1" x14ac:dyDescent="0.25">
      <c r="A24" s="49"/>
      <c r="B24" s="49"/>
      <c r="C24" s="56">
        <f t="shared" si="7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W24" s="291"/>
      <c r="X24" s="292"/>
      <c r="Y24" s="289"/>
      <c r="Z24" s="292"/>
      <c r="AA24" s="292"/>
      <c r="AB24" s="292"/>
      <c r="AC24" s="292"/>
      <c r="AD24" s="292"/>
      <c r="AE24" s="293"/>
      <c r="AG24" s="291"/>
      <c r="AH24" s="292"/>
      <c r="AI24" s="289"/>
      <c r="AJ24" s="292"/>
      <c r="AK24" s="292"/>
      <c r="AL24" s="292"/>
      <c r="AM24" s="292"/>
      <c r="AN24" s="292"/>
      <c r="AO24" s="293"/>
      <c r="AQ24" s="291"/>
      <c r="AR24" s="292"/>
      <c r="AS24" s="289"/>
      <c r="AT24" s="292"/>
      <c r="AU24" s="292"/>
      <c r="AV24" s="292"/>
      <c r="AW24" s="292"/>
      <c r="AX24" s="292"/>
      <c r="AY24" s="293"/>
    </row>
    <row r="25" spans="1:51" s="207" customFormat="1" ht="18" customHeight="1" x14ac:dyDescent="0.25">
      <c r="A25" s="49"/>
      <c r="B25" s="49"/>
      <c r="C25" s="56">
        <f t="shared" si="7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W25" s="291"/>
      <c r="X25" s="292"/>
      <c r="Y25" s="289"/>
      <c r="Z25" s="292"/>
      <c r="AA25" s="292"/>
      <c r="AB25" s="292"/>
      <c r="AC25" s="292"/>
      <c r="AD25" s="292"/>
      <c r="AE25" s="293"/>
      <c r="AG25" s="291"/>
      <c r="AH25" s="292"/>
      <c r="AI25" s="289"/>
      <c r="AJ25" s="292"/>
      <c r="AK25" s="292"/>
      <c r="AL25" s="292"/>
      <c r="AM25" s="292"/>
      <c r="AN25" s="292"/>
      <c r="AO25" s="293"/>
      <c r="AQ25" s="291"/>
      <c r="AR25" s="292"/>
      <c r="AS25" s="289"/>
      <c r="AT25" s="292"/>
      <c r="AU25" s="292"/>
      <c r="AV25" s="292"/>
      <c r="AW25" s="292"/>
      <c r="AX25" s="292"/>
      <c r="AY25" s="293"/>
    </row>
    <row r="26" spans="1:51" s="207" customFormat="1" ht="18" customHeight="1" x14ac:dyDescent="0.25">
      <c r="A26" s="49"/>
      <c r="B26" s="49"/>
      <c r="C26" s="56">
        <f t="shared" si="7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W26" s="291"/>
      <c r="X26" s="292"/>
      <c r="Y26" s="292"/>
      <c r="Z26" s="292"/>
      <c r="AA26" s="292"/>
      <c r="AB26" s="292"/>
      <c r="AC26" s="292"/>
      <c r="AD26" s="292"/>
      <c r="AE26" s="293"/>
      <c r="AG26" s="291"/>
      <c r="AH26" s="292"/>
      <c r="AI26" s="292"/>
      <c r="AJ26" s="292"/>
      <c r="AK26" s="292"/>
      <c r="AL26" s="292"/>
      <c r="AM26" s="292"/>
      <c r="AN26" s="292"/>
      <c r="AO26" s="293"/>
      <c r="AQ26" s="291"/>
      <c r="AR26" s="292"/>
      <c r="AS26" s="292"/>
      <c r="AT26" s="292"/>
      <c r="AU26" s="292"/>
      <c r="AV26" s="292"/>
      <c r="AW26" s="292"/>
      <c r="AX26" s="292"/>
      <c r="AY26" s="293"/>
    </row>
    <row r="27" spans="1:51" s="207" customFormat="1" ht="18" customHeight="1" x14ac:dyDescent="0.25">
      <c r="A27" s="49"/>
      <c r="B27" s="49"/>
      <c r="C27" s="56">
        <f t="shared" si="7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W27" s="291"/>
      <c r="X27" s="292"/>
      <c r="Y27" s="292"/>
      <c r="Z27" s="292"/>
      <c r="AA27" s="292"/>
      <c r="AB27" s="292"/>
      <c r="AC27" s="292"/>
      <c r="AD27" s="292"/>
      <c r="AE27" s="293"/>
      <c r="AG27" s="291"/>
      <c r="AH27" s="292"/>
      <c r="AI27" s="292"/>
      <c r="AJ27" s="292"/>
      <c r="AK27" s="292"/>
      <c r="AL27" s="292"/>
      <c r="AM27" s="292"/>
      <c r="AN27" s="292"/>
      <c r="AO27" s="293"/>
      <c r="AQ27" s="291"/>
      <c r="AR27" s="292"/>
      <c r="AS27" s="292"/>
      <c r="AT27" s="292"/>
      <c r="AU27" s="292"/>
      <c r="AV27" s="292"/>
      <c r="AW27" s="292"/>
      <c r="AX27" s="292"/>
      <c r="AY27" s="293"/>
    </row>
    <row r="28" spans="1:51" s="207" customFormat="1" ht="18" customHeight="1" x14ac:dyDescent="0.25">
      <c r="A28" s="49"/>
      <c r="B28" s="49"/>
      <c r="C28" s="56">
        <f t="shared" si="7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W28" s="291"/>
      <c r="X28" s="292"/>
      <c r="Y28" s="292"/>
      <c r="Z28" s="292"/>
      <c r="AA28" s="292"/>
      <c r="AB28" s="292"/>
      <c r="AC28" s="292"/>
      <c r="AD28" s="292"/>
      <c r="AE28" s="293"/>
      <c r="AG28" s="291"/>
      <c r="AH28" s="292"/>
      <c r="AI28" s="292"/>
      <c r="AJ28" s="292"/>
      <c r="AK28" s="292"/>
      <c r="AL28" s="292"/>
      <c r="AM28" s="292"/>
      <c r="AN28" s="292"/>
      <c r="AO28" s="293"/>
      <c r="AQ28" s="291"/>
      <c r="AR28" s="292"/>
      <c r="AS28" s="292"/>
      <c r="AT28" s="292"/>
      <c r="AU28" s="292"/>
      <c r="AV28" s="292"/>
      <c r="AW28" s="292"/>
      <c r="AX28" s="292"/>
      <c r="AY28" s="293"/>
    </row>
    <row r="29" spans="1:51" s="207" customFormat="1" ht="18" customHeight="1" x14ac:dyDescent="0.25">
      <c r="A29" s="49"/>
      <c r="B29" s="49"/>
      <c r="C29" s="56">
        <f t="shared" si="7"/>
        <v>21</v>
      </c>
      <c r="D29" s="59"/>
      <c r="E29" s="59"/>
      <c r="F29" s="57"/>
      <c r="G29" s="279"/>
      <c r="H29" s="285"/>
      <c r="I29" s="58"/>
      <c r="J29" s="58"/>
      <c r="K29" s="58"/>
      <c r="L29" s="286"/>
      <c r="M29" s="291"/>
      <c r="N29" s="292"/>
      <c r="O29" s="292"/>
      <c r="P29" s="292"/>
      <c r="Q29" s="292"/>
      <c r="R29" s="292"/>
      <c r="S29" s="292"/>
      <c r="T29" s="292"/>
      <c r="U29" s="293"/>
      <c r="W29" s="291"/>
      <c r="X29" s="292"/>
      <c r="Y29" s="292"/>
      <c r="Z29" s="292"/>
      <c r="AA29" s="292"/>
      <c r="AB29" s="292"/>
      <c r="AC29" s="292"/>
      <c r="AD29" s="292"/>
      <c r="AE29" s="293"/>
      <c r="AG29" s="291"/>
      <c r="AH29" s="292"/>
      <c r="AI29" s="292"/>
      <c r="AJ29" s="292"/>
      <c r="AK29" s="292"/>
      <c r="AL29" s="292"/>
      <c r="AM29" s="292"/>
      <c r="AN29" s="292"/>
      <c r="AO29" s="293"/>
      <c r="AQ29" s="291"/>
      <c r="AR29" s="292"/>
      <c r="AS29" s="292"/>
      <c r="AT29" s="292"/>
      <c r="AU29" s="292"/>
      <c r="AV29" s="292"/>
      <c r="AW29" s="292"/>
      <c r="AX29" s="292"/>
      <c r="AY29" s="293"/>
    </row>
    <row r="30" spans="1:51" s="207" customFormat="1" ht="18" customHeight="1" x14ac:dyDescent="0.25">
      <c r="A30" s="49"/>
      <c r="B30" s="49"/>
      <c r="C30" s="56">
        <f t="shared" si="7"/>
        <v>22</v>
      </c>
      <c r="D30" s="59"/>
      <c r="E30" s="59"/>
      <c r="F30" s="57"/>
      <c r="G30" s="279"/>
      <c r="H30" s="285"/>
      <c r="I30" s="58"/>
      <c r="J30" s="58"/>
      <c r="K30" s="58"/>
      <c r="L30" s="286"/>
      <c r="M30" s="291"/>
      <c r="N30" s="292"/>
      <c r="O30" s="292"/>
      <c r="P30" s="292"/>
      <c r="Q30" s="292"/>
      <c r="R30" s="292"/>
      <c r="S30" s="292"/>
      <c r="T30" s="292"/>
      <c r="U30" s="293"/>
      <c r="W30" s="291"/>
      <c r="X30" s="292"/>
      <c r="Y30" s="292"/>
      <c r="Z30" s="292"/>
      <c r="AA30" s="292"/>
      <c r="AB30" s="292"/>
      <c r="AC30" s="292"/>
      <c r="AD30" s="292"/>
      <c r="AE30" s="293"/>
      <c r="AG30" s="291"/>
      <c r="AH30" s="292"/>
      <c r="AI30" s="292"/>
      <c r="AJ30" s="292"/>
      <c r="AK30" s="292"/>
      <c r="AL30" s="292"/>
      <c r="AM30" s="292"/>
      <c r="AN30" s="292"/>
      <c r="AO30" s="293"/>
      <c r="AQ30" s="291"/>
      <c r="AR30" s="292"/>
      <c r="AS30" s="292"/>
      <c r="AT30" s="292"/>
      <c r="AU30" s="292"/>
      <c r="AV30" s="292"/>
      <c r="AW30" s="292"/>
      <c r="AX30" s="292"/>
      <c r="AY30" s="293"/>
    </row>
    <row r="31" spans="1:51" s="207" customFormat="1" ht="18" customHeight="1" x14ac:dyDescent="0.25">
      <c r="A31" s="49"/>
      <c r="B31" s="49"/>
      <c r="C31" s="56">
        <f t="shared" si="7"/>
        <v>23</v>
      </c>
      <c r="D31" s="59"/>
      <c r="E31" s="59"/>
      <c r="F31" s="57"/>
      <c r="G31" s="279"/>
      <c r="H31" s="285"/>
      <c r="I31" s="58"/>
      <c r="J31" s="58"/>
      <c r="K31" s="58"/>
      <c r="L31" s="286"/>
      <c r="M31" s="291"/>
      <c r="N31" s="292"/>
      <c r="O31" s="292"/>
      <c r="P31" s="292"/>
      <c r="Q31" s="292"/>
      <c r="R31" s="292"/>
      <c r="S31" s="292"/>
      <c r="T31" s="292"/>
      <c r="U31" s="293"/>
      <c r="W31" s="291"/>
      <c r="X31" s="292"/>
      <c r="Y31" s="292"/>
      <c r="Z31" s="292"/>
      <c r="AA31" s="292"/>
      <c r="AB31" s="292"/>
      <c r="AC31" s="292"/>
      <c r="AD31" s="292"/>
      <c r="AE31" s="293"/>
      <c r="AG31" s="291"/>
      <c r="AH31" s="292"/>
      <c r="AI31" s="292"/>
      <c r="AJ31" s="292"/>
      <c r="AK31" s="292"/>
      <c r="AL31" s="292"/>
      <c r="AM31" s="292"/>
      <c r="AN31" s="292"/>
      <c r="AO31" s="293"/>
      <c r="AQ31" s="291"/>
      <c r="AR31" s="292"/>
      <c r="AS31" s="292"/>
      <c r="AT31" s="292"/>
      <c r="AU31" s="292"/>
      <c r="AV31" s="292"/>
      <c r="AW31" s="292"/>
      <c r="AX31" s="292"/>
      <c r="AY31" s="293"/>
    </row>
    <row r="32" spans="1:51" s="207" customFormat="1" ht="18" customHeight="1" x14ac:dyDescent="0.25">
      <c r="A32" s="49"/>
      <c r="B32" s="49"/>
      <c r="C32" s="56">
        <f t="shared" si="7"/>
        <v>24</v>
      </c>
      <c r="D32" s="59"/>
      <c r="E32" s="59"/>
      <c r="F32" s="57"/>
      <c r="G32" s="279"/>
      <c r="H32" s="285"/>
      <c r="I32" s="58"/>
      <c r="J32" s="58"/>
      <c r="K32" s="58"/>
      <c r="L32" s="286"/>
      <c r="M32" s="291"/>
      <c r="N32" s="292"/>
      <c r="O32" s="292"/>
      <c r="P32" s="292"/>
      <c r="Q32" s="292"/>
      <c r="R32" s="292"/>
      <c r="S32" s="292"/>
      <c r="T32" s="292"/>
      <c r="U32" s="293"/>
      <c r="W32" s="291"/>
      <c r="X32" s="292"/>
      <c r="Y32" s="292"/>
      <c r="Z32" s="292"/>
      <c r="AA32" s="292"/>
      <c r="AB32" s="292"/>
      <c r="AC32" s="292"/>
      <c r="AD32" s="292"/>
      <c r="AE32" s="293"/>
      <c r="AG32" s="291"/>
      <c r="AH32" s="292"/>
      <c r="AI32" s="292"/>
      <c r="AJ32" s="292"/>
      <c r="AK32" s="292"/>
      <c r="AL32" s="292"/>
      <c r="AM32" s="292"/>
      <c r="AN32" s="292"/>
      <c r="AO32" s="293"/>
      <c r="AQ32" s="291"/>
      <c r="AR32" s="292"/>
      <c r="AS32" s="292"/>
      <c r="AT32" s="292"/>
      <c r="AU32" s="292"/>
      <c r="AV32" s="292"/>
      <c r="AW32" s="292"/>
      <c r="AX32" s="292"/>
      <c r="AY32" s="293"/>
    </row>
    <row r="33" spans="1:51" s="207" customFormat="1" ht="18" customHeight="1" x14ac:dyDescent="0.25">
      <c r="A33" s="49"/>
      <c r="B33" s="49"/>
      <c r="C33" s="56">
        <f t="shared" si="7"/>
        <v>25</v>
      </c>
      <c r="D33" s="59"/>
      <c r="E33" s="59"/>
      <c r="F33" s="57"/>
      <c r="G33" s="279"/>
      <c r="H33" s="285"/>
      <c r="I33" s="58"/>
      <c r="J33" s="58"/>
      <c r="K33" s="58"/>
      <c r="L33" s="286"/>
      <c r="M33" s="291"/>
      <c r="N33" s="292"/>
      <c r="O33" s="292"/>
      <c r="P33" s="292"/>
      <c r="Q33" s="292"/>
      <c r="R33" s="292"/>
      <c r="S33" s="292"/>
      <c r="T33" s="292"/>
      <c r="U33" s="293"/>
      <c r="W33" s="291"/>
      <c r="X33" s="292"/>
      <c r="Y33" s="292"/>
      <c r="Z33" s="292"/>
      <c r="AA33" s="292"/>
      <c r="AB33" s="292"/>
      <c r="AC33" s="292"/>
      <c r="AD33" s="292"/>
      <c r="AE33" s="293"/>
      <c r="AG33" s="291"/>
      <c r="AH33" s="292"/>
      <c r="AI33" s="292"/>
      <c r="AJ33" s="292"/>
      <c r="AK33" s="292"/>
      <c r="AL33" s="292"/>
      <c r="AM33" s="292"/>
      <c r="AN33" s="292"/>
      <c r="AO33" s="293"/>
      <c r="AQ33" s="291"/>
      <c r="AR33" s="292"/>
      <c r="AS33" s="292"/>
      <c r="AT33" s="292"/>
      <c r="AU33" s="292"/>
      <c r="AV33" s="292"/>
      <c r="AW33" s="292"/>
      <c r="AX33" s="292"/>
      <c r="AY33" s="293"/>
    </row>
    <row r="34" spans="1:51" s="207" customFormat="1" ht="18" customHeight="1" x14ac:dyDescent="0.25">
      <c r="A34" s="49"/>
      <c r="B34" s="49"/>
      <c r="C34" s="56">
        <f t="shared" si="7"/>
        <v>26</v>
      </c>
      <c r="D34" s="59"/>
      <c r="E34" s="59"/>
      <c r="F34" s="57"/>
      <c r="G34" s="279"/>
      <c r="H34" s="285"/>
      <c r="I34" s="58"/>
      <c r="J34" s="58"/>
      <c r="K34" s="58"/>
      <c r="L34" s="286"/>
      <c r="M34" s="291"/>
      <c r="N34" s="292"/>
      <c r="O34" s="292"/>
      <c r="P34" s="292"/>
      <c r="Q34" s="292"/>
      <c r="R34" s="292"/>
      <c r="S34" s="292"/>
      <c r="T34" s="292"/>
      <c r="U34" s="293"/>
      <c r="W34" s="291"/>
      <c r="X34" s="292"/>
      <c r="Y34" s="292"/>
      <c r="Z34" s="292"/>
      <c r="AA34" s="292"/>
      <c r="AB34" s="292"/>
      <c r="AC34" s="292"/>
      <c r="AD34" s="292"/>
      <c r="AE34" s="293"/>
      <c r="AG34" s="291"/>
      <c r="AH34" s="292"/>
      <c r="AI34" s="292"/>
      <c r="AJ34" s="292"/>
      <c r="AK34" s="292"/>
      <c r="AL34" s="292"/>
      <c r="AM34" s="292"/>
      <c r="AN34" s="292"/>
      <c r="AO34" s="293"/>
      <c r="AQ34" s="291"/>
      <c r="AR34" s="292"/>
      <c r="AS34" s="292"/>
      <c r="AT34" s="292"/>
      <c r="AU34" s="292"/>
      <c r="AV34" s="292"/>
      <c r="AW34" s="292"/>
      <c r="AX34" s="292"/>
      <c r="AY34" s="293"/>
    </row>
    <row r="35" spans="1:51" s="207" customFormat="1" ht="18" customHeight="1" x14ac:dyDescent="0.25">
      <c r="A35" s="49"/>
      <c r="B35" s="49"/>
      <c r="C35" s="56">
        <f t="shared" si="7"/>
        <v>27</v>
      </c>
      <c r="D35" s="59"/>
      <c r="E35" s="59"/>
      <c r="F35" s="57"/>
      <c r="G35" s="279"/>
      <c r="H35" s="285"/>
      <c r="I35" s="58"/>
      <c r="J35" s="58"/>
      <c r="K35" s="58"/>
      <c r="L35" s="286"/>
      <c r="M35" s="291"/>
      <c r="N35" s="292"/>
      <c r="O35" s="292"/>
      <c r="P35" s="292"/>
      <c r="Q35" s="292"/>
      <c r="R35" s="292"/>
      <c r="S35" s="292"/>
      <c r="T35" s="292"/>
      <c r="U35" s="293"/>
      <c r="W35" s="291"/>
      <c r="X35" s="292"/>
      <c r="Y35" s="292"/>
      <c r="Z35" s="292"/>
      <c r="AA35" s="292"/>
      <c r="AB35" s="292"/>
      <c r="AC35" s="292"/>
      <c r="AD35" s="292"/>
      <c r="AE35" s="293"/>
      <c r="AG35" s="291"/>
      <c r="AH35" s="292"/>
      <c r="AI35" s="292"/>
      <c r="AJ35" s="292"/>
      <c r="AK35" s="292"/>
      <c r="AL35" s="292"/>
      <c r="AM35" s="292"/>
      <c r="AN35" s="292"/>
      <c r="AO35" s="293"/>
      <c r="AQ35" s="291"/>
      <c r="AR35" s="292"/>
      <c r="AS35" s="292"/>
      <c r="AT35" s="292"/>
      <c r="AU35" s="292"/>
      <c r="AV35" s="292"/>
      <c r="AW35" s="292"/>
      <c r="AX35" s="292"/>
      <c r="AY35" s="293"/>
    </row>
    <row r="36" spans="1:51" s="207" customFormat="1" ht="18" customHeight="1" x14ac:dyDescent="0.25">
      <c r="A36" s="49"/>
      <c r="B36" s="49"/>
      <c r="C36" s="56">
        <f t="shared" si="7"/>
        <v>28</v>
      </c>
      <c r="D36" s="59"/>
      <c r="E36" s="59"/>
      <c r="F36" s="57"/>
      <c r="G36" s="279"/>
      <c r="H36" s="285"/>
      <c r="I36" s="58"/>
      <c r="J36" s="58"/>
      <c r="K36" s="58"/>
      <c r="L36" s="286"/>
      <c r="M36" s="291"/>
      <c r="N36" s="292"/>
      <c r="O36" s="292"/>
      <c r="P36" s="292"/>
      <c r="Q36" s="292"/>
      <c r="R36" s="292"/>
      <c r="S36" s="292"/>
      <c r="T36" s="292"/>
      <c r="U36" s="293"/>
      <c r="W36" s="291"/>
      <c r="X36" s="292"/>
      <c r="Y36" s="292"/>
      <c r="Z36" s="292"/>
      <c r="AA36" s="292"/>
      <c r="AB36" s="292"/>
      <c r="AC36" s="292"/>
      <c r="AD36" s="292"/>
      <c r="AE36" s="293"/>
      <c r="AG36" s="291"/>
      <c r="AH36" s="292"/>
      <c r="AI36" s="292"/>
      <c r="AJ36" s="292"/>
      <c r="AK36" s="292"/>
      <c r="AL36" s="292"/>
      <c r="AM36" s="292"/>
      <c r="AN36" s="292"/>
      <c r="AO36" s="293"/>
      <c r="AQ36" s="291"/>
      <c r="AR36" s="292"/>
      <c r="AS36" s="292"/>
      <c r="AT36" s="292"/>
      <c r="AU36" s="292"/>
      <c r="AV36" s="292"/>
      <c r="AW36" s="292"/>
      <c r="AX36" s="292"/>
      <c r="AY36" s="293"/>
    </row>
    <row r="37" spans="1:51" s="207" customFormat="1" ht="18" customHeight="1" x14ac:dyDescent="0.25">
      <c r="A37" s="49"/>
      <c r="B37" s="49"/>
      <c r="C37" s="56">
        <f t="shared" si="7"/>
        <v>29</v>
      </c>
      <c r="D37" s="59"/>
      <c r="E37" s="59"/>
      <c r="F37" s="57"/>
      <c r="G37" s="279"/>
      <c r="H37" s="285"/>
      <c r="I37" s="58"/>
      <c r="J37" s="58"/>
      <c r="K37" s="58"/>
      <c r="L37" s="286"/>
      <c r="M37" s="291"/>
      <c r="N37" s="292"/>
      <c r="O37" s="292"/>
      <c r="P37" s="292"/>
      <c r="Q37" s="292"/>
      <c r="R37" s="292"/>
      <c r="S37" s="292"/>
      <c r="T37" s="292"/>
      <c r="U37" s="293"/>
      <c r="W37" s="291"/>
      <c r="X37" s="292"/>
      <c r="Y37" s="292"/>
      <c r="Z37" s="292"/>
      <c r="AA37" s="292"/>
      <c r="AB37" s="292"/>
      <c r="AC37" s="292"/>
      <c r="AD37" s="292"/>
      <c r="AE37" s="293"/>
      <c r="AG37" s="291"/>
      <c r="AH37" s="292"/>
      <c r="AI37" s="292"/>
      <c r="AJ37" s="292"/>
      <c r="AK37" s="292"/>
      <c r="AL37" s="292"/>
      <c r="AM37" s="292"/>
      <c r="AN37" s="292"/>
      <c r="AO37" s="293"/>
      <c r="AQ37" s="291"/>
      <c r="AR37" s="292"/>
      <c r="AS37" s="292"/>
      <c r="AT37" s="292"/>
      <c r="AU37" s="292"/>
      <c r="AV37" s="292"/>
      <c r="AW37" s="292"/>
      <c r="AX37" s="292"/>
      <c r="AY37" s="293"/>
    </row>
    <row r="38" spans="1:51" s="207" customFormat="1" ht="18" customHeight="1" x14ac:dyDescent="0.25">
      <c r="A38" s="49"/>
      <c r="B38" s="49"/>
      <c r="C38" s="56">
        <f t="shared" si="7"/>
        <v>30</v>
      </c>
      <c r="D38" s="59"/>
      <c r="E38" s="59"/>
      <c r="F38" s="57"/>
      <c r="G38" s="279"/>
      <c r="H38" s="285"/>
      <c r="I38" s="58"/>
      <c r="J38" s="58"/>
      <c r="K38" s="58"/>
      <c r="L38" s="286"/>
      <c r="M38" s="291"/>
      <c r="N38" s="292"/>
      <c r="O38" s="292"/>
      <c r="P38" s="292"/>
      <c r="Q38" s="292"/>
      <c r="R38" s="292"/>
      <c r="S38" s="292"/>
      <c r="T38" s="292"/>
      <c r="U38" s="293"/>
      <c r="W38" s="291"/>
      <c r="X38" s="292"/>
      <c r="Y38" s="292"/>
      <c r="Z38" s="292"/>
      <c r="AA38" s="292"/>
      <c r="AB38" s="292"/>
      <c r="AC38" s="292"/>
      <c r="AD38" s="292"/>
      <c r="AE38" s="293"/>
      <c r="AG38" s="291"/>
      <c r="AH38" s="292"/>
      <c r="AI38" s="292"/>
      <c r="AJ38" s="292"/>
      <c r="AK38" s="292"/>
      <c r="AL38" s="292"/>
      <c r="AM38" s="292"/>
      <c r="AN38" s="292"/>
      <c r="AO38" s="293"/>
      <c r="AQ38" s="291"/>
      <c r="AR38" s="292"/>
      <c r="AS38" s="292"/>
      <c r="AT38" s="292"/>
      <c r="AU38" s="292"/>
      <c r="AV38" s="292"/>
      <c r="AW38" s="292"/>
      <c r="AX38" s="292"/>
      <c r="AY38" s="293"/>
    </row>
    <row r="39" spans="1:51" s="207" customFormat="1" ht="18" customHeight="1" x14ac:dyDescent="0.25">
      <c r="A39" s="49"/>
      <c r="B39" s="49"/>
      <c r="C39" s="56">
        <f t="shared" si="7"/>
        <v>31</v>
      </c>
      <c r="D39" s="59"/>
      <c r="E39" s="59"/>
      <c r="F39" s="57"/>
      <c r="G39" s="279"/>
      <c r="H39" s="285"/>
      <c r="I39" s="58"/>
      <c r="J39" s="58"/>
      <c r="K39" s="58"/>
      <c r="L39" s="286"/>
      <c r="M39" s="291"/>
      <c r="N39" s="292"/>
      <c r="O39" s="292"/>
      <c r="P39" s="292"/>
      <c r="Q39" s="292"/>
      <c r="R39" s="292"/>
      <c r="S39" s="292"/>
      <c r="T39" s="292"/>
      <c r="U39" s="293"/>
      <c r="W39" s="291"/>
      <c r="X39" s="292"/>
      <c r="Y39" s="292"/>
      <c r="Z39" s="292"/>
      <c r="AA39" s="292"/>
      <c r="AB39" s="292"/>
      <c r="AC39" s="292"/>
      <c r="AD39" s="292"/>
      <c r="AE39" s="293"/>
      <c r="AG39" s="291"/>
      <c r="AH39" s="292"/>
      <c r="AI39" s="292"/>
      <c r="AJ39" s="292"/>
      <c r="AK39" s="292"/>
      <c r="AL39" s="292"/>
      <c r="AM39" s="292"/>
      <c r="AN39" s="292"/>
      <c r="AO39" s="293"/>
      <c r="AQ39" s="291"/>
      <c r="AR39" s="292"/>
      <c r="AS39" s="292"/>
      <c r="AT39" s="292"/>
      <c r="AU39" s="292"/>
      <c r="AV39" s="292"/>
      <c r="AW39" s="292"/>
      <c r="AX39" s="292"/>
      <c r="AY39" s="293"/>
    </row>
    <row r="40" spans="1:51" s="207" customFormat="1" ht="18" customHeight="1" x14ac:dyDescent="0.25">
      <c r="A40" s="49"/>
      <c r="B40" s="49"/>
      <c r="C40" s="56">
        <f t="shared" si="7"/>
        <v>32</v>
      </c>
      <c r="D40" s="59"/>
      <c r="E40" s="59"/>
      <c r="F40" s="57"/>
      <c r="G40" s="279"/>
      <c r="H40" s="285"/>
      <c r="I40" s="58"/>
      <c r="J40" s="58"/>
      <c r="K40" s="58"/>
      <c r="L40" s="286"/>
      <c r="M40" s="291"/>
      <c r="N40" s="292"/>
      <c r="O40" s="292"/>
      <c r="P40" s="292"/>
      <c r="Q40" s="292"/>
      <c r="R40" s="292"/>
      <c r="S40" s="292"/>
      <c r="T40" s="292"/>
      <c r="U40" s="293"/>
      <c r="W40" s="291"/>
      <c r="X40" s="292"/>
      <c r="Y40" s="292"/>
      <c r="Z40" s="292"/>
      <c r="AA40" s="292"/>
      <c r="AB40" s="292"/>
      <c r="AC40" s="292"/>
      <c r="AD40" s="292"/>
      <c r="AE40" s="293"/>
      <c r="AG40" s="291"/>
      <c r="AH40" s="292"/>
      <c r="AI40" s="292"/>
      <c r="AJ40" s="292"/>
      <c r="AK40" s="292"/>
      <c r="AL40" s="292"/>
      <c r="AM40" s="292"/>
      <c r="AN40" s="292"/>
      <c r="AO40" s="293"/>
      <c r="AQ40" s="291"/>
      <c r="AR40" s="292"/>
      <c r="AS40" s="292"/>
      <c r="AT40" s="292"/>
      <c r="AU40" s="292"/>
      <c r="AV40" s="292"/>
      <c r="AW40" s="292"/>
      <c r="AX40" s="292"/>
      <c r="AY40" s="293"/>
    </row>
    <row r="41" spans="1:51" s="207" customFormat="1" ht="15.75" x14ac:dyDescent="0.25">
      <c r="A41" s="49"/>
      <c r="B41" s="49"/>
      <c r="C41" s="48"/>
      <c r="D41" s="60"/>
      <c r="E41" s="60"/>
      <c r="F41" s="60"/>
      <c r="G41" s="50"/>
      <c r="H41" s="61"/>
      <c r="I41" s="61"/>
      <c r="J41" s="61"/>
      <c r="K41" s="61"/>
      <c r="L41" s="61"/>
      <c r="M41" s="62"/>
      <c r="N41" s="62"/>
      <c r="O41" s="62"/>
      <c r="P41" s="62"/>
      <c r="Q41" s="63"/>
      <c r="R41" s="63"/>
      <c r="S41" s="63"/>
      <c r="T41" s="63"/>
      <c r="U41" s="63"/>
      <c r="W41" s="49"/>
      <c r="X41" s="49"/>
      <c r="Y41" s="49"/>
      <c r="Z41" s="49"/>
      <c r="AA41" s="49"/>
      <c r="AB41" s="49"/>
      <c r="AC41" s="49"/>
      <c r="AD41" s="49"/>
      <c r="AE41" s="49"/>
      <c r="AG41" s="49"/>
      <c r="AH41" s="49"/>
      <c r="AI41" s="49"/>
      <c r="AJ41" s="49"/>
      <c r="AK41" s="49"/>
      <c r="AL41" s="49"/>
      <c r="AM41" s="49"/>
      <c r="AN41" s="49"/>
      <c r="AO41" s="49"/>
      <c r="AQ41" s="49"/>
      <c r="AR41" s="49"/>
      <c r="AS41" s="49"/>
      <c r="AT41" s="49"/>
      <c r="AU41" s="49"/>
      <c r="AV41" s="49"/>
      <c r="AW41" s="49"/>
      <c r="AX41" s="49"/>
      <c r="AY41" s="49"/>
    </row>
    <row r="42" spans="1:51" s="207" customFormat="1" ht="15.75" x14ac:dyDescent="0.25">
      <c r="A42" s="49"/>
      <c r="B42" s="49"/>
      <c r="C42" s="48"/>
      <c r="D42" s="60"/>
      <c r="E42" s="60"/>
      <c r="F42" s="60"/>
      <c r="G42" s="50"/>
      <c r="H42" s="61"/>
      <c r="I42" s="61"/>
      <c r="J42" s="61"/>
      <c r="K42" s="61"/>
      <c r="L42" s="61"/>
      <c r="M42" s="62"/>
      <c r="N42" s="62"/>
      <c r="O42" s="62"/>
      <c r="P42" s="62"/>
      <c r="Q42" s="63"/>
      <c r="R42" s="63"/>
      <c r="S42" s="63"/>
      <c r="T42" s="63"/>
      <c r="U42" s="63"/>
      <c r="W42" s="49"/>
      <c r="X42" s="49"/>
      <c r="Y42" s="49"/>
      <c r="Z42" s="49"/>
      <c r="AA42" s="49"/>
      <c r="AB42" s="49"/>
      <c r="AC42" s="49"/>
      <c r="AD42" s="49"/>
      <c r="AE42" s="49"/>
      <c r="AG42" s="49"/>
      <c r="AH42" s="49"/>
      <c r="AI42" s="49"/>
      <c r="AJ42" s="49"/>
      <c r="AK42" s="49"/>
      <c r="AL42" s="49"/>
      <c r="AM42" s="49"/>
      <c r="AN42" s="49"/>
      <c r="AO42" s="49"/>
      <c r="AQ42" s="49"/>
      <c r="AR42" s="49"/>
      <c r="AS42" s="49"/>
      <c r="AT42" s="49"/>
      <c r="AU42" s="49"/>
      <c r="AV42" s="49"/>
      <c r="AW42" s="49"/>
      <c r="AX42" s="49"/>
      <c r="AY42" s="49"/>
    </row>
    <row r="43" spans="1:51" s="207" customFormat="1" ht="15.75" x14ac:dyDescent="0.25">
      <c r="A43" s="49"/>
      <c r="B43" s="49"/>
      <c r="C43" s="48"/>
      <c r="D43" s="60"/>
      <c r="E43" s="60"/>
      <c r="F43" s="60"/>
      <c r="G43" s="50"/>
      <c r="H43" s="61"/>
      <c r="I43" s="61"/>
      <c r="J43" s="61"/>
      <c r="K43" s="61"/>
      <c r="L43" s="61"/>
      <c r="M43" s="62"/>
      <c r="N43" s="62"/>
      <c r="O43" s="62"/>
      <c r="P43" s="62"/>
      <c r="Q43" s="63"/>
      <c r="R43" s="63"/>
      <c r="S43" s="63"/>
      <c r="T43" s="63"/>
      <c r="U43" s="63"/>
      <c r="W43" s="49"/>
      <c r="X43" s="49"/>
      <c r="Y43" s="49"/>
      <c r="Z43" s="49"/>
      <c r="AA43" s="49"/>
      <c r="AB43" s="49"/>
      <c r="AC43" s="49"/>
      <c r="AD43" s="49"/>
      <c r="AE43" s="49"/>
      <c r="AG43" s="49"/>
      <c r="AH43" s="49"/>
      <c r="AI43" s="49"/>
      <c r="AJ43" s="49"/>
      <c r="AK43" s="49"/>
      <c r="AL43" s="49"/>
      <c r="AM43" s="49"/>
      <c r="AN43" s="49"/>
      <c r="AO43" s="49"/>
      <c r="AQ43" s="49"/>
      <c r="AR43" s="49"/>
      <c r="AS43" s="49"/>
      <c r="AT43" s="49"/>
      <c r="AU43" s="49"/>
      <c r="AV43" s="49"/>
      <c r="AW43" s="49"/>
      <c r="AX43" s="49"/>
      <c r="AY43" s="49"/>
    </row>
    <row r="44" spans="1:51" s="207" customFormat="1" ht="15.75" x14ac:dyDescent="0.25">
      <c r="A44" s="49"/>
      <c r="B44" s="49"/>
      <c r="C44" s="48"/>
      <c r="D44" s="60"/>
      <c r="E44" s="60"/>
      <c r="F44" s="60"/>
      <c r="G44" s="50"/>
      <c r="H44" s="61"/>
      <c r="I44" s="61"/>
      <c r="J44" s="61"/>
      <c r="K44" s="61"/>
      <c r="L44" s="61"/>
      <c r="M44" s="62"/>
      <c r="N44" s="62"/>
      <c r="O44" s="62"/>
      <c r="P44" s="62"/>
      <c r="Q44" s="63"/>
      <c r="R44" s="63"/>
      <c r="S44" s="63"/>
      <c r="T44" s="63"/>
      <c r="U44" s="63"/>
      <c r="W44" s="49"/>
      <c r="X44" s="49"/>
      <c r="Y44" s="49"/>
      <c r="Z44" s="49"/>
      <c r="AA44" s="49"/>
      <c r="AB44" s="49"/>
      <c r="AC44" s="49"/>
      <c r="AD44" s="49"/>
      <c r="AE44" s="49"/>
      <c r="AG44" s="49"/>
      <c r="AH44" s="49"/>
      <c r="AI44" s="49"/>
      <c r="AJ44" s="49"/>
      <c r="AK44" s="49"/>
      <c r="AL44" s="49"/>
      <c r="AM44" s="49"/>
      <c r="AN44" s="49"/>
      <c r="AO44" s="49"/>
      <c r="AQ44" s="49"/>
      <c r="AR44" s="49"/>
      <c r="AS44" s="49"/>
      <c r="AT44" s="49"/>
      <c r="AU44" s="49"/>
      <c r="AV44" s="49"/>
      <c r="AW44" s="49"/>
      <c r="AX44" s="49"/>
      <c r="AY44" s="49"/>
    </row>
    <row r="45" spans="1:51" s="207" customFormat="1" ht="15.75" x14ac:dyDescent="0.25">
      <c r="A45" s="49"/>
      <c r="B45" s="49"/>
      <c r="C45" s="48"/>
      <c r="D45" s="60"/>
      <c r="E45" s="60"/>
      <c r="F45" s="60"/>
      <c r="G45" s="50"/>
      <c r="H45" s="61"/>
      <c r="I45" s="61"/>
      <c r="J45" s="61"/>
      <c r="K45" s="61"/>
      <c r="L45" s="61"/>
      <c r="M45" s="62"/>
      <c r="N45" s="62"/>
      <c r="O45" s="62"/>
      <c r="P45" s="62"/>
      <c r="Q45" s="63"/>
      <c r="R45" s="63"/>
      <c r="S45" s="63"/>
      <c r="T45" s="63"/>
      <c r="U45" s="63"/>
      <c r="W45" s="49"/>
      <c r="X45" s="49"/>
      <c r="Y45" s="49"/>
      <c r="Z45" s="49"/>
      <c r="AA45" s="49"/>
      <c r="AB45" s="49"/>
      <c r="AC45" s="49"/>
      <c r="AD45" s="49"/>
      <c r="AE45" s="49"/>
      <c r="AG45" s="49"/>
      <c r="AH45" s="49"/>
      <c r="AI45" s="49"/>
      <c r="AJ45" s="49"/>
      <c r="AK45" s="49"/>
      <c r="AL45" s="49"/>
      <c r="AM45" s="49"/>
      <c r="AN45" s="49"/>
      <c r="AO45" s="49"/>
      <c r="AQ45" s="49"/>
      <c r="AR45" s="49"/>
      <c r="AS45" s="49"/>
      <c r="AT45" s="49"/>
      <c r="AU45" s="49"/>
      <c r="AV45" s="49"/>
      <c r="AW45" s="49"/>
      <c r="AX45" s="49"/>
      <c r="AY45" s="49"/>
    </row>
    <row r="46" spans="1:51" s="207" customFormat="1" ht="15.75" x14ac:dyDescent="0.25">
      <c r="A46" s="49"/>
      <c r="B46" s="49"/>
      <c r="C46" s="48"/>
      <c r="D46" s="60"/>
      <c r="E46" s="60"/>
      <c r="F46" s="60"/>
      <c r="G46" s="50"/>
      <c r="H46" s="61"/>
      <c r="I46" s="61"/>
      <c r="J46" s="61"/>
      <c r="K46" s="61"/>
      <c r="L46" s="61"/>
      <c r="M46" s="62"/>
      <c r="N46" s="62"/>
      <c r="O46" s="62"/>
      <c r="P46" s="62"/>
      <c r="Q46" s="63"/>
      <c r="R46" s="63"/>
      <c r="S46" s="63"/>
      <c r="T46" s="63"/>
      <c r="U46" s="63"/>
      <c r="W46" s="49"/>
      <c r="X46" s="49"/>
      <c r="Y46" s="49"/>
      <c r="Z46" s="49"/>
      <c r="AA46" s="49"/>
      <c r="AB46" s="49"/>
      <c r="AC46" s="49"/>
      <c r="AD46" s="49"/>
      <c r="AE46" s="49"/>
      <c r="AG46" s="49"/>
      <c r="AH46" s="49"/>
      <c r="AI46" s="49"/>
      <c r="AJ46" s="49"/>
      <c r="AK46" s="49"/>
      <c r="AL46" s="49"/>
      <c r="AM46" s="49"/>
      <c r="AN46" s="49"/>
      <c r="AO46" s="49"/>
      <c r="AQ46" s="49"/>
      <c r="AR46" s="49"/>
      <c r="AS46" s="49"/>
      <c r="AT46" s="49"/>
      <c r="AU46" s="49"/>
      <c r="AV46" s="49"/>
      <c r="AW46" s="49"/>
      <c r="AX46" s="49"/>
      <c r="AY46" s="49"/>
    </row>
    <row r="47" spans="1:51" s="207" customFormat="1" ht="15.75" x14ac:dyDescent="0.25">
      <c r="A47" s="49"/>
      <c r="B47" s="49"/>
      <c r="C47" s="48"/>
      <c r="D47" s="60"/>
      <c r="E47" s="60"/>
      <c r="F47" s="60"/>
      <c r="G47" s="50"/>
      <c r="H47" s="61"/>
      <c r="I47" s="61"/>
      <c r="J47" s="61"/>
      <c r="K47" s="61"/>
      <c r="L47" s="61"/>
      <c r="M47" s="62"/>
      <c r="N47" s="62"/>
      <c r="O47" s="62"/>
      <c r="P47" s="62"/>
      <c r="Q47" s="63"/>
      <c r="R47" s="63"/>
      <c r="S47" s="63"/>
      <c r="T47" s="63"/>
      <c r="U47" s="63"/>
      <c r="W47" s="49"/>
      <c r="X47" s="49"/>
      <c r="Y47" s="49"/>
      <c r="Z47" s="49"/>
      <c r="AA47" s="49"/>
      <c r="AB47" s="49"/>
      <c r="AC47" s="49"/>
      <c r="AD47" s="49"/>
      <c r="AE47" s="49"/>
      <c r="AG47" s="49"/>
      <c r="AH47" s="49"/>
      <c r="AI47" s="49"/>
      <c r="AJ47" s="49"/>
      <c r="AK47" s="49"/>
      <c r="AL47" s="49"/>
      <c r="AM47" s="49"/>
      <c r="AN47" s="49"/>
      <c r="AO47" s="49"/>
      <c r="AQ47" s="49"/>
      <c r="AR47" s="49"/>
      <c r="AS47" s="49"/>
      <c r="AT47" s="49"/>
      <c r="AU47" s="49"/>
      <c r="AV47" s="49"/>
      <c r="AW47" s="49"/>
      <c r="AX47" s="49"/>
      <c r="AY47" s="49"/>
    </row>
    <row r="48" spans="1:51" s="207" customFormat="1" ht="15.75" x14ac:dyDescent="0.25">
      <c r="A48" s="49"/>
      <c r="B48" s="49"/>
      <c r="C48" s="48"/>
      <c r="D48" s="60"/>
      <c r="E48" s="60"/>
      <c r="F48" s="60"/>
      <c r="G48" s="50"/>
      <c r="H48" s="61"/>
      <c r="I48" s="61"/>
      <c r="J48" s="61"/>
      <c r="K48" s="61"/>
      <c r="L48" s="61"/>
      <c r="M48" s="62"/>
      <c r="N48" s="62"/>
      <c r="O48" s="62"/>
      <c r="P48" s="62"/>
      <c r="Q48" s="63"/>
      <c r="R48" s="63"/>
      <c r="S48" s="63"/>
      <c r="T48" s="63"/>
      <c r="U48" s="63"/>
      <c r="W48" s="49"/>
      <c r="X48" s="49"/>
      <c r="Y48" s="49"/>
      <c r="Z48" s="49"/>
      <c r="AA48" s="49"/>
      <c r="AB48" s="49"/>
      <c r="AC48" s="49"/>
      <c r="AD48" s="49"/>
      <c r="AE48" s="49"/>
      <c r="AG48" s="49"/>
      <c r="AH48" s="49"/>
      <c r="AI48" s="49"/>
      <c r="AJ48" s="49"/>
      <c r="AK48" s="49"/>
      <c r="AL48" s="49"/>
      <c r="AM48" s="49"/>
      <c r="AN48" s="49"/>
      <c r="AO48" s="49"/>
      <c r="AQ48" s="49"/>
      <c r="AR48" s="49"/>
      <c r="AS48" s="49"/>
      <c r="AT48" s="49"/>
      <c r="AU48" s="49"/>
      <c r="AV48" s="49"/>
      <c r="AW48" s="49"/>
      <c r="AX48" s="49"/>
      <c r="AY48" s="49"/>
    </row>
    <row r="49" spans="1:51" s="207" customFormat="1" ht="15.75" x14ac:dyDescent="0.25">
      <c r="A49" s="49"/>
      <c r="B49" s="49"/>
      <c r="C49" s="48"/>
      <c r="D49" s="60"/>
      <c r="E49" s="60"/>
      <c r="F49" s="60"/>
      <c r="G49" s="50"/>
      <c r="H49" s="61"/>
      <c r="I49" s="61"/>
      <c r="J49" s="61"/>
      <c r="K49" s="61"/>
      <c r="L49" s="61"/>
      <c r="M49" s="62"/>
      <c r="N49" s="62"/>
      <c r="O49" s="62"/>
      <c r="P49" s="62"/>
      <c r="Q49" s="63"/>
      <c r="R49" s="63"/>
      <c r="S49" s="63"/>
      <c r="T49" s="63"/>
      <c r="U49" s="63"/>
      <c r="W49" s="49"/>
      <c r="X49" s="49"/>
      <c r="Y49" s="49"/>
      <c r="Z49" s="49"/>
      <c r="AA49" s="49"/>
      <c r="AB49" s="49"/>
      <c r="AC49" s="49"/>
      <c r="AD49" s="49"/>
      <c r="AE49" s="49"/>
      <c r="AG49" s="49"/>
      <c r="AH49" s="49"/>
      <c r="AI49" s="49"/>
      <c r="AJ49" s="49"/>
      <c r="AK49" s="49"/>
      <c r="AL49" s="49"/>
      <c r="AM49" s="49"/>
      <c r="AN49" s="49"/>
      <c r="AO49" s="49"/>
      <c r="AQ49" s="49"/>
      <c r="AR49" s="49"/>
      <c r="AS49" s="49"/>
      <c r="AT49" s="49"/>
      <c r="AU49" s="49"/>
      <c r="AV49" s="49"/>
      <c r="AW49" s="49"/>
      <c r="AX49" s="49"/>
      <c r="AY49" s="49"/>
    </row>
    <row r="50" spans="1:51" s="207" customFormat="1" ht="15.75" x14ac:dyDescent="0.25">
      <c r="A50" s="49"/>
      <c r="B50" s="49"/>
      <c r="C50" s="48"/>
      <c r="D50" s="60"/>
      <c r="E50" s="60"/>
      <c r="F50" s="60"/>
      <c r="G50" s="50"/>
      <c r="H50" s="61"/>
      <c r="I50" s="61"/>
      <c r="J50" s="61"/>
      <c r="K50" s="61"/>
      <c r="L50" s="61"/>
      <c r="M50" s="62"/>
      <c r="N50" s="62"/>
      <c r="O50" s="62"/>
      <c r="P50" s="62"/>
      <c r="Q50" s="63"/>
      <c r="R50" s="63"/>
      <c r="S50" s="63"/>
      <c r="T50" s="63"/>
      <c r="U50" s="63"/>
      <c r="W50" s="49"/>
      <c r="X50" s="49"/>
      <c r="Y50" s="49"/>
      <c r="Z50" s="49"/>
      <c r="AA50" s="49"/>
      <c r="AB50" s="49"/>
      <c r="AC50" s="49"/>
      <c r="AD50" s="49"/>
      <c r="AE50" s="49"/>
      <c r="AG50" s="49"/>
      <c r="AH50" s="49"/>
      <c r="AI50" s="49"/>
      <c r="AJ50" s="49"/>
      <c r="AK50" s="49"/>
      <c r="AL50" s="49"/>
      <c r="AM50" s="49"/>
      <c r="AN50" s="49"/>
      <c r="AO50" s="49"/>
      <c r="AQ50" s="49"/>
      <c r="AR50" s="49"/>
      <c r="AS50" s="49"/>
      <c r="AT50" s="49"/>
      <c r="AU50" s="49"/>
      <c r="AV50" s="49"/>
      <c r="AW50" s="49"/>
      <c r="AX50" s="49"/>
      <c r="AY50" s="49"/>
    </row>
    <row r="51" spans="1:51" s="207" customFormat="1" ht="15.75" x14ac:dyDescent="0.25">
      <c r="A51" s="49"/>
      <c r="B51" s="49"/>
      <c r="C51" s="48"/>
      <c r="D51" s="60"/>
      <c r="E51" s="60"/>
      <c r="F51" s="60"/>
      <c r="G51" s="50"/>
      <c r="H51" s="61"/>
      <c r="I51" s="61"/>
      <c r="J51" s="61"/>
      <c r="K51" s="61"/>
      <c r="L51" s="61"/>
      <c r="M51" s="62"/>
      <c r="N51" s="62"/>
      <c r="O51" s="62"/>
      <c r="P51" s="62"/>
      <c r="Q51" s="63"/>
      <c r="R51" s="63"/>
      <c r="S51" s="63"/>
      <c r="T51" s="63"/>
      <c r="U51" s="63"/>
      <c r="W51" s="49"/>
      <c r="X51" s="49"/>
      <c r="Y51" s="49"/>
      <c r="Z51" s="49"/>
      <c r="AA51" s="49"/>
      <c r="AB51" s="49"/>
      <c r="AC51" s="49"/>
      <c r="AD51" s="49"/>
      <c r="AE51" s="49"/>
      <c r="AG51" s="49"/>
      <c r="AH51" s="49"/>
      <c r="AI51" s="49"/>
      <c r="AJ51" s="49"/>
      <c r="AK51" s="49"/>
      <c r="AL51" s="49"/>
      <c r="AM51" s="49"/>
      <c r="AN51" s="49"/>
      <c r="AO51" s="49"/>
      <c r="AQ51" s="49"/>
      <c r="AR51" s="49"/>
      <c r="AS51" s="49"/>
      <c r="AT51" s="49"/>
      <c r="AU51" s="49"/>
      <c r="AV51" s="49"/>
      <c r="AW51" s="49"/>
      <c r="AX51" s="49"/>
      <c r="AY51" s="49"/>
    </row>
    <row r="52" spans="1:51" s="207" customFormat="1" ht="15.75" x14ac:dyDescent="0.25">
      <c r="A52" s="49"/>
      <c r="B52" s="49"/>
      <c r="C52" s="48"/>
      <c r="D52" s="60"/>
      <c r="E52" s="60"/>
      <c r="F52" s="60"/>
      <c r="G52" s="50"/>
      <c r="H52" s="61"/>
      <c r="I52" s="61"/>
      <c r="J52" s="61"/>
      <c r="K52" s="61"/>
      <c r="L52" s="61"/>
      <c r="M52" s="62"/>
      <c r="N52" s="62"/>
      <c r="O52" s="62"/>
      <c r="P52" s="62"/>
      <c r="Q52" s="63"/>
      <c r="R52" s="63"/>
      <c r="S52" s="63"/>
      <c r="T52" s="63"/>
      <c r="U52" s="63"/>
      <c r="W52" s="49"/>
      <c r="X52" s="49"/>
      <c r="Y52" s="49"/>
      <c r="Z52" s="49"/>
      <c r="AA52" s="49"/>
      <c r="AB52" s="49"/>
      <c r="AC52" s="49"/>
      <c r="AD52" s="49"/>
      <c r="AE52" s="49"/>
      <c r="AG52" s="49"/>
      <c r="AH52" s="49"/>
      <c r="AI52" s="49"/>
      <c r="AJ52" s="49"/>
      <c r="AK52" s="49"/>
      <c r="AL52" s="49"/>
      <c r="AM52" s="49"/>
      <c r="AN52" s="49"/>
      <c r="AO52" s="49"/>
      <c r="AQ52" s="49"/>
      <c r="AR52" s="49"/>
      <c r="AS52" s="49"/>
      <c r="AT52" s="49"/>
      <c r="AU52" s="49"/>
      <c r="AV52" s="49"/>
      <c r="AW52" s="49"/>
      <c r="AX52" s="49"/>
      <c r="AY52" s="49"/>
    </row>
    <row r="53" spans="1:51" s="207" customFormat="1" ht="15.75" x14ac:dyDescent="0.25">
      <c r="A53" s="49"/>
      <c r="B53" s="49"/>
      <c r="C53" s="48"/>
      <c r="D53" s="60"/>
      <c r="E53" s="60"/>
      <c r="F53" s="60"/>
      <c r="G53" s="50"/>
      <c r="H53" s="61"/>
      <c r="I53" s="61"/>
      <c r="J53" s="61"/>
      <c r="K53" s="61"/>
      <c r="L53" s="61"/>
      <c r="M53" s="62"/>
      <c r="N53" s="62"/>
      <c r="O53" s="62"/>
      <c r="P53" s="62"/>
      <c r="Q53" s="63"/>
      <c r="R53" s="63"/>
      <c r="S53" s="63"/>
      <c r="T53" s="63"/>
      <c r="U53" s="63"/>
      <c r="W53" s="49"/>
      <c r="X53" s="49"/>
      <c r="Y53" s="49"/>
      <c r="Z53" s="49"/>
      <c r="AA53" s="49"/>
      <c r="AB53" s="49"/>
      <c r="AC53" s="49"/>
      <c r="AD53" s="49"/>
      <c r="AE53" s="49"/>
      <c r="AG53" s="49"/>
      <c r="AH53" s="49"/>
      <c r="AI53" s="49"/>
      <c r="AJ53" s="49"/>
      <c r="AK53" s="49"/>
      <c r="AL53" s="49"/>
      <c r="AM53" s="49"/>
      <c r="AN53" s="49"/>
      <c r="AO53" s="49"/>
      <c r="AQ53" s="49"/>
      <c r="AR53" s="49"/>
      <c r="AS53" s="49"/>
      <c r="AT53" s="49"/>
      <c r="AU53" s="49"/>
      <c r="AV53" s="49"/>
      <c r="AW53" s="49"/>
      <c r="AX53" s="49"/>
      <c r="AY53" s="49"/>
    </row>
    <row r="54" spans="1:51" s="207" customFormat="1" ht="15.75" x14ac:dyDescent="0.25">
      <c r="A54" s="49"/>
      <c r="B54" s="49"/>
      <c r="C54" s="48"/>
      <c r="D54" s="60"/>
      <c r="E54" s="60"/>
      <c r="F54" s="60"/>
      <c r="G54" s="50"/>
      <c r="H54" s="61"/>
      <c r="I54" s="61"/>
      <c r="J54" s="61"/>
      <c r="K54" s="61"/>
      <c r="L54" s="61"/>
      <c r="M54" s="62"/>
      <c r="N54" s="62"/>
      <c r="O54" s="62"/>
      <c r="P54" s="62"/>
      <c r="Q54" s="63"/>
      <c r="R54" s="63"/>
      <c r="S54" s="63"/>
      <c r="T54" s="63"/>
      <c r="U54" s="63"/>
      <c r="W54" s="49"/>
      <c r="X54" s="49"/>
      <c r="Y54" s="49"/>
      <c r="Z54" s="49"/>
      <c r="AA54" s="49"/>
      <c r="AB54" s="49"/>
      <c r="AC54" s="49"/>
      <c r="AD54" s="49"/>
      <c r="AE54" s="49"/>
      <c r="AG54" s="49"/>
      <c r="AH54" s="49"/>
      <c r="AI54" s="49"/>
      <c r="AJ54" s="49"/>
      <c r="AK54" s="49"/>
      <c r="AL54" s="49"/>
      <c r="AM54" s="49"/>
      <c r="AN54" s="49"/>
      <c r="AO54" s="49"/>
      <c r="AQ54" s="49"/>
      <c r="AR54" s="49"/>
      <c r="AS54" s="49"/>
      <c r="AT54" s="49"/>
      <c r="AU54" s="49"/>
      <c r="AV54" s="49"/>
      <c r="AW54" s="49"/>
      <c r="AX54" s="49"/>
      <c r="AY54" s="49"/>
    </row>
    <row r="55" spans="1:51" s="207" customFormat="1" ht="15.75" x14ac:dyDescent="0.25">
      <c r="A55" s="49"/>
      <c r="B55" s="49"/>
      <c r="C55" s="48"/>
      <c r="D55" s="60"/>
      <c r="E55" s="60"/>
      <c r="F55" s="60"/>
      <c r="G55" s="50"/>
      <c r="H55" s="61"/>
      <c r="I55" s="61"/>
      <c r="J55" s="61"/>
      <c r="K55" s="61"/>
      <c r="L55" s="61"/>
      <c r="M55" s="62"/>
      <c r="N55" s="62"/>
      <c r="O55" s="62"/>
      <c r="P55" s="62"/>
      <c r="Q55" s="63"/>
      <c r="R55" s="63"/>
      <c r="S55" s="63"/>
      <c r="T55" s="63"/>
      <c r="U55" s="63"/>
      <c r="W55" s="49"/>
      <c r="X55" s="49"/>
      <c r="Y55" s="49"/>
      <c r="Z55" s="49"/>
      <c r="AA55" s="49"/>
      <c r="AB55" s="49"/>
      <c r="AC55" s="49"/>
      <c r="AD55" s="49"/>
      <c r="AE55" s="49"/>
      <c r="AG55" s="49"/>
      <c r="AH55" s="49"/>
      <c r="AI55" s="49"/>
      <c r="AJ55" s="49"/>
      <c r="AK55" s="49"/>
      <c r="AL55" s="49"/>
      <c r="AM55" s="49"/>
      <c r="AN55" s="49"/>
      <c r="AO55" s="49"/>
      <c r="AQ55" s="49"/>
      <c r="AR55" s="49"/>
      <c r="AS55" s="49"/>
      <c r="AT55" s="49"/>
      <c r="AU55" s="49"/>
      <c r="AV55" s="49"/>
      <c r="AW55" s="49"/>
      <c r="AX55" s="49"/>
      <c r="AY55" s="49"/>
    </row>
    <row r="56" spans="1:51" s="207" customFormat="1" ht="15.75" x14ac:dyDescent="0.25">
      <c r="A56" s="49"/>
      <c r="B56" s="49"/>
      <c r="C56" s="48"/>
      <c r="D56" s="60"/>
      <c r="E56" s="60"/>
      <c r="F56" s="60"/>
      <c r="G56" s="50"/>
      <c r="H56" s="61"/>
      <c r="I56" s="61"/>
      <c r="J56" s="61"/>
      <c r="K56" s="61"/>
      <c r="L56" s="61"/>
      <c r="M56" s="62"/>
      <c r="N56" s="62"/>
      <c r="O56" s="62"/>
      <c r="P56" s="62"/>
      <c r="Q56" s="63"/>
      <c r="R56" s="63"/>
      <c r="S56" s="63"/>
      <c r="T56" s="63"/>
      <c r="U56" s="63"/>
      <c r="W56" s="49"/>
      <c r="X56" s="49"/>
      <c r="Y56" s="49"/>
      <c r="Z56" s="49"/>
      <c r="AA56" s="49"/>
      <c r="AB56" s="49"/>
      <c r="AC56" s="49"/>
      <c r="AD56" s="49"/>
      <c r="AE56" s="49"/>
      <c r="AG56" s="49"/>
      <c r="AH56" s="49"/>
      <c r="AI56" s="49"/>
      <c r="AJ56" s="49"/>
      <c r="AK56" s="49"/>
      <c r="AL56" s="49"/>
      <c r="AM56" s="49"/>
      <c r="AN56" s="49"/>
      <c r="AO56" s="49"/>
      <c r="AQ56" s="49"/>
      <c r="AR56" s="49"/>
      <c r="AS56" s="49"/>
      <c r="AT56" s="49"/>
      <c r="AU56" s="49"/>
      <c r="AV56" s="49"/>
      <c r="AW56" s="49"/>
      <c r="AX56" s="49"/>
      <c r="AY56" s="49"/>
    </row>
    <row r="57" spans="1:51" s="207" customFormat="1" ht="15.75" x14ac:dyDescent="0.25">
      <c r="A57" s="49"/>
      <c r="B57" s="49"/>
      <c r="C57" s="48"/>
      <c r="D57" s="60"/>
      <c r="E57" s="60"/>
      <c r="F57" s="60"/>
      <c r="G57" s="50"/>
      <c r="H57" s="61"/>
      <c r="I57" s="61"/>
      <c r="J57" s="61"/>
      <c r="K57" s="61"/>
      <c r="L57" s="61"/>
      <c r="M57" s="62"/>
      <c r="N57" s="62"/>
      <c r="O57" s="62"/>
      <c r="P57" s="62"/>
      <c r="Q57" s="63"/>
      <c r="R57" s="63"/>
      <c r="S57" s="63"/>
      <c r="T57" s="63"/>
      <c r="U57" s="63"/>
      <c r="W57" s="49"/>
      <c r="X57" s="49"/>
      <c r="Y57" s="49"/>
      <c r="Z57" s="49"/>
      <c r="AA57" s="49"/>
      <c r="AB57" s="49"/>
      <c r="AC57" s="49"/>
      <c r="AD57" s="49"/>
      <c r="AE57" s="49"/>
      <c r="AG57" s="49"/>
      <c r="AH57" s="49"/>
      <c r="AI57" s="49"/>
      <c r="AJ57" s="49"/>
      <c r="AK57" s="49"/>
      <c r="AL57" s="49"/>
      <c r="AM57" s="49"/>
      <c r="AN57" s="49"/>
      <c r="AO57" s="49"/>
      <c r="AQ57" s="49"/>
      <c r="AR57" s="49"/>
      <c r="AS57" s="49"/>
      <c r="AT57" s="49"/>
      <c r="AU57" s="49"/>
      <c r="AV57" s="49"/>
      <c r="AW57" s="49"/>
      <c r="AX57" s="49"/>
      <c r="AY57" s="49"/>
    </row>
    <row r="58" spans="1:51" s="207" customFormat="1" ht="15.75" x14ac:dyDescent="0.25">
      <c r="A58" s="49"/>
      <c r="B58" s="49"/>
      <c r="C58" s="48"/>
      <c r="D58" s="60"/>
      <c r="E58" s="60"/>
      <c r="F58" s="60"/>
      <c r="G58" s="50"/>
      <c r="H58" s="61"/>
      <c r="I58" s="61"/>
      <c r="J58" s="61"/>
      <c r="K58" s="61"/>
      <c r="L58" s="61"/>
      <c r="M58" s="62"/>
      <c r="N58" s="62"/>
      <c r="O58" s="62"/>
      <c r="P58" s="62"/>
      <c r="Q58" s="63"/>
      <c r="R58" s="63"/>
      <c r="S58" s="63"/>
      <c r="T58" s="63"/>
      <c r="U58" s="63"/>
      <c r="W58" s="49"/>
      <c r="X58" s="49"/>
      <c r="Y58" s="49"/>
      <c r="Z58" s="49"/>
      <c r="AA58" s="49"/>
      <c r="AB58" s="49"/>
      <c r="AC58" s="49"/>
      <c r="AD58" s="49"/>
      <c r="AE58" s="49"/>
      <c r="AG58" s="49"/>
      <c r="AH58" s="49"/>
      <c r="AI58" s="49"/>
      <c r="AJ58" s="49"/>
      <c r="AK58" s="49"/>
      <c r="AL58" s="49"/>
      <c r="AM58" s="49"/>
      <c r="AN58" s="49"/>
      <c r="AO58" s="49"/>
      <c r="AQ58" s="49"/>
      <c r="AR58" s="49"/>
      <c r="AS58" s="49"/>
      <c r="AT58" s="49"/>
      <c r="AU58" s="49"/>
      <c r="AV58" s="49"/>
      <c r="AW58" s="49"/>
      <c r="AX58" s="49"/>
      <c r="AY58" s="49"/>
    </row>
    <row r="59" spans="1:51" s="207" customFormat="1" ht="15.75" x14ac:dyDescent="0.25">
      <c r="A59" s="49"/>
      <c r="B59" s="49"/>
      <c r="C59" s="48"/>
      <c r="D59" s="60"/>
      <c r="E59" s="60"/>
      <c r="F59" s="60"/>
      <c r="G59" s="50"/>
      <c r="H59" s="61"/>
      <c r="I59" s="61"/>
      <c r="J59" s="61"/>
      <c r="K59" s="61"/>
      <c r="L59" s="61"/>
      <c r="M59" s="62"/>
      <c r="N59" s="62"/>
      <c r="O59" s="62"/>
      <c r="P59" s="62"/>
      <c r="Q59" s="63"/>
      <c r="R59" s="63"/>
      <c r="S59" s="63"/>
      <c r="T59" s="63"/>
      <c r="U59" s="63"/>
      <c r="W59" s="49"/>
      <c r="X59" s="49"/>
      <c r="Y59" s="49"/>
      <c r="Z59" s="49"/>
      <c r="AA59" s="49"/>
      <c r="AB59" s="49"/>
      <c r="AC59" s="49"/>
      <c r="AD59" s="49"/>
      <c r="AE59" s="49"/>
      <c r="AG59" s="49"/>
      <c r="AH59" s="49"/>
      <c r="AI59" s="49"/>
      <c r="AJ59" s="49"/>
      <c r="AK59" s="49"/>
      <c r="AL59" s="49"/>
      <c r="AM59" s="49"/>
      <c r="AN59" s="49"/>
      <c r="AO59" s="49"/>
      <c r="AQ59" s="49"/>
      <c r="AR59" s="49"/>
      <c r="AS59" s="49"/>
      <c r="AT59" s="49"/>
      <c r="AU59" s="49"/>
      <c r="AV59" s="49"/>
      <c r="AW59" s="49"/>
      <c r="AX59" s="49"/>
      <c r="AY59" s="49"/>
    </row>
    <row r="60" spans="1:51" s="207" customFormat="1" ht="15.75" x14ac:dyDescent="0.25">
      <c r="A60" s="49"/>
      <c r="B60" s="49"/>
      <c r="C60" s="48"/>
      <c r="D60" s="60"/>
      <c r="E60" s="60"/>
      <c r="F60" s="60"/>
      <c r="G60" s="50"/>
      <c r="H60" s="61"/>
      <c r="I60" s="61"/>
      <c r="J60" s="61"/>
      <c r="K60" s="61"/>
      <c r="L60" s="61"/>
      <c r="M60" s="62"/>
      <c r="N60" s="62"/>
      <c r="O60" s="62"/>
      <c r="P60" s="62"/>
      <c r="Q60" s="63"/>
      <c r="R60" s="63"/>
      <c r="S60" s="63"/>
      <c r="T60" s="63"/>
      <c r="U60" s="63"/>
      <c r="W60" s="49"/>
      <c r="X60" s="49"/>
      <c r="Y60" s="49"/>
      <c r="Z60" s="49"/>
      <c r="AA60" s="49"/>
      <c r="AB60" s="49"/>
      <c r="AC60" s="49"/>
      <c r="AD60" s="49"/>
      <c r="AE60" s="49"/>
      <c r="AG60" s="49"/>
      <c r="AH60" s="49"/>
      <c r="AI60" s="49"/>
      <c r="AJ60" s="49"/>
      <c r="AK60" s="49"/>
      <c r="AL60" s="49"/>
      <c r="AM60" s="49"/>
      <c r="AN60" s="49"/>
      <c r="AO60" s="49"/>
      <c r="AQ60" s="49"/>
      <c r="AR60" s="49"/>
      <c r="AS60" s="49"/>
      <c r="AT60" s="49"/>
      <c r="AU60" s="49"/>
      <c r="AV60" s="49"/>
      <c r="AW60" s="49"/>
      <c r="AX60" s="49"/>
      <c r="AY60" s="49"/>
    </row>
    <row r="61" spans="1:51" s="207" customFormat="1" ht="15.75" x14ac:dyDescent="0.25">
      <c r="A61" s="49"/>
      <c r="B61" s="49"/>
      <c r="C61" s="48"/>
      <c r="D61" s="60"/>
      <c r="E61" s="60"/>
      <c r="F61" s="60"/>
      <c r="G61" s="50"/>
      <c r="H61" s="61"/>
      <c r="I61" s="61"/>
      <c r="J61" s="61"/>
      <c r="K61" s="61"/>
      <c r="L61" s="61"/>
      <c r="M61" s="62"/>
      <c r="N61" s="62"/>
      <c r="O61" s="62"/>
      <c r="P61" s="62"/>
      <c r="Q61" s="63"/>
      <c r="R61" s="63"/>
      <c r="S61" s="63"/>
      <c r="T61" s="63"/>
      <c r="U61" s="63"/>
      <c r="W61" s="49"/>
      <c r="X61" s="49"/>
      <c r="Y61" s="49"/>
      <c r="Z61" s="49"/>
      <c r="AA61" s="49"/>
      <c r="AB61" s="49"/>
      <c r="AC61" s="49"/>
      <c r="AD61" s="49"/>
      <c r="AE61" s="49"/>
      <c r="AG61" s="49"/>
      <c r="AH61" s="49"/>
      <c r="AI61" s="49"/>
      <c r="AJ61" s="49"/>
      <c r="AK61" s="49"/>
      <c r="AL61" s="49"/>
      <c r="AM61" s="49"/>
      <c r="AN61" s="49"/>
      <c r="AO61" s="49"/>
      <c r="AQ61" s="49"/>
      <c r="AR61" s="49"/>
      <c r="AS61" s="49"/>
      <c r="AT61" s="49"/>
      <c r="AU61" s="49"/>
      <c r="AV61" s="49"/>
      <c r="AW61" s="49"/>
      <c r="AX61" s="49"/>
      <c r="AY61" s="49"/>
    </row>
    <row r="62" spans="1:51" s="207" customFormat="1" ht="15.75" x14ac:dyDescent="0.25">
      <c r="A62" s="49"/>
      <c r="B62" s="49"/>
      <c r="C62" s="48"/>
      <c r="D62" s="60"/>
      <c r="E62" s="60"/>
      <c r="F62" s="60"/>
      <c r="G62" s="50"/>
      <c r="H62" s="61"/>
      <c r="I62" s="61"/>
      <c r="J62" s="61"/>
      <c r="K62" s="61"/>
      <c r="L62" s="61"/>
      <c r="M62" s="62"/>
      <c r="N62" s="62"/>
      <c r="O62" s="62"/>
      <c r="P62" s="62"/>
      <c r="Q62" s="63"/>
      <c r="R62" s="63"/>
      <c r="S62" s="63"/>
      <c r="T62" s="63"/>
      <c r="U62" s="63"/>
      <c r="W62" s="49"/>
      <c r="X62" s="49"/>
      <c r="Y62" s="49"/>
      <c r="Z62" s="49"/>
      <c r="AA62" s="49"/>
      <c r="AB62" s="49"/>
      <c r="AC62" s="49"/>
      <c r="AD62" s="49"/>
      <c r="AE62" s="49"/>
      <c r="AG62" s="49"/>
      <c r="AH62" s="49"/>
      <c r="AI62" s="49"/>
      <c r="AJ62" s="49"/>
      <c r="AK62" s="49"/>
      <c r="AL62" s="49"/>
      <c r="AM62" s="49"/>
      <c r="AN62" s="49"/>
      <c r="AO62" s="49"/>
      <c r="AQ62" s="49"/>
      <c r="AR62" s="49"/>
      <c r="AS62" s="49"/>
      <c r="AT62" s="49"/>
      <c r="AU62" s="49"/>
      <c r="AV62" s="49"/>
      <c r="AW62" s="49"/>
      <c r="AX62" s="49"/>
      <c r="AY62" s="49"/>
    </row>
    <row r="63" spans="1:51" s="207" customFormat="1" ht="15.75" x14ac:dyDescent="0.25">
      <c r="A63" s="49"/>
      <c r="B63" s="49"/>
      <c r="C63" s="48"/>
      <c r="D63" s="60"/>
      <c r="E63" s="60"/>
      <c r="F63" s="60"/>
      <c r="G63" s="50"/>
      <c r="H63" s="61"/>
      <c r="I63" s="61"/>
      <c r="J63" s="61"/>
      <c r="K63" s="61"/>
      <c r="L63" s="61"/>
      <c r="M63" s="62"/>
      <c r="N63" s="62"/>
      <c r="O63" s="62"/>
      <c r="P63" s="62"/>
      <c r="Q63" s="63"/>
      <c r="R63" s="63"/>
      <c r="S63" s="63"/>
      <c r="T63" s="63"/>
      <c r="U63" s="63"/>
      <c r="W63" s="49"/>
      <c r="X63" s="49"/>
      <c r="Y63" s="49"/>
      <c r="Z63" s="49"/>
      <c r="AA63" s="49"/>
      <c r="AB63" s="49"/>
      <c r="AC63" s="49"/>
      <c r="AD63" s="49"/>
      <c r="AE63" s="49"/>
      <c r="AG63" s="49"/>
      <c r="AH63" s="49"/>
      <c r="AI63" s="49"/>
      <c r="AJ63" s="49"/>
      <c r="AK63" s="49"/>
      <c r="AL63" s="49"/>
      <c r="AM63" s="49"/>
      <c r="AN63" s="49"/>
      <c r="AO63" s="49"/>
      <c r="AQ63" s="49"/>
      <c r="AR63" s="49"/>
      <c r="AS63" s="49"/>
      <c r="AT63" s="49"/>
      <c r="AU63" s="49"/>
      <c r="AV63" s="49"/>
      <c r="AW63" s="49"/>
      <c r="AX63" s="49"/>
      <c r="AY63" s="49"/>
    </row>
    <row r="64" spans="1:51" s="207" customFormat="1" ht="15.75" x14ac:dyDescent="0.25">
      <c r="A64" s="49"/>
      <c r="B64" s="49"/>
      <c r="C64" s="48"/>
      <c r="D64" s="60"/>
      <c r="E64" s="60"/>
      <c r="F64" s="60"/>
      <c r="G64" s="50"/>
      <c r="H64" s="61"/>
      <c r="I64" s="61"/>
      <c r="J64" s="61"/>
      <c r="K64" s="61"/>
      <c r="L64" s="61"/>
      <c r="M64" s="62"/>
      <c r="N64" s="62"/>
      <c r="O64" s="62"/>
      <c r="P64" s="62"/>
      <c r="Q64" s="63"/>
      <c r="R64" s="63"/>
      <c r="S64" s="63"/>
      <c r="T64" s="63"/>
      <c r="U64" s="63"/>
      <c r="W64" s="49"/>
      <c r="X64" s="49"/>
      <c r="Y64" s="49"/>
      <c r="Z64" s="49"/>
      <c r="AA64" s="49"/>
      <c r="AB64" s="49"/>
      <c r="AC64" s="49"/>
      <c r="AD64" s="49"/>
      <c r="AE64" s="49"/>
      <c r="AG64" s="49"/>
      <c r="AH64" s="49"/>
      <c r="AI64" s="49"/>
      <c r="AJ64" s="49"/>
      <c r="AK64" s="49"/>
      <c r="AL64" s="49"/>
      <c r="AM64" s="49"/>
      <c r="AN64" s="49"/>
      <c r="AO64" s="49"/>
      <c r="AQ64" s="49"/>
      <c r="AR64" s="49"/>
      <c r="AS64" s="49"/>
      <c r="AT64" s="49"/>
      <c r="AU64" s="49"/>
      <c r="AV64" s="49"/>
      <c r="AW64" s="49"/>
      <c r="AX64" s="49"/>
      <c r="AY64" s="49"/>
    </row>
    <row r="65" spans="1:51" s="207" customFormat="1" ht="15.75" x14ac:dyDescent="0.25">
      <c r="A65" s="49"/>
      <c r="B65" s="49"/>
      <c r="C65" s="48"/>
      <c r="D65" s="60"/>
      <c r="E65" s="60"/>
      <c r="F65" s="60"/>
      <c r="G65" s="50"/>
      <c r="H65" s="61"/>
      <c r="I65" s="61"/>
      <c r="J65" s="61"/>
      <c r="K65" s="61"/>
      <c r="L65" s="61"/>
      <c r="M65" s="62"/>
      <c r="N65" s="62"/>
      <c r="O65" s="62"/>
      <c r="P65" s="62"/>
      <c r="Q65" s="63"/>
      <c r="R65" s="63"/>
      <c r="S65" s="63"/>
      <c r="T65" s="63"/>
      <c r="U65" s="63"/>
      <c r="W65" s="49"/>
      <c r="X65" s="49"/>
      <c r="Y65" s="49"/>
      <c r="Z65" s="49"/>
      <c r="AA65" s="49"/>
      <c r="AB65" s="49"/>
      <c r="AC65" s="49"/>
      <c r="AD65" s="49"/>
      <c r="AE65" s="49"/>
      <c r="AG65" s="49"/>
      <c r="AH65" s="49"/>
      <c r="AI65" s="49"/>
      <c r="AJ65" s="49"/>
      <c r="AK65" s="49"/>
      <c r="AL65" s="49"/>
      <c r="AM65" s="49"/>
      <c r="AN65" s="49"/>
      <c r="AO65" s="49"/>
      <c r="AQ65" s="49"/>
      <c r="AR65" s="49"/>
      <c r="AS65" s="49"/>
      <c r="AT65" s="49"/>
      <c r="AU65" s="49"/>
      <c r="AV65" s="49"/>
      <c r="AW65" s="49"/>
      <c r="AX65" s="49"/>
      <c r="AY65" s="49"/>
    </row>
    <row r="66" spans="1:51" s="207" customFormat="1" ht="15.75" x14ac:dyDescent="0.25">
      <c r="A66" s="49"/>
      <c r="B66" s="49"/>
      <c r="C66" s="48"/>
      <c r="D66" s="60"/>
      <c r="E66" s="60"/>
      <c r="F66" s="60"/>
      <c r="G66" s="50"/>
      <c r="H66" s="61"/>
      <c r="I66" s="61"/>
      <c r="J66" s="61"/>
      <c r="K66" s="61"/>
      <c r="L66" s="61"/>
      <c r="M66" s="62"/>
      <c r="N66" s="62"/>
      <c r="O66" s="62"/>
      <c r="P66" s="62"/>
      <c r="Q66" s="63"/>
      <c r="R66" s="63"/>
      <c r="S66" s="63"/>
      <c r="T66" s="63"/>
      <c r="U66" s="63"/>
      <c r="W66" s="49"/>
      <c r="X66" s="49"/>
      <c r="Y66" s="49"/>
      <c r="Z66" s="49"/>
      <c r="AA66" s="49"/>
      <c r="AB66" s="49"/>
      <c r="AC66" s="49"/>
      <c r="AD66" s="49"/>
      <c r="AE66" s="49"/>
      <c r="AG66" s="49"/>
      <c r="AH66" s="49"/>
      <c r="AI66" s="49"/>
      <c r="AJ66" s="49"/>
      <c r="AK66" s="49"/>
      <c r="AL66" s="49"/>
      <c r="AM66" s="49"/>
      <c r="AN66" s="49"/>
      <c r="AO66" s="49"/>
      <c r="AQ66" s="49"/>
      <c r="AR66" s="49"/>
      <c r="AS66" s="49"/>
      <c r="AT66" s="49"/>
      <c r="AU66" s="49"/>
      <c r="AV66" s="49"/>
      <c r="AW66" s="49"/>
      <c r="AX66" s="49"/>
      <c r="AY66" s="49"/>
    </row>
    <row r="67" spans="1:51" s="207" customFormat="1" ht="15.75" x14ac:dyDescent="0.25">
      <c r="A67" s="49"/>
      <c r="B67" s="49"/>
      <c r="C67" s="48"/>
      <c r="D67" s="60"/>
      <c r="E67" s="60"/>
      <c r="F67" s="60"/>
      <c r="G67" s="50"/>
      <c r="H67" s="61"/>
      <c r="I67" s="61"/>
      <c r="J67" s="61"/>
      <c r="K67" s="61"/>
      <c r="L67" s="61"/>
      <c r="M67" s="62"/>
      <c r="N67" s="62"/>
      <c r="O67" s="62"/>
      <c r="P67" s="62"/>
      <c r="Q67" s="63"/>
      <c r="R67" s="63"/>
      <c r="S67" s="63"/>
      <c r="T67" s="63"/>
      <c r="U67" s="63"/>
      <c r="W67" s="49"/>
      <c r="X67" s="49"/>
      <c r="Y67" s="49"/>
      <c r="Z67" s="49"/>
      <c r="AA67" s="49"/>
      <c r="AB67" s="49"/>
      <c r="AC67" s="49"/>
      <c r="AD67" s="49"/>
      <c r="AE67" s="49"/>
      <c r="AG67" s="49"/>
      <c r="AH67" s="49"/>
      <c r="AI67" s="49"/>
      <c r="AJ67" s="49"/>
      <c r="AK67" s="49"/>
      <c r="AL67" s="49"/>
      <c r="AM67" s="49"/>
      <c r="AN67" s="49"/>
      <c r="AO67" s="49"/>
      <c r="AQ67" s="49"/>
      <c r="AR67" s="49"/>
      <c r="AS67" s="49"/>
      <c r="AT67" s="49"/>
      <c r="AU67" s="49"/>
      <c r="AV67" s="49"/>
      <c r="AW67" s="49"/>
      <c r="AX67" s="49"/>
      <c r="AY67" s="49"/>
    </row>
    <row r="68" spans="1:51" s="207" customFormat="1" ht="15.75" x14ac:dyDescent="0.25">
      <c r="A68" s="49"/>
      <c r="B68" s="49"/>
      <c r="C68" s="48"/>
      <c r="D68" s="60"/>
      <c r="E68" s="60"/>
      <c r="F68" s="60"/>
      <c r="G68" s="50"/>
      <c r="H68" s="61"/>
      <c r="I68" s="61"/>
      <c r="J68" s="61"/>
      <c r="K68" s="61"/>
      <c r="L68" s="61"/>
      <c r="M68" s="62"/>
      <c r="N68" s="62"/>
      <c r="O68" s="62"/>
      <c r="P68" s="62"/>
      <c r="Q68" s="63"/>
      <c r="R68" s="63"/>
      <c r="S68" s="63"/>
      <c r="T68" s="63"/>
      <c r="U68" s="63"/>
      <c r="W68" s="49"/>
      <c r="X68" s="49"/>
      <c r="Y68" s="49"/>
      <c r="Z68" s="49"/>
      <c r="AA68" s="49"/>
      <c r="AB68" s="49"/>
      <c r="AC68" s="49"/>
      <c r="AD68" s="49"/>
      <c r="AE68" s="49"/>
      <c r="AG68" s="49"/>
      <c r="AH68" s="49"/>
      <c r="AI68" s="49"/>
      <c r="AJ68" s="49"/>
      <c r="AK68" s="49"/>
      <c r="AL68" s="49"/>
      <c r="AM68" s="49"/>
      <c r="AN68" s="49"/>
      <c r="AO68" s="49"/>
      <c r="AQ68" s="49"/>
      <c r="AR68" s="49"/>
      <c r="AS68" s="49"/>
      <c r="AT68" s="49"/>
      <c r="AU68" s="49"/>
      <c r="AV68" s="49"/>
      <c r="AW68" s="49"/>
      <c r="AX68" s="49"/>
      <c r="AY68" s="49"/>
    </row>
    <row r="69" spans="1:51" s="207" customFormat="1" ht="15.75" x14ac:dyDescent="0.25">
      <c r="A69" s="49"/>
      <c r="B69" s="49"/>
      <c r="C69" s="48"/>
      <c r="D69" s="60"/>
      <c r="E69" s="60"/>
      <c r="F69" s="60"/>
      <c r="G69" s="50"/>
      <c r="H69" s="61"/>
      <c r="I69" s="61"/>
      <c r="J69" s="61"/>
      <c r="K69" s="61"/>
      <c r="L69" s="61"/>
      <c r="M69" s="62"/>
      <c r="N69" s="62"/>
      <c r="O69" s="62"/>
      <c r="P69" s="62"/>
      <c r="Q69" s="63"/>
      <c r="R69" s="63"/>
      <c r="S69" s="63"/>
      <c r="T69" s="63"/>
      <c r="U69" s="63"/>
      <c r="W69" s="49"/>
      <c r="X69" s="49"/>
      <c r="Y69" s="49"/>
      <c r="Z69" s="49"/>
      <c r="AA69" s="49"/>
      <c r="AB69" s="49"/>
      <c r="AC69" s="49"/>
      <c r="AD69" s="49"/>
      <c r="AE69" s="49"/>
      <c r="AG69" s="49"/>
      <c r="AH69" s="49"/>
      <c r="AI69" s="49"/>
      <c r="AJ69" s="49"/>
      <c r="AK69" s="49"/>
      <c r="AL69" s="49"/>
      <c r="AM69" s="49"/>
      <c r="AN69" s="49"/>
      <c r="AO69" s="49"/>
      <c r="AQ69" s="49"/>
      <c r="AR69" s="49"/>
      <c r="AS69" s="49"/>
      <c r="AT69" s="49"/>
      <c r="AU69" s="49"/>
      <c r="AV69" s="49"/>
      <c r="AW69" s="49"/>
      <c r="AX69" s="49"/>
      <c r="AY69" s="49"/>
    </row>
    <row r="70" spans="1:51" s="207" customFormat="1" ht="15.75" x14ac:dyDescent="0.25">
      <c r="A70" s="49"/>
      <c r="B70" s="49"/>
      <c r="C70" s="48"/>
      <c r="D70" s="60"/>
      <c r="E70" s="60"/>
      <c r="F70" s="60"/>
      <c r="G70" s="50"/>
      <c r="H70" s="61"/>
      <c r="I70" s="61"/>
      <c r="J70" s="61"/>
      <c r="K70" s="61"/>
      <c r="L70" s="61"/>
      <c r="M70" s="62"/>
      <c r="N70" s="62"/>
      <c r="O70" s="62"/>
      <c r="P70" s="62"/>
      <c r="Q70" s="63"/>
      <c r="R70" s="63"/>
      <c r="S70" s="63"/>
      <c r="T70" s="63"/>
      <c r="U70" s="63"/>
      <c r="W70" s="49"/>
      <c r="X70" s="49"/>
      <c r="Y70" s="49"/>
      <c r="Z70" s="49"/>
      <c r="AA70" s="49"/>
      <c r="AB70" s="49"/>
      <c r="AC70" s="49"/>
      <c r="AD70" s="49"/>
      <c r="AE70" s="49"/>
      <c r="AG70" s="49"/>
      <c r="AH70" s="49"/>
      <c r="AI70" s="49"/>
      <c r="AJ70" s="49"/>
      <c r="AK70" s="49"/>
      <c r="AL70" s="49"/>
      <c r="AM70" s="49"/>
      <c r="AN70" s="49"/>
      <c r="AO70" s="49"/>
      <c r="AQ70" s="49"/>
      <c r="AR70" s="49"/>
      <c r="AS70" s="49"/>
      <c r="AT70" s="49"/>
      <c r="AU70" s="49"/>
      <c r="AV70" s="49"/>
      <c r="AW70" s="49"/>
      <c r="AX70" s="49"/>
      <c r="AY70" s="49"/>
    </row>
    <row r="71" spans="1:51" s="207" customFormat="1" ht="15.75" x14ac:dyDescent="0.25">
      <c r="A71" s="49"/>
      <c r="B71" s="49"/>
      <c r="C71" s="48"/>
      <c r="D71" s="60"/>
      <c r="E71" s="60"/>
      <c r="F71" s="60"/>
      <c r="G71" s="50"/>
      <c r="H71" s="61"/>
      <c r="I71" s="61"/>
      <c r="J71" s="61"/>
      <c r="K71" s="61"/>
      <c r="L71" s="61"/>
      <c r="M71" s="62"/>
      <c r="N71" s="62"/>
      <c r="O71" s="62"/>
      <c r="P71" s="62"/>
      <c r="Q71" s="63"/>
      <c r="R71" s="63"/>
      <c r="S71" s="63"/>
      <c r="T71" s="63"/>
      <c r="U71" s="63"/>
      <c r="W71" s="49"/>
      <c r="X71" s="49"/>
      <c r="Y71" s="49"/>
      <c r="Z71" s="49"/>
      <c r="AA71" s="49"/>
      <c r="AB71" s="49"/>
      <c r="AC71" s="49"/>
      <c r="AD71" s="49"/>
      <c r="AE71" s="49"/>
      <c r="AG71" s="49"/>
      <c r="AH71" s="49"/>
      <c r="AI71" s="49"/>
      <c r="AJ71" s="49"/>
      <c r="AK71" s="49"/>
      <c r="AL71" s="49"/>
      <c r="AM71" s="49"/>
      <c r="AN71" s="49"/>
      <c r="AO71" s="49"/>
      <c r="AQ71" s="49"/>
      <c r="AR71" s="49"/>
      <c r="AS71" s="49"/>
      <c r="AT71" s="49"/>
      <c r="AU71" s="49"/>
      <c r="AV71" s="49"/>
      <c r="AW71" s="49"/>
      <c r="AX71" s="49"/>
      <c r="AY71" s="49"/>
    </row>
    <row r="72" spans="1:51" s="207" customFormat="1" ht="15.75" x14ac:dyDescent="0.25">
      <c r="A72" s="49"/>
      <c r="B72" s="49"/>
      <c r="C72" s="48"/>
      <c r="D72" s="60"/>
      <c r="E72" s="60"/>
      <c r="F72" s="60"/>
      <c r="G72" s="50"/>
      <c r="H72" s="61"/>
      <c r="I72" s="61"/>
      <c r="J72" s="61"/>
      <c r="K72" s="61"/>
      <c r="L72" s="61"/>
      <c r="M72" s="62"/>
      <c r="N72" s="62"/>
      <c r="O72" s="62"/>
      <c r="P72" s="62"/>
      <c r="Q72" s="63"/>
      <c r="R72" s="63"/>
      <c r="S72" s="63"/>
      <c r="T72" s="63"/>
      <c r="U72" s="63"/>
      <c r="W72" s="49"/>
      <c r="X72" s="49"/>
      <c r="Y72" s="49"/>
      <c r="Z72" s="49"/>
      <c r="AA72" s="49"/>
      <c r="AB72" s="49"/>
      <c r="AC72" s="49"/>
      <c r="AD72" s="49"/>
      <c r="AE72" s="49"/>
      <c r="AG72" s="49"/>
      <c r="AH72" s="49"/>
      <c r="AI72" s="49"/>
      <c r="AJ72" s="49"/>
      <c r="AK72" s="49"/>
      <c r="AL72" s="49"/>
      <c r="AM72" s="49"/>
      <c r="AN72" s="49"/>
      <c r="AO72" s="49"/>
      <c r="AQ72" s="49"/>
      <c r="AR72" s="49"/>
      <c r="AS72" s="49"/>
      <c r="AT72" s="49"/>
      <c r="AU72" s="49"/>
      <c r="AV72" s="49"/>
      <c r="AW72" s="49"/>
      <c r="AX72" s="49"/>
      <c r="AY72" s="49"/>
    </row>
    <row r="73" spans="1:51" s="207" customFormat="1" ht="15.75" x14ac:dyDescent="0.25">
      <c r="A73" s="49"/>
      <c r="B73" s="49"/>
      <c r="C73" s="48"/>
      <c r="D73" s="60"/>
      <c r="E73" s="60"/>
      <c r="F73" s="60"/>
      <c r="G73" s="50"/>
      <c r="H73" s="61"/>
      <c r="I73" s="61"/>
      <c r="J73" s="61"/>
      <c r="K73" s="61"/>
      <c r="L73" s="61"/>
      <c r="M73" s="62"/>
      <c r="N73" s="62"/>
      <c r="O73" s="62"/>
      <c r="P73" s="62"/>
      <c r="Q73" s="63"/>
      <c r="R73" s="63"/>
      <c r="S73" s="63"/>
      <c r="T73" s="63"/>
      <c r="U73" s="63"/>
      <c r="W73" s="49"/>
      <c r="X73" s="49"/>
      <c r="Y73" s="49"/>
      <c r="Z73" s="49"/>
      <c r="AA73" s="49"/>
      <c r="AB73" s="49"/>
      <c r="AC73" s="49"/>
      <c r="AD73" s="49"/>
      <c r="AE73" s="49"/>
      <c r="AG73" s="49"/>
      <c r="AH73" s="49"/>
      <c r="AI73" s="49"/>
      <c r="AJ73" s="49"/>
      <c r="AK73" s="49"/>
      <c r="AL73" s="49"/>
      <c r="AM73" s="49"/>
      <c r="AN73" s="49"/>
      <c r="AO73" s="49"/>
      <c r="AQ73" s="49"/>
      <c r="AR73" s="49"/>
      <c r="AS73" s="49"/>
      <c r="AT73" s="49"/>
      <c r="AU73" s="49"/>
      <c r="AV73" s="49"/>
      <c r="AW73" s="49"/>
      <c r="AX73" s="49"/>
      <c r="AY73" s="49"/>
    </row>
    <row r="74" spans="1:51" s="207" customFormat="1" ht="15.75" x14ac:dyDescent="0.25">
      <c r="A74" s="49"/>
      <c r="B74" s="49"/>
      <c r="C74" s="48"/>
      <c r="D74" s="60"/>
      <c r="E74" s="60"/>
      <c r="F74" s="60"/>
      <c r="G74" s="50"/>
      <c r="H74" s="61"/>
      <c r="I74" s="61"/>
      <c r="J74" s="61"/>
      <c r="K74" s="61"/>
      <c r="L74" s="61"/>
      <c r="M74" s="62"/>
      <c r="N74" s="62"/>
      <c r="O74" s="62"/>
      <c r="P74" s="62"/>
      <c r="Q74" s="63"/>
      <c r="R74" s="63"/>
      <c r="S74" s="63"/>
      <c r="T74" s="63"/>
      <c r="U74" s="63"/>
      <c r="W74" s="49"/>
      <c r="X74" s="49"/>
      <c r="Y74" s="49"/>
      <c r="Z74" s="49"/>
      <c r="AA74" s="49"/>
      <c r="AB74" s="49"/>
      <c r="AC74" s="49"/>
      <c r="AD74" s="49"/>
      <c r="AE74" s="49"/>
      <c r="AG74" s="49"/>
      <c r="AH74" s="49"/>
      <c r="AI74" s="49"/>
      <c r="AJ74" s="49"/>
      <c r="AK74" s="49"/>
      <c r="AL74" s="49"/>
      <c r="AM74" s="49"/>
      <c r="AN74" s="49"/>
      <c r="AO74" s="49"/>
      <c r="AQ74" s="49"/>
      <c r="AR74" s="49"/>
      <c r="AS74" s="49"/>
      <c r="AT74" s="49"/>
      <c r="AU74" s="49"/>
      <c r="AV74" s="49"/>
      <c r="AW74" s="49"/>
      <c r="AX74" s="49"/>
      <c r="AY74" s="49"/>
    </row>
    <row r="75" spans="1:51" s="207" customFormat="1" ht="15.75" x14ac:dyDescent="0.25">
      <c r="A75" s="49"/>
      <c r="B75" s="49"/>
      <c r="C75" s="48"/>
      <c r="D75" s="60"/>
      <c r="E75" s="60"/>
      <c r="F75" s="60"/>
      <c r="G75" s="50"/>
      <c r="H75" s="61"/>
      <c r="I75" s="61"/>
      <c r="J75" s="61"/>
      <c r="K75" s="61"/>
      <c r="L75" s="61"/>
      <c r="M75" s="62"/>
      <c r="N75" s="62"/>
      <c r="O75" s="62"/>
      <c r="P75" s="62"/>
      <c r="Q75" s="63"/>
      <c r="R75" s="63"/>
      <c r="S75" s="63"/>
      <c r="T75" s="63"/>
      <c r="U75" s="63"/>
      <c r="W75" s="49"/>
      <c r="X75" s="49"/>
      <c r="Y75" s="49"/>
      <c r="Z75" s="49"/>
      <c r="AA75" s="49"/>
      <c r="AB75" s="49"/>
      <c r="AC75" s="49"/>
      <c r="AD75" s="49"/>
      <c r="AE75" s="49"/>
      <c r="AG75" s="49"/>
      <c r="AH75" s="49"/>
      <c r="AI75" s="49"/>
      <c r="AJ75" s="49"/>
      <c r="AK75" s="49"/>
      <c r="AL75" s="49"/>
      <c r="AM75" s="49"/>
      <c r="AN75" s="49"/>
      <c r="AO75" s="49"/>
      <c r="AQ75" s="49"/>
      <c r="AR75" s="49"/>
      <c r="AS75" s="49"/>
      <c r="AT75" s="49"/>
      <c r="AU75" s="49"/>
      <c r="AV75" s="49"/>
      <c r="AW75" s="49"/>
      <c r="AX75" s="49"/>
      <c r="AY75" s="49"/>
    </row>
    <row r="76" spans="1:51" s="207" customFormat="1" ht="15.75" x14ac:dyDescent="0.25">
      <c r="A76" s="49"/>
      <c r="B76" s="49"/>
      <c r="C76" s="48"/>
      <c r="D76" s="60"/>
      <c r="E76" s="60"/>
      <c r="F76" s="60"/>
      <c r="G76" s="50"/>
      <c r="H76" s="61"/>
      <c r="I76" s="61"/>
      <c r="J76" s="61"/>
      <c r="K76" s="61"/>
      <c r="L76" s="61"/>
      <c r="M76" s="62"/>
      <c r="N76" s="62"/>
      <c r="O76" s="62"/>
      <c r="P76" s="62"/>
      <c r="Q76" s="63"/>
      <c r="R76" s="63"/>
      <c r="S76" s="63"/>
      <c r="T76" s="63"/>
      <c r="U76" s="63"/>
      <c r="W76" s="49"/>
      <c r="X76" s="49"/>
      <c r="Y76" s="49"/>
      <c r="Z76" s="49"/>
      <c r="AA76" s="49"/>
      <c r="AB76" s="49"/>
      <c r="AC76" s="49"/>
      <c r="AD76" s="49"/>
      <c r="AE76" s="49"/>
      <c r="AG76" s="49"/>
      <c r="AH76" s="49"/>
      <c r="AI76" s="49"/>
      <c r="AJ76" s="49"/>
      <c r="AK76" s="49"/>
      <c r="AL76" s="49"/>
      <c r="AM76" s="49"/>
      <c r="AN76" s="49"/>
      <c r="AO76" s="49"/>
      <c r="AQ76" s="49"/>
      <c r="AR76" s="49"/>
      <c r="AS76" s="49"/>
      <c r="AT76" s="49"/>
      <c r="AU76" s="49"/>
      <c r="AV76" s="49"/>
      <c r="AW76" s="49"/>
      <c r="AX76" s="49"/>
      <c r="AY76" s="49"/>
    </row>
    <row r="77" spans="1:51" s="207" customFormat="1" ht="15.75" x14ac:dyDescent="0.25">
      <c r="A77" s="49"/>
      <c r="B77" s="49"/>
      <c r="C77" s="48"/>
      <c r="D77" s="60"/>
      <c r="E77" s="60"/>
      <c r="F77" s="60"/>
      <c r="G77" s="50"/>
      <c r="H77" s="61"/>
      <c r="I77" s="61"/>
      <c r="J77" s="61"/>
      <c r="K77" s="61"/>
      <c r="L77" s="61"/>
      <c r="M77" s="62"/>
      <c r="N77" s="62"/>
      <c r="O77" s="62"/>
      <c r="P77" s="62"/>
      <c r="Q77" s="63"/>
      <c r="R77" s="63"/>
      <c r="S77" s="63"/>
      <c r="T77" s="63"/>
      <c r="U77" s="63"/>
      <c r="W77" s="49"/>
      <c r="X77" s="49"/>
      <c r="Y77" s="49"/>
      <c r="Z77" s="49"/>
      <c r="AA77" s="49"/>
      <c r="AB77" s="49"/>
      <c r="AC77" s="49"/>
      <c r="AD77" s="49"/>
      <c r="AE77" s="49"/>
      <c r="AG77" s="49"/>
      <c r="AH77" s="49"/>
      <c r="AI77" s="49"/>
      <c r="AJ77" s="49"/>
      <c r="AK77" s="49"/>
      <c r="AL77" s="49"/>
      <c r="AM77" s="49"/>
      <c r="AN77" s="49"/>
      <c r="AO77" s="49"/>
      <c r="AQ77" s="49"/>
      <c r="AR77" s="49"/>
      <c r="AS77" s="49"/>
      <c r="AT77" s="49"/>
      <c r="AU77" s="49"/>
      <c r="AV77" s="49"/>
      <c r="AW77" s="49"/>
      <c r="AX77" s="49"/>
      <c r="AY77" s="49"/>
    </row>
    <row r="78" spans="1:51" s="207" customFormat="1" ht="15.75" x14ac:dyDescent="0.25">
      <c r="A78" s="49"/>
      <c r="B78" s="49"/>
      <c r="C78" s="48"/>
      <c r="D78" s="60"/>
      <c r="E78" s="60"/>
      <c r="F78" s="60"/>
      <c r="G78" s="50"/>
      <c r="H78" s="61"/>
      <c r="I78" s="61"/>
      <c r="J78" s="61"/>
      <c r="K78" s="61"/>
      <c r="L78" s="61"/>
      <c r="M78" s="62"/>
      <c r="N78" s="62"/>
      <c r="O78" s="62"/>
      <c r="P78" s="62"/>
      <c r="Q78" s="63"/>
      <c r="R78" s="63"/>
      <c r="S78" s="63"/>
      <c r="T78" s="63"/>
      <c r="U78" s="63"/>
      <c r="W78" s="49"/>
      <c r="X78" s="49"/>
      <c r="Y78" s="49"/>
      <c r="Z78" s="49"/>
      <c r="AA78" s="49"/>
      <c r="AB78" s="49"/>
      <c r="AC78" s="49"/>
      <c r="AD78" s="49"/>
      <c r="AE78" s="49"/>
      <c r="AG78" s="49"/>
      <c r="AH78" s="49"/>
      <c r="AI78" s="49"/>
      <c r="AJ78" s="49"/>
      <c r="AK78" s="49"/>
      <c r="AL78" s="49"/>
      <c r="AM78" s="49"/>
      <c r="AN78" s="49"/>
      <c r="AO78" s="49"/>
      <c r="AQ78" s="49"/>
      <c r="AR78" s="49"/>
      <c r="AS78" s="49"/>
      <c r="AT78" s="49"/>
      <c r="AU78" s="49"/>
      <c r="AV78" s="49"/>
      <c r="AW78" s="49"/>
      <c r="AX78" s="49"/>
      <c r="AY78" s="49"/>
    </row>
    <row r="79" spans="1:51" s="207" customFormat="1" ht="15.75" x14ac:dyDescent="0.25">
      <c r="A79" s="49"/>
      <c r="B79" s="49"/>
      <c r="C79" s="48"/>
      <c r="D79" s="60"/>
      <c r="E79" s="60"/>
      <c r="F79" s="60"/>
      <c r="G79" s="50"/>
      <c r="H79" s="61"/>
      <c r="I79" s="61"/>
      <c r="J79" s="61"/>
      <c r="K79" s="61"/>
      <c r="L79" s="61"/>
      <c r="M79" s="62"/>
      <c r="N79" s="62"/>
      <c r="O79" s="62"/>
      <c r="P79" s="62"/>
      <c r="Q79" s="63"/>
      <c r="R79" s="63"/>
      <c r="S79" s="63"/>
      <c r="T79" s="63"/>
      <c r="U79" s="63"/>
      <c r="W79" s="49"/>
      <c r="X79" s="49"/>
      <c r="Y79" s="49"/>
      <c r="Z79" s="49"/>
      <c r="AA79" s="49"/>
      <c r="AB79" s="49"/>
      <c r="AC79" s="49"/>
      <c r="AD79" s="49"/>
      <c r="AE79" s="49"/>
      <c r="AG79" s="49"/>
      <c r="AH79" s="49"/>
      <c r="AI79" s="49"/>
      <c r="AJ79" s="49"/>
      <c r="AK79" s="49"/>
      <c r="AL79" s="49"/>
      <c r="AM79" s="49"/>
      <c r="AN79" s="49"/>
      <c r="AO79" s="49"/>
      <c r="AQ79" s="49"/>
      <c r="AR79" s="49"/>
      <c r="AS79" s="49"/>
      <c r="AT79" s="49"/>
      <c r="AU79" s="49"/>
      <c r="AV79" s="49"/>
      <c r="AW79" s="49"/>
      <c r="AX79" s="49"/>
      <c r="AY79" s="49"/>
    </row>
    <row r="80" spans="1:51" s="207" customFormat="1" ht="15.75" x14ac:dyDescent="0.25">
      <c r="A80" s="49"/>
      <c r="B80" s="49"/>
      <c r="C80" s="48"/>
      <c r="D80" s="60"/>
      <c r="E80" s="60"/>
      <c r="F80" s="60"/>
      <c r="G80" s="50"/>
      <c r="H80" s="61"/>
      <c r="I80" s="61"/>
      <c r="J80" s="61"/>
      <c r="K80" s="61"/>
      <c r="L80" s="61"/>
      <c r="M80" s="62"/>
      <c r="N80" s="62"/>
      <c r="O80" s="62"/>
      <c r="P80" s="62"/>
      <c r="Q80" s="63"/>
      <c r="R80" s="63"/>
      <c r="S80" s="63"/>
      <c r="T80" s="63"/>
      <c r="U80" s="63"/>
      <c r="W80" s="49"/>
      <c r="X80" s="49"/>
      <c r="Y80" s="49"/>
      <c r="Z80" s="49"/>
      <c r="AA80" s="49"/>
      <c r="AB80" s="49"/>
      <c r="AC80" s="49"/>
      <c r="AD80" s="49"/>
      <c r="AE80" s="49"/>
      <c r="AG80" s="49"/>
      <c r="AH80" s="49"/>
      <c r="AI80" s="49"/>
      <c r="AJ80" s="49"/>
      <c r="AK80" s="49"/>
      <c r="AL80" s="49"/>
      <c r="AM80" s="49"/>
      <c r="AN80" s="49"/>
      <c r="AO80" s="49"/>
      <c r="AQ80" s="49"/>
      <c r="AR80" s="49"/>
      <c r="AS80" s="49"/>
      <c r="AT80" s="49"/>
      <c r="AU80" s="49"/>
      <c r="AV80" s="49"/>
      <c r="AW80" s="49"/>
      <c r="AX80" s="49"/>
      <c r="AY80" s="49"/>
    </row>
    <row r="81" spans="1:51" s="207" customFormat="1" ht="15.75" x14ac:dyDescent="0.25">
      <c r="A81" s="49"/>
      <c r="B81" s="49"/>
      <c r="C81" s="48"/>
      <c r="D81" s="60"/>
      <c r="E81" s="60"/>
      <c r="F81" s="60"/>
      <c r="G81" s="50"/>
      <c r="H81" s="61"/>
      <c r="I81" s="61"/>
      <c r="J81" s="61"/>
      <c r="K81" s="61"/>
      <c r="L81" s="61"/>
      <c r="M81" s="62"/>
      <c r="N81" s="62"/>
      <c r="O81" s="62"/>
      <c r="P81" s="62"/>
      <c r="Q81" s="63"/>
      <c r="R81" s="63"/>
      <c r="S81" s="63"/>
      <c r="T81" s="63"/>
      <c r="U81" s="63"/>
      <c r="W81" s="49"/>
      <c r="X81" s="49"/>
      <c r="Y81" s="49"/>
      <c r="Z81" s="49"/>
      <c r="AA81" s="49"/>
      <c r="AB81" s="49"/>
      <c r="AC81" s="49"/>
      <c r="AD81" s="49"/>
      <c r="AE81" s="49"/>
      <c r="AG81" s="49"/>
      <c r="AH81" s="49"/>
      <c r="AI81" s="49"/>
      <c r="AJ81" s="49"/>
      <c r="AK81" s="49"/>
      <c r="AL81" s="49"/>
      <c r="AM81" s="49"/>
      <c r="AN81" s="49"/>
      <c r="AO81" s="49"/>
      <c r="AQ81" s="49"/>
      <c r="AR81" s="49"/>
      <c r="AS81" s="49"/>
      <c r="AT81" s="49"/>
      <c r="AU81" s="49"/>
      <c r="AV81" s="49"/>
      <c r="AW81" s="49"/>
      <c r="AX81" s="49"/>
      <c r="AY81" s="49"/>
    </row>
    <row r="82" spans="1:51" s="207" customFormat="1" ht="15.75" x14ac:dyDescent="0.25">
      <c r="A82" s="49"/>
      <c r="B82" s="49"/>
      <c r="C82" s="48"/>
      <c r="D82" s="60"/>
      <c r="E82" s="60"/>
      <c r="F82" s="60"/>
      <c r="G82" s="50"/>
      <c r="H82" s="61"/>
      <c r="I82" s="61"/>
      <c r="J82" s="61"/>
      <c r="K82" s="61"/>
      <c r="L82" s="61"/>
      <c r="M82" s="62"/>
      <c r="N82" s="62"/>
      <c r="O82" s="62"/>
      <c r="P82" s="62"/>
      <c r="Q82" s="63"/>
      <c r="R82" s="63"/>
      <c r="S82" s="63"/>
      <c r="T82" s="63"/>
      <c r="U82" s="63"/>
      <c r="W82" s="49"/>
      <c r="X82" s="49"/>
      <c r="Y82" s="49"/>
      <c r="Z82" s="49"/>
      <c r="AA82" s="49"/>
      <c r="AB82" s="49"/>
      <c r="AC82" s="49"/>
      <c r="AD82" s="49"/>
      <c r="AE82" s="49"/>
      <c r="AG82" s="49"/>
      <c r="AH82" s="49"/>
      <c r="AI82" s="49"/>
      <c r="AJ82" s="49"/>
      <c r="AK82" s="49"/>
      <c r="AL82" s="49"/>
      <c r="AM82" s="49"/>
      <c r="AN82" s="49"/>
      <c r="AO82" s="49"/>
      <c r="AQ82" s="49"/>
      <c r="AR82" s="49"/>
      <c r="AS82" s="49"/>
      <c r="AT82" s="49"/>
      <c r="AU82" s="49"/>
      <c r="AV82" s="49"/>
      <c r="AW82" s="49"/>
      <c r="AX82" s="49"/>
      <c r="AY82" s="49"/>
    </row>
    <row r="83" spans="1:51" s="207" customFormat="1" ht="15.75" x14ac:dyDescent="0.25">
      <c r="A83" s="49"/>
      <c r="B83" s="49"/>
      <c r="C83" s="48"/>
      <c r="D83" s="60"/>
      <c r="E83" s="60"/>
      <c r="F83" s="60"/>
      <c r="G83" s="50"/>
      <c r="H83" s="61"/>
      <c r="I83" s="61"/>
      <c r="J83" s="61"/>
      <c r="K83" s="61"/>
      <c r="L83" s="61"/>
      <c r="M83" s="62"/>
      <c r="N83" s="62"/>
      <c r="O83" s="62"/>
      <c r="P83" s="62"/>
      <c r="Q83" s="63"/>
      <c r="R83" s="63"/>
      <c r="S83" s="63"/>
      <c r="T83" s="63"/>
      <c r="U83" s="63"/>
      <c r="W83" s="49"/>
      <c r="X83" s="49"/>
      <c r="Y83" s="49"/>
      <c r="Z83" s="49"/>
      <c r="AA83" s="49"/>
      <c r="AB83" s="49"/>
      <c r="AC83" s="49"/>
      <c r="AD83" s="49"/>
      <c r="AE83" s="49"/>
      <c r="AG83" s="49"/>
      <c r="AH83" s="49"/>
      <c r="AI83" s="49"/>
      <c r="AJ83" s="49"/>
      <c r="AK83" s="49"/>
      <c r="AL83" s="49"/>
      <c r="AM83" s="49"/>
      <c r="AN83" s="49"/>
      <c r="AO83" s="49"/>
      <c r="AQ83" s="49"/>
      <c r="AR83" s="49"/>
      <c r="AS83" s="49"/>
      <c r="AT83" s="49"/>
      <c r="AU83" s="49"/>
      <c r="AV83" s="49"/>
      <c r="AW83" s="49"/>
      <c r="AX83" s="49"/>
      <c r="AY83" s="49"/>
    </row>
    <row r="84" spans="1:51" s="207" customFormat="1" ht="15.75" x14ac:dyDescent="0.25">
      <c r="A84" s="49"/>
      <c r="B84" s="49"/>
      <c r="C84" s="48"/>
      <c r="D84" s="60"/>
      <c r="E84" s="60"/>
      <c r="F84" s="60"/>
      <c r="G84" s="50"/>
      <c r="H84" s="61"/>
      <c r="I84" s="61"/>
      <c r="J84" s="61"/>
      <c r="K84" s="61"/>
      <c r="L84" s="61"/>
      <c r="M84" s="62"/>
      <c r="N84" s="62"/>
      <c r="O84" s="62"/>
      <c r="P84" s="62"/>
      <c r="Q84" s="63"/>
      <c r="R84" s="63"/>
      <c r="S84" s="63"/>
      <c r="T84" s="63"/>
      <c r="U84" s="63"/>
      <c r="W84" s="49"/>
      <c r="X84" s="49"/>
      <c r="Y84" s="49"/>
      <c r="Z84" s="49"/>
      <c r="AA84" s="49"/>
      <c r="AB84" s="49"/>
      <c r="AC84" s="49"/>
      <c r="AD84" s="49"/>
      <c r="AE84" s="49"/>
      <c r="AG84" s="49"/>
      <c r="AH84" s="49"/>
      <c r="AI84" s="49"/>
      <c r="AJ84" s="49"/>
      <c r="AK84" s="49"/>
      <c r="AL84" s="49"/>
      <c r="AM84" s="49"/>
      <c r="AN84" s="49"/>
      <c r="AO84" s="49"/>
      <c r="AQ84" s="49"/>
      <c r="AR84" s="49"/>
      <c r="AS84" s="49"/>
      <c r="AT84" s="49"/>
      <c r="AU84" s="49"/>
      <c r="AV84" s="49"/>
      <c r="AW84" s="49"/>
      <c r="AX84" s="49"/>
      <c r="AY84" s="49"/>
    </row>
    <row r="85" spans="1:51" s="207" customFormat="1" ht="15.75" x14ac:dyDescent="0.25">
      <c r="A85" s="49"/>
      <c r="B85" s="49"/>
      <c r="C85" s="48"/>
      <c r="D85" s="60"/>
      <c r="E85" s="60"/>
      <c r="F85" s="60"/>
      <c r="G85" s="50"/>
      <c r="H85" s="61"/>
      <c r="I85" s="61"/>
      <c r="J85" s="61"/>
      <c r="K85" s="61"/>
      <c r="L85" s="61"/>
      <c r="M85" s="62"/>
      <c r="N85" s="62"/>
      <c r="O85" s="62"/>
      <c r="P85" s="62"/>
      <c r="Q85" s="63"/>
      <c r="R85" s="63"/>
      <c r="S85" s="63"/>
      <c r="T85" s="63"/>
      <c r="U85" s="63"/>
      <c r="W85" s="49"/>
      <c r="X85" s="49"/>
      <c r="Y85" s="49"/>
      <c r="Z85" s="49"/>
      <c r="AA85" s="49"/>
      <c r="AB85" s="49"/>
      <c r="AC85" s="49"/>
      <c r="AD85" s="49"/>
      <c r="AE85" s="49"/>
      <c r="AG85" s="49"/>
      <c r="AH85" s="49"/>
      <c r="AI85" s="49"/>
      <c r="AJ85" s="49"/>
      <c r="AK85" s="49"/>
      <c r="AL85" s="49"/>
      <c r="AM85" s="49"/>
      <c r="AN85" s="49"/>
      <c r="AO85" s="49"/>
      <c r="AQ85" s="49"/>
      <c r="AR85" s="49"/>
      <c r="AS85" s="49"/>
      <c r="AT85" s="49"/>
      <c r="AU85" s="49"/>
      <c r="AV85" s="49"/>
      <c r="AW85" s="49"/>
      <c r="AX85" s="49"/>
      <c r="AY85" s="49"/>
    </row>
    <row r="86" spans="1:51" s="207" customFormat="1" ht="15.75" x14ac:dyDescent="0.25">
      <c r="A86" s="49"/>
      <c r="B86" s="49"/>
      <c r="C86" s="48"/>
      <c r="D86" s="60"/>
      <c r="E86" s="60"/>
      <c r="F86" s="60"/>
      <c r="G86" s="50"/>
      <c r="H86" s="61"/>
      <c r="I86" s="61"/>
      <c r="J86" s="61"/>
      <c r="K86" s="61"/>
      <c r="L86" s="61"/>
      <c r="M86" s="62"/>
      <c r="N86" s="62"/>
      <c r="O86" s="62"/>
      <c r="P86" s="62"/>
      <c r="Q86" s="63"/>
      <c r="R86" s="63"/>
      <c r="S86" s="63"/>
      <c r="T86" s="63"/>
      <c r="U86" s="63"/>
      <c r="W86" s="49"/>
      <c r="X86" s="49"/>
      <c r="Y86" s="49"/>
      <c r="Z86" s="49"/>
      <c r="AA86" s="49"/>
      <c r="AB86" s="49"/>
      <c r="AC86" s="49"/>
      <c r="AD86" s="49"/>
      <c r="AE86" s="49"/>
      <c r="AG86" s="49"/>
      <c r="AH86" s="49"/>
      <c r="AI86" s="49"/>
      <c r="AJ86" s="49"/>
      <c r="AK86" s="49"/>
      <c r="AL86" s="49"/>
      <c r="AM86" s="49"/>
      <c r="AN86" s="49"/>
      <c r="AO86" s="49"/>
      <c r="AQ86" s="49"/>
      <c r="AR86" s="49"/>
      <c r="AS86" s="49"/>
      <c r="AT86" s="49"/>
      <c r="AU86" s="49"/>
      <c r="AV86" s="49"/>
      <c r="AW86" s="49"/>
      <c r="AX86" s="49"/>
      <c r="AY86" s="49"/>
    </row>
    <row r="87" spans="1:51" s="207" customFormat="1" ht="15.75" x14ac:dyDescent="0.25">
      <c r="A87" s="49"/>
      <c r="B87" s="49"/>
      <c r="C87" s="48"/>
      <c r="D87" s="60"/>
      <c r="E87" s="60"/>
      <c r="F87" s="60"/>
      <c r="G87" s="50"/>
      <c r="H87" s="61"/>
      <c r="I87" s="61"/>
      <c r="J87" s="61"/>
      <c r="K87" s="61"/>
      <c r="L87" s="61"/>
      <c r="M87" s="62"/>
      <c r="N87" s="62"/>
      <c r="O87" s="62"/>
      <c r="P87" s="62"/>
      <c r="Q87" s="63"/>
      <c r="R87" s="63"/>
      <c r="S87" s="63"/>
      <c r="T87" s="63"/>
      <c r="U87" s="63"/>
      <c r="W87" s="49"/>
      <c r="X87" s="49"/>
      <c r="Y87" s="49"/>
      <c r="Z87" s="49"/>
      <c r="AA87" s="49"/>
      <c r="AB87" s="49"/>
      <c r="AC87" s="49"/>
      <c r="AD87" s="49"/>
      <c r="AE87" s="49"/>
      <c r="AG87" s="49"/>
      <c r="AH87" s="49"/>
      <c r="AI87" s="49"/>
      <c r="AJ87" s="49"/>
      <c r="AK87" s="49"/>
      <c r="AL87" s="49"/>
      <c r="AM87" s="49"/>
      <c r="AN87" s="49"/>
      <c r="AO87" s="49"/>
      <c r="AQ87" s="49"/>
      <c r="AR87" s="49"/>
      <c r="AS87" s="49"/>
      <c r="AT87" s="49"/>
      <c r="AU87" s="49"/>
      <c r="AV87" s="49"/>
      <c r="AW87" s="49"/>
      <c r="AX87" s="49"/>
      <c r="AY87" s="49"/>
    </row>
    <row r="88" spans="1:51" s="207" customFormat="1" ht="15.75" x14ac:dyDescent="0.25">
      <c r="A88" s="49"/>
      <c r="B88" s="49"/>
      <c r="C88" s="48"/>
      <c r="D88" s="60"/>
      <c r="E88" s="60"/>
      <c r="F88" s="60"/>
      <c r="G88" s="50"/>
      <c r="H88" s="61"/>
      <c r="I88" s="61"/>
      <c r="J88" s="61"/>
      <c r="K88" s="61"/>
      <c r="L88" s="61"/>
      <c r="M88" s="62"/>
      <c r="N88" s="62"/>
      <c r="O88" s="62"/>
      <c r="P88" s="62"/>
      <c r="Q88" s="63"/>
      <c r="R88" s="63"/>
      <c r="S88" s="63"/>
      <c r="T88" s="63"/>
      <c r="U88" s="63"/>
      <c r="W88" s="49"/>
      <c r="X88" s="49"/>
      <c r="Y88" s="49"/>
      <c r="Z88" s="49"/>
      <c r="AA88" s="49"/>
      <c r="AB88" s="49"/>
      <c r="AC88" s="49"/>
      <c r="AD88" s="49"/>
      <c r="AE88" s="49"/>
      <c r="AG88" s="49"/>
      <c r="AH88" s="49"/>
      <c r="AI88" s="49"/>
      <c r="AJ88" s="49"/>
      <c r="AK88" s="49"/>
      <c r="AL88" s="49"/>
      <c r="AM88" s="49"/>
      <c r="AN88" s="49"/>
      <c r="AO88" s="49"/>
      <c r="AQ88" s="49"/>
      <c r="AR88" s="49"/>
      <c r="AS88" s="49"/>
      <c r="AT88" s="49"/>
      <c r="AU88" s="49"/>
      <c r="AV88" s="49"/>
      <c r="AW88" s="49"/>
      <c r="AX88" s="49"/>
      <c r="AY88" s="49"/>
    </row>
    <row r="89" spans="1:51" s="207" customFormat="1" ht="15.75" x14ac:dyDescent="0.25">
      <c r="A89" s="49"/>
      <c r="B89" s="49"/>
      <c r="C89" s="48"/>
      <c r="D89" s="60"/>
      <c r="E89" s="60"/>
      <c r="F89" s="60"/>
      <c r="G89" s="50"/>
      <c r="H89" s="61"/>
      <c r="I89" s="61"/>
      <c r="J89" s="61"/>
      <c r="K89" s="61"/>
      <c r="L89" s="61"/>
      <c r="M89" s="62"/>
      <c r="N89" s="62"/>
      <c r="O89" s="62"/>
      <c r="P89" s="62"/>
      <c r="Q89" s="63"/>
      <c r="R89" s="63"/>
      <c r="S89" s="63"/>
      <c r="T89" s="63"/>
      <c r="U89" s="63"/>
      <c r="W89" s="49"/>
      <c r="X89" s="49"/>
      <c r="Y89" s="49"/>
      <c r="Z89" s="49"/>
      <c r="AA89" s="49"/>
      <c r="AB89" s="49"/>
      <c r="AC89" s="49"/>
      <c r="AD89" s="49"/>
      <c r="AE89" s="49"/>
      <c r="AG89" s="49"/>
      <c r="AH89" s="49"/>
      <c r="AI89" s="49"/>
      <c r="AJ89" s="49"/>
      <c r="AK89" s="49"/>
      <c r="AL89" s="49"/>
      <c r="AM89" s="49"/>
      <c r="AN89" s="49"/>
      <c r="AO89" s="49"/>
      <c r="AQ89" s="49"/>
      <c r="AR89" s="49"/>
      <c r="AS89" s="49"/>
      <c r="AT89" s="49"/>
      <c r="AU89" s="49"/>
      <c r="AV89" s="49"/>
      <c r="AW89" s="49"/>
      <c r="AX89" s="49"/>
      <c r="AY89" s="49"/>
    </row>
    <row r="90" spans="1:51" s="207" customFormat="1" ht="15.75" x14ac:dyDescent="0.25">
      <c r="A90" s="49"/>
      <c r="B90" s="49"/>
      <c r="C90" s="48"/>
      <c r="D90" s="60"/>
      <c r="E90" s="60"/>
      <c r="F90" s="60"/>
      <c r="G90" s="50"/>
      <c r="H90" s="61"/>
      <c r="I90" s="61"/>
      <c r="J90" s="61"/>
      <c r="K90" s="61"/>
      <c r="L90" s="61"/>
      <c r="M90" s="62"/>
      <c r="N90" s="62"/>
      <c r="O90" s="62"/>
      <c r="P90" s="62"/>
      <c r="Q90" s="63"/>
      <c r="R90" s="63"/>
      <c r="S90" s="63"/>
      <c r="T90" s="63"/>
      <c r="U90" s="63"/>
      <c r="W90" s="49"/>
      <c r="X90" s="49"/>
      <c r="Y90" s="49"/>
      <c r="Z90" s="49"/>
      <c r="AA90" s="49"/>
      <c r="AB90" s="49"/>
      <c r="AC90" s="49"/>
      <c r="AD90" s="49"/>
      <c r="AE90" s="49"/>
      <c r="AG90" s="49"/>
      <c r="AH90" s="49"/>
      <c r="AI90" s="49"/>
      <c r="AJ90" s="49"/>
      <c r="AK90" s="49"/>
      <c r="AL90" s="49"/>
      <c r="AM90" s="49"/>
      <c r="AN90" s="49"/>
      <c r="AO90" s="49"/>
      <c r="AQ90" s="49"/>
      <c r="AR90" s="49"/>
      <c r="AS90" s="49"/>
      <c r="AT90" s="49"/>
      <c r="AU90" s="49"/>
      <c r="AV90" s="49"/>
      <c r="AW90" s="49"/>
      <c r="AX90" s="49"/>
      <c r="AY90" s="49"/>
    </row>
    <row r="91" spans="1:51" s="207" customFormat="1" ht="15.75" x14ac:dyDescent="0.25">
      <c r="A91" s="49"/>
      <c r="B91" s="49"/>
      <c r="C91" s="48"/>
      <c r="D91" s="60"/>
      <c r="E91" s="60"/>
      <c r="F91" s="60"/>
      <c r="G91" s="50"/>
      <c r="H91" s="61"/>
      <c r="I91" s="61"/>
      <c r="J91" s="61"/>
      <c r="K91" s="61"/>
      <c r="L91" s="61"/>
      <c r="M91" s="62"/>
      <c r="N91" s="62"/>
      <c r="O91" s="62"/>
      <c r="P91" s="62"/>
      <c r="Q91" s="63"/>
      <c r="R91" s="63"/>
      <c r="S91" s="63"/>
      <c r="T91" s="63"/>
      <c r="U91" s="63"/>
      <c r="W91" s="49"/>
      <c r="X91" s="49"/>
      <c r="Y91" s="49"/>
      <c r="Z91" s="49"/>
      <c r="AA91" s="49"/>
      <c r="AB91" s="49"/>
      <c r="AC91" s="49"/>
      <c r="AD91" s="49"/>
      <c r="AE91" s="49"/>
      <c r="AG91" s="49"/>
      <c r="AH91" s="49"/>
      <c r="AI91" s="49"/>
      <c r="AJ91" s="49"/>
      <c r="AK91" s="49"/>
      <c r="AL91" s="49"/>
      <c r="AM91" s="49"/>
      <c r="AN91" s="49"/>
      <c r="AO91" s="49"/>
      <c r="AQ91" s="49"/>
      <c r="AR91" s="49"/>
      <c r="AS91" s="49"/>
      <c r="AT91" s="49"/>
      <c r="AU91" s="49"/>
      <c r="AV91" s="49"/>
      <c r="AW91" s="49"/>
      <c r="AX91" s="49"/>
      <c r="AY91" s="49"/>
    </row>
    <row r="92" spans="1:51" s="207" customFormat="1" ht="15.75" x14ac:dyDescent="0.25">
      <c r="A92" s="49"/>
      <c r="B92" s="49"/>
      <c r="C92" s="48"/>
      <c r="D92" s="60"/>
      <c r="E92" s="60"/>
      <c r="F92" s="60"/>
      <c r="G92" s="50"/>
      <c r="H92" s="61"/>
      <c r="I92" s="61"/>
      <c r="J92" s="61"/>
      <c r="K92" s="61"/>
      <c r="L92" s="61"/>
      <c r="M92" s="62"/>
      <c r="N92" s="62"/>
      <c r="O92" s="62"/>
      <c r="P92" s="62"/>
      <c r="Q92" s="63"/>
      <c r="R92" s="63"/>
      <c r="S92" s="63"/>
      <c r="T92" s="63"/>
      <c r="U92" s="63"/>
      <c r="W92" s="49"/>
      <c r="X92" s="49"/>
      <c r="Y92" s="49"/>
      <c r="Z92" s="49"/>
      <c r="AA92" s="49"/>
      <c r="AB92" s="49"/>
      <c r="AC92" s="49"/>
      <c r="AD92" s="49"/>
      <c r="AE92" s="49"/>
      <c r="AG92" s="49"/>
      <c r="AH92" s="49"/>
      <c r="AI92" s="49"/>
      <c r="AJ92" s="49"/>
      <c r="AK92" s="49"/>
      <c r="AL92" s="49"/>
      <c r="AM92" s="49"/>
      <c r="AN92" s="49"/>
      <c r="AO92" s="49"/>
      <c r="AQ92" s="49"/>
      <c r="AR92" s="49"/>
      <c r="AS92" s="49"/>
      <c r="AT92" s="49"/>
      <c r="AU92" s="49"/>
      <c r="AV92" s="49"/>
      <c r="AW92" s="49"/>
      <c r="AX92" s="49"/>
      <c r="AY92" s="49"/>
    </row>
    <row r="93" spans="1:51" s="207" customFormat="1" ht="15.75" x14ac:dyDescent="0.25">
      <c r="A93" s="49"/>
      <c r="B93" s="49"/>
      <c r="C93" s="48"/>
      <c r="D93" s="60"/>
      <c r="E93" s="60"/>
      <c r="F93" s="60"/>
      <c r="G93" s="50"/>
      <c r="H93" s="61"/>
      <c r="I93" s="61"/>
      <c r="J93" s="61"/>
      <c r="K93" s="61"/>
      <c r="L93" s="61"/>
      <c r="M93" s="62"/>
      <c r="N93" s="62"/>
      <c r="O93" s="62"/>
      <c r="P93" s="62"/>
      <c r="Q93" s="63"/>
      <c r="R93" s="63"/>
      <c r="S93" s="63"/>
      <c r="T93" s="63"/>
      <c r="U93" s="63"/>
      <c r="W93" s="49"/>
      <c r="X93" s="49"/>
      <c r="Y93" s="49"/>
      <c r="Z93" s="49"/>
      <c r="AA93" s="49"/>
      <c r="AB93" s="49"/>
      <c r="AC93" s="49"/>
      <c r="AD93" s="49"/>
      <c r="AE93" s="49"/>
      <c r="AG93" s="49"/>
      <c r="AH93" s="49"/>
      <c r="AI93" s="49"/>
      <c r="AJ93" s="49"/>
      <c r="AK93" s="49"/>
      <c r="AL93" s="49"/>
      <c r="AM93" s="49"/>
      <c r="AN93" s="49"/>
      <c r="AO93" s="49"/>
      <c r="AQ93" s="49"/>
      <c r="AR93" s="49"/>
      <c r="AS93" s="49"/>
      <c r="AT93" s="49"/>
      <c r="AU93" s="49"/>
      <c r="AV93" s="49"/>
      <c r="AW93" s="49"/>
      <c r="AX93" s="49"/>
      <c r="AY93" s="49"/>
    </row>
    <row r="94" spans="1:51" s="207" customFormat="1" ht="15.75" x14ac:dyDescent="0.25">
      <c r="A94" s="49"/>
      <c r="B94" s="49"/>
      <c r="C94" s="48"/>
      <c r="D94" s="60"/>
      <c r="E94" s="60"/>
      <c r="F94" s="60"/>
      <c r="G94" s="50"/>
      <c r="H94" s="61"/>
      <c r="I94" s="61"/>
      <c r="J94" s="61"/>
      <c r="K94" s="61"/>
      <c r="L94" s="61"/>
      <c r="M94" s="62"/>
      <c r="N94" s="62"/>
      <c r="O94" s="62"/>
      <c r="P94" s="62"/>
      <c r="Q94" s="63"/>
      <c r="R94" s="63"/>
      <c r="S94" s="63"/>
      <c r="T94" s="63"/>
      <c r="U94" s="63"/>
      <c r="W94" s="49"/>
      <c r="X94" s="49"/>
      <c r="Y94" s="49"/>
      <c r="Z94" s="49"/>
      <c r="AA94" s="49"/>
      <c r="AB94" s="49"/>
      <c r="AC94" s="49"/>
      <c r="AD94" s="49"/>
      <c r="AE94" s="49"/>
      <c r="AG94" s="49"/>
      <c r="AH94" s="49"/>
      <c r="AI94" s="49"/>
      <c r="AJ94" s="49"/>
      <c r="AK94" s="49"/>
      <c r="AL94" s="49"/>
      <c r="AM94" s="49"/>
      <c r="AN94" s="49"/>
      <c r="AO94" s="49"/>
      <c r="AQ94" s="49"/>
      <c r="AR94" s="49"/>
      <c r="AS94" s="49"/>
      <c r="AT94" s="49"/>
      <c r="AU94" s="49"/>
      <c r="AV94" s="49"/>
      <c r="AW94" s="49"/>
      <c r="AX94" s="49"/>
      <c r="AY94" s="49"/>
    </row>
    <row r="95" spans="1:51" s="207" customFormat="1" ht="15.75" x14ac:dyDescent="0.25">
      <c r="A95" s="49"/>
      <c r="B95" s="49"/>
      <c r="C95" s="48"/>
      <c r="D95" s="60"/>
      <c r="E95" s="60"/>
      <c r="F95" s="60"/>
      <c r="G95" s="50"/>
      <c r="H95" s="61"/>
      <c r="I95" s="61"/>
      <c r="J95" s="61"/>
      <c r="K95" s="61"/>
      <c r="L95" s="61"/>
      <c r="M95" s="62"/>
      <c r="N95" s="62"/>
      <c r="O95" s="62"/>
      <c r="P95" s="62"/>
      <c r="Q95" s="63"/>
      <c r="R95" s="63"/>
      <c r="S95" s="63"/>
      <c r="T95" s="63"/>
      <c r="U95" s="63"/>
      <c r="W95" s="49"/>
      <c r="X95" s="49"/>
      <c r="Y95" s="49"/>
      <c r="Z95" s="49"/>
      <c r="AA95" s="49"/>
      <c r="AB95" s="49"/>
      <c r="AC95" s="49"/>
      <c r="AD95" s="49"/>
      <c r="AE95" s="49"/>
      <c r="AG95" s="49"/>
      <c r="AH95" s="49"/>
      <c r="AI95" s="49"/>
      <c r="AJ95" s="49"/>
      <c r="AK95" s="49"/>
      <c r="AL95" s="49"/>
      <c r="AM95" s="49"/>
      <c r="AN95" s="49"/>
      <c r="AO95" s="49"/>
      <c r="AQ95" s="49"/>
      <c r="AR95" s="49"/>
      <c r="AS95" s="49"/>
      <c r="AT95" s="49"/>
      <c r="AU95" s="49"/>
      <c r="AV95" s="49"/>
      <c r="AW95" s="49"/>
      <c r="AX95" s="49"/>
      <c r="AY95" s="49"/>
    </row>
    <row r="96" spans="1:51" s="207" customFormat="1" ht="15.75" x14ac:dyDescent="0.25">
      <c r="A96" s="49"/>
      <c r="B96" s="49"/>
      <c r="C96" s="48"/>
      <c r="D96" s="60"/>
      <c r="E96" s="60"/>
      <c r="F96" s="60"/>
      <c r="G96" s="50"/>
      <c r="H96" s="61"/>
      <c r="I96" s="61"/>
      <c r="J96" s="61"/>
      <c r="K96" s="61"/>
      <c r="L96" s="61"/>
      <c r="M96" s="62"/>
      <c r="N96" s="62"/>
      <c r="O96" s="62"/>
      <c r="P96" s="62"/>
      <c r="Q96" s="63"/>
      <c r="R96" s="63"/>
      <c r="S96" s="63"/>
      <c r="T96" s="63"/>
      <c r="U96" s="63"/>
      <c r="W96" s="49"/>
      <c r="X96" s="49"/>
      <c r="Y96" s="49"/>
      <c r="Z96" s="49"/>
      <c r="AA96" s="49"/>
      <c r="AB96" s="49"/>
      <c r="AC96" s="49"/>
      <c r="AD96" s="49"/>
      <c r="AE96" s="49"/>
      <c r="AG96" s="49"/>
      <c r="AH96" s="49"/>
      <c r="AI96" s="49"/>
      <c r="AJ96" s="49"/>
      <c r="AK96" s="49"/>
      <c r="AL96" s="49"/>
      <c r="AM96" s="49"/>
      <c r="AN96" s="49"/>
      <c r="AO96" s="49"/>
      <c r="AQ96" s="49"/>
      <c r="AR96" s="49"/>
      <c r="AS96" s="49"/>
      <c r="AT96" s="49"/>
      <c r="AU96" s="49"/>
      <c r="AV96" s="49"/>
      <c r="AW96" s="49"/>
      <c r="AX96" s="49"/>
      <c r="AY96" s="49"/>
    </row>
    <row r="97" spans="1:51" s="207" customFormat="1" ht="15.75" x14ac:dyDescent="0.25">
      <c r="A97" s="49"/>
      <c r="B97" s="49"/>
      <c r="C97" s="48"/>
      <c r="D97" s="60"/>
      <c r="E97" s="60"/>
      <c r="F97" s="60"/>
      <c r="G97" s="50"/>
      <c r="H97" s="61"/>
      <c r="I97" s="61"/>
      <c r="J97" s="61"/>
      <c r="K97" s="61"/>
      <c r="L97" s="61"/>
      <c r="M97" s="62"/>
      <c r="N97" s="62"/>
      <c r="O97" s="62"/>
      <c r="P97" s="62"/>
      <c r="Q97" s="63"/>
      <c r="R97" s="63"/>
      <c r="S97" s="63"/>
      <c r="T97" s="63"/>
      <c r="U97" s="63"/>
      <c r="W97" s="49"/>
      <c r="X97" s="49"/>
      <c r="Y97" s="49"/>
      <c r="Z97" s="49"/>
      <c r="AA97" s="49"/>
      <c r="AB97" s="49"/>
      <c r="AC97" s="49"/>
      <c r="AD97" s="49"/>
      <c r="AE97" s="49"/>
      <c r="AG97" s="49"/>
      <c r="AH97" s="49"/>
      <c r="AI97" s="49"/>
      <c r="AJ97" s="49"/>
      <c r="AK97" s="49"/>
      <c r="AL97" s="49"/>
      <c r="AM97" s="49"/>
      <c r="AN97" s="49"/>
      <c r="AO97" s="49"/>
      <c r="AQ97" s="49"/>
      <c r="AR97" s="49"/>
      <c r="AS97" s="49"/>
      <c r="AT97" s="49"/>
      <c r="AU97" s="49"/>
      <c r="AV97" s="49"/>
      <c r="AW97" s="49"/>
      <c r="AX97" s="49"/>
      <c r="AY97" s="49"/>
    </row>
    <row r="98" spans="1:51" s="207" customFormat="1" ht="15.75" x14ac:dyDescent="0.25">
      <c r="A98" s="49"/>
      <c r="B98" s="49"/>
      <c r="C98" s="48"/>
      <c r="D98" s="60"/>
      <c r="E98" s="60"/>
      <c r="F98" s="60"/>
      <c r="G98" s="50"/>
      <c r="H98" s="61"/>
      <c r="I98" s="61"/>
      <c r="J98" s="61"/>
      <c r="K98" s="61"/>
      <c r="L98" s="61"/>
      <c r="M98" s="62"/>
      <c r="N98" s="62"/>
      <c r="O98" s="62"/>
      <c r="P98" s="62"/>
      <c r="Q98" s="63"/>
      <c r="R98" s="63"/>
      <c r="S98" s="63"/>
      <c r="T98" s="63"/>
      <c r="U98" s="63"/>
      <c r="W98" s="49"/>
      <c r="X98" s="49"/>
      <c r="Y98" s="49"/>
      <c r="Z98" s="49"/>
      <c r="AA98" s="49"/>
      <c r="AB98" s="49"/>
      <c r="AC98" s="49"/>
      <c r="AD98" s="49"/>
      <c r="AE98" s="49"/>
      <c r="AG98" s="49"/>
      <c r="AH98" s="49"/>
      <c r="AI98" s="49"/>
      <c r="AJ98" s="49"/>
      <c r="AK98" s="49"/>
      <c r="AL98" s="49"/>
      <c r="AM98" s="49"/>
      <c r="AN98" s="49"/>
      <c r="AO98" s="49"/>
      <c r="AQ98" s="49"/>
      <c r="AR98" s="49"/>
      <c r="AS98" s="49"/>
      <c r="AT98" s="49"/>
      <c r="AU98" s="49"/>
      <c r="AV98" s="49"/>
      <c r="AW98" s="49"/>
      <c r="AX98" s="49"/>
      <c r="AY98" s="49"/>
    </row>
    <row r="99" spans="1:51" s="207" customFormat="1" ht="15.75" x14ac:dyDescent="0.25">
      <c r="A99" s="49"/>
      <c r="B99" s="49"/>
      <c r="C99" s="48"/>
      <c r="D99" s="60"/>
      <c r="E99" s="60"/>
      <c r="F99" s="60"/>
      <c r="G99" s="50"/>
      <c r="H99" s="61"/>
      <c r="I99" s="61"/>
      <c r="J99" s="61"/>
      <c r="K99" s="61"/>
      <c r="L99" s="61"/>
      <c r="M99" s="62"/>
      <c r="N99" s="62"/>
      <c r="O99" s="62"/>
      <c r="P99" s="62"/>
      <c r="Q99" s="63"/>
      <c r="R99" s="63"/>
      <c r="S99" s="63"/>
      <c r="T99" s="63"/>
      <c r="U99" s="63"/>
      <c r="W99" s="49"/>
      <c r="X99" s="49"/>
      <c r="Y99" s="49"/>
      <c r="Z99" s="49"/>
      <c r="AA99" s="49"/>
      <c r="AB99" s="49"/>
      <c r="AC99" s="49"/>
      <c r="AD99" s="49"/>
      <c r="AE99" s="49"/>
      <c r="AG99" s="49"/>
      <c r="AH99" s="49"/>
      <c r="AI99" s="49"/>
      <c r="AJ99" s="49"/>
      <c r="AK99" s="49"/>
      <c r="AL99" s="49"/>
      <c r="AM99" s="49"/>
      <c r="AN99" s="49"/>
      <c r="AO99" s="49"/>
      <c r="AQ99" s="49"/>
      <c r="AR99" s="49"/>
      <c r="AS99" s="49"/>
      <c r="AT99" s="49"/>
      <c r="AU99" s="49"/>
      <c r="AV99" s="49"/>
      <c r="AW99" s="49"/>
      <c r="AX99" s="49"/>
      <c r="AY99" s="49"/>
    </row>
    <row r="100" spans="1:51" s="207" customFormat="1" ht="15.75" x14ac:dyDescent="0.25">
      <c r="A100" s="49"/>
      <c r="B100" s="49"/>
      <c r="C100" s="48"/>
      <c r="D100" s="60"/>
      <c r="E100" s="60"/>
      <c r="F100" s="60"/>
      <c r="G100" s="50"/>
      <c r="H100" s="61"/>
      <c r="I100" s="61"/>
      <c r="J100" s="61"/>
      <c r="K100" s="61"/>
      <c r="L100" s="61"/>
      <c r="M100" s="62"/>
      <c r="N100" s="62"/>
      <c r="O100" s="62"/>
      <c r="P100" s="62"/>
      <c r="Q100" s="63"/>
      <c r="R100" s="63"/>
      <c r="S100" s="63"/>
      <c r="T100" s="63"/>
      <c r="U100" s="63"/>
      <c r="W100" s="49"/>
      <c r="X100" s="49"/>
      <c r="Y100" s="49"/>
      <c r="Z100" s="49"/>
      <c r="AA100" s="49"/>
      <c r="AB100" s="49"/>
      <c r="AC100" s="49"/>
      <c r="AD100" s="49"/>
      <c r="AE100" s="49"/>
      <c r="AG100" s="49"/>
      <c r="AH100" s="49"/>
      <c r="AI100" s="49"/>
      <c r="AJ100" s="49"/>
      <c r="AK100" s="49"/>
      <c r="AL100" s="49"/>
      <c r="AM100" s="49"/>
      <c r="AN100" s="49"/>
      <c r="AO100" s="49"/>
      <c r="AQ100" s="49"/>
      <c r="AR100" s="49"/>
      <c r="AS100" s="49"/>
      <c r="AT100" s="49"/>
      <c r="AU100" s="49"/>
      <c r="AV100" s="49"/>
      <c r="AW100" s="49"/>
      <c r="AX100" s="49"/>
      <c r="AY100" s="49"/>
    </row>
    <row r="101" spans="1:51" s="207" customFormat="1" ht="15.75" x14ac:dyDescent="0.25">
      <c r="A101" s="49"/>
      <c r="B101" s="49"/>
      <c r="C101" s="48"/>
      <c r="D101" s="60"/>
      <c r="E101" s="60"/>
      <c r="F101" s="60"/>
      <c r="G101" s="50"/>
      <c r="H101" s="61"/>
      <c r="I101" s="61"/>
      <c r="J101" s="61"/>
      <c r="K101" s="61"/>
      <c r="L101" s="61"/>
      <c r="M101" s="62"/>
      <c r="N101" s="62"/>
      <c r="O101" s="62"/>
      <c r="P101" s="62"/>
      <c r="Q101" s="63"/>
      <c r="R101" s="63"/>
      <c r="S101" s="63"/>
      <c r="T101" s="63"/>
      <c r="U101" s="63"/>
      <c r="W101" s="49"/>
      <c r="X101" s="49"/>
      <c r="Y101" s="49"/>
      <c r="Z101" s="49"/>
      <c r="AA101" s="49"/>
      <c r="AB101" s="49"/>
      <c r="AC101" s="49"/>
      <c r="AD101" s="49"/>
      <c r="AE101" s="49"/>
      <c r="AG101" s="49"/>
      <c r="AH101" s="49"/>
      <c r="AI101" s="49"/>
      <c r="AJ101" s="49"/>
      <c r="AK101" s="49"/>
      <c r="AL101" s="49"/>
      <c r="AM101" s="49"/>
      <c r="AN101" s="49"/>
      <c r="AO101" s="49"/>
      <c r="AQ101" s="49"/>
      <c r="AR101" s="49"/>
      <c r="AS101" s="49"/>
      <c r="AT101" s="49"/>
      <c r="AU101" s="49"/>
      <c r="AV101" s="49"/>
      <c r="AW101" s="49"/>
      <c r="AX101" s="49"/>
      <c r="AY101" s="49"/>
    </row>
    <row r="102" spans="1:51" s="207" customFormat="1" ht="15.75" x14ac:dyDescent="0.25">
      <c r="A102" s="49"/>
      <c r="B102" s="49"/>
      <c r="C102" s="48"/>
      <c r="D102" s="60"/>
      <c r="E102" s="60"/>
      <c r="F102" s="60"/>
      <c r="G102" s="50"/>
      <c r="H102" s="61"/>
      <c r="I102" s="61"/>
      <c r="J102" s="61"/>
      <c r="K102" s="61"/>
      <c r="L102" s="61"/>
      <c r="M102" s="62"/>
      <c r="N102" s="62"/>
      <c r="O102" s="62"/>
      <c r="P102" s="62"/>
      <c r="Q102" s="63"/>
      <c r="R102" s="63"/>
      <c r="S102" s="63"/>
      <c r="T102" s="63"/>
      <c r="U102" s="63"/>
      <c r="W102" s="49"/>
      <c r="X102" s="49"/>
      <c r="Y102" s="49"/>
      <c r="Z102" s="49"/>
      <c r="AA102" s="49"/>
      <c r="AB102" s="49"/>
      <c r="AC102" s="49"/>
      <c r="AD102" s="49"/>
      <c r="AE102" s="49"/>
      <c r="AG102" s="49"/>
      <c r="AH102" s="49"/>
      <c r="AI102" s="49"/>
      <c r="AJ102" s="49"/>
      <c r="AK102" s="49"/>
      <c r="AL102" s="49"/>
      <c r="AM102" s="49"/>
      <c r="AN102" s="49"/>
      <c r="AO102" s="49"/>
      <c r="AQ102" s="49"/>
      <c r="AR102" s="49"/>
      <c r="AS102" s="49"/>
      <c r="AT102" s="49"/>
      <c r="AU102" s="49"/>
      <c r="AV102" s="49"/>
      <c r="AW102" s="49"/>
      <c r="AX102" s="49"/>
      <c r="AY102" s="49"/>
    </row>
    <row r="103" spans="1:51" s="207" customFormat="1" ht="15.75" x14ac:dyDescent="0.25">
      <c r="A103" s="49"/>
      <c r="B103" s="49"/>
      <c r="C103" s="48"/>
      <c r="D103" s="60"/>
      <c r="E103" s="60"/>
      <c r="F103" s="60"/>
      <c r="G103" s="50"/>
      <c r="H103" s="61"/>
      <c r="I103" s="61"/>
      <c r="J103" s="61"/>
      <c r="K103" s="61"/>
      <c r="L103" s="61"/>
      <c r="M103" s="62"/>
      <c r="N103" s="62"/>
      <c r="O103" s="62"/>
      <c r="P103" s="62"/>
      <c r="Q103" s="63"/>
      <c r="R103" s="63"/>
      <c r="S103" s="63"/>
      <c r="T103" s="63"/>
      <c r="U103" s="63"/>
      <c r="W103" s="49"/>
      <c r="X103" s="49"/>
      <c r="Y103" s="49"/>
      <c r="Z103" s="49"/>
      <c r="AA103" s="49"/>
      <c r="AB103" s="49"/>
      <c r="AC103" s="49"/>
      <c r="AD103" s="49"/>
      <c r="AE103" s="49"/>
      <c r="AG103" s="49"/>
      <c r="AH103" s="49"/>
      <c r="AI103" s="49"/>
      <c r="AJ103" s="49"/>
      <c r="AK103" s="49"/>
      <c r="AL103" s="49"/>
      <c r="AM103" s="49"/>
      <c r="AN103" s="49"/>
      <c r="AO103" s="49"/>
      <c r="AQ103" s="49"/>
      <c r="AR103" s="49"/>
      <c r="AS103" s="49"/>
      <c r="AT103" s="49"/>
      <c r="AU103" s="49"/>
      <c r="AV103" s="49"/>
      <c r="AW103" s="49"/>
      <c r="AX103" s="49"/>
      <c r="AY103" s="49"/>
    </row>
    <row r="104" spans="1:51" s="207" customFormat="1" ht="15.75" x14ac:dyDescent="0.25">
      <c r="A104" s="49"/>
      <c r="B104" s="49"/>
      <c r="C104" s="48"/>
      <c r="D104" s="60"/>
      <c r="E104" s="60"/>
      <c r="F104" s="60"/>
      <c r="G104" s="50"/>
      <c r="H104" s="61"/>
      <c r="I104" s="61"/>
      <c r="J104" s="61"/>
      <c r="K104" s="61"/>
      <c r="L104" s="61"/>
      <c r="M104" s="62"/>
      <c r="N104" s="62"/>
      <c r="O104" s="62"/>
      <c r="P104" s="62"/>
      <c r="Q104" s="63"/>
      <c r="R104" s="63"/>
      <c r="S104" s="63"/>
      <c r="T104" s="63"/>
      <c r="U104" s="63"/>
      <c r="W104" s="49"/>
      <c r="X104" s="49"/>
      <c r="Y104" s="49"/>
      <c r="Z104" s="49"/>
      <c r="AA104" s="49"/>
      <c r="AB104" s="49"/>
      <c r="AC104" s="49"/>
      <c r="AD104" s="49"/>
      <c r="AE104" s="49"/>
      <c r="AG104" s="49"/>
      <c r="AH104" s="49"/>
      <c r="AI104" s="49"/>
      <c r="AJ104" s="49"/>
      <c r="AK104" s="49"/>
      <c r="AL104" s="49"/>
      <c r="AM104" s="49"/>
      <c r="AN104" s="49"/>
      <c r="AO104" s="49"/>
      <c r="AQ104" s="49"/>
      <c r="AR104" s="49"/>
      <c r="AS104" s="49"/>
      <c r="AT104" s="49"/>
      <c r="AU104" s="49"/>
      <c r="AV104" s="49"/>
      <c r="AW104" s="49"/>
      <c r="AX104" s="49"/>
      <c r="AY104" s="49"/>
    </row>
    <row r="105" spans="1:51" s="207" customFormat="1" ht="15.75" x14ac:dyDescent="0.25">
      <c r="A105" s="49"/>
      <c r="B105" s="49"/>
      <c r="C105" s="48"/>
      <c r="D105" s="60"/>
      <c r="E105" s="60"/>
      <c r="F105" s="60"/>
      <c r="G105" s="50"/>
      <c r="H105" s="61"/>
      <c r="I105" s="61"/>
      <c r="J105" s="61"/>
      <c r="K105" s="61"/>
      <c r="L105" s="61"/>
      <c r="M105" s="62"/>
      <c r="N105" s="62"/>
      <c r="O105" s="62"/>
      <c r="P105" s="62"/>
      <c r="Q105" s="63"/>
      <c r="R105" s="63"/>
      <c r="S105" s="63"/>
      <c r="T105" s="63"/>
      <c r="U105" s="63"/>
      <c r="W105" s="49"/>
      <c r="X105" s="49"/>
      <c r="Y105" s="49"/>
      <c r="Z105" s="49"/>
      <c r="AA105" s="49"/>
      <c r="AB105" s="49"/>
      <c r="AC105" s="49"/>
      <c r="AD105" s="49"/>
      <c r="AE105" s="49"/>
      <c r="AG105" s="49"/>
      <c r="AH105" s="49"/>
      <c r="AI105" s="49"/>
      <c r="AJ105" s="49"/>
      <c r="AK105" s="49"/>
      <c r="AL105" s="49"/>
      <c r="AM105" s="49"/>
      <c r="AN105" s="49"/>
      <c r="AO105" s="49"/>
      <c r="AQ105" s="49"/>
      <c r="AR105" s="49"/>
      <c r="AS105" s="49"/>
      <c r="AT105" s="49"/>
      <c r="AU105" s="49"/>
      <c r="AV105" s="49"/>
      <c r="AW105" s="49"/>
      <c r="AX105" s="49"/>
      <c r="AY105" s="49"/>
    </row>
    <row r="106" spans="1:51" s="207" customFormat="1" ht="15.75" x14ac:dyDescent="0.25">
      <c r="A106" s="49"/>
      <c r="B106" s="49"/>
      <c r="C106" s="48"/>
      <c r="D106" s="60"/>
      <c r="E106" s="60"/>
      <c r="F106" s="60"/>
      <c r="G106" s="50"/>
      <c r="H106" s="61"/>
      <c r="I106" s="61"/>
      <c r="J106" s="61"/>
      <c r="K106" s="61"/>
      <c r="L106" s="61"/>
      <c r="M106" s="62"/>
      <c r="N106" s="62"/>
      <c r="O106" s="62"/>
      <c r="P106" s="62"/>
      <c r="Q106" s="63"/>
      <c r="R106" s="63"/>
      <c r="S106" s="63"/>
      <c r="T106" s="63"/>
      <c r="U106" s="63"/>
      <c r="W106" s="49"/>
      <c r="X106" s="49"/>
      <c r="Y106" s="49"/>
      <c r="Z106" s="49"/>
      <c r="AA106" s="49"/>
      <c r="AB106" s="49"/>
      <c r="AC106" s="49"/>
      <c r="AD106" s="49"/>
      <c r="AE106" s="49"/>
      <c r="AG106" s="49"/>
      <c r="AH106" s="49"/>
      <c r="AI106" s="49"/>
      <c r="AJ106" s="49"/>
      <c r="AK106" s="49"/>
      <c r="AL106" s="49"/>
      <c r="AM106" s="49"/>
      <c r="AN106" s="49"/>
      <c r="AO106" s="49"/>
      <c r="AQ106" s="49"/>
      <c r="AR106" s="49"/>
      <c r="AS106" s="49"/>
      <c r="AT106" s="49"/>
      <c r="AU106" s="49"/>
      <c r="AV106" s="49"/>
      <c r="AW106" s="49"/>
      <c r="AX106" s="49"/>
      <c r="AY106" s="49"/>
    </row>
    <row r="107" spans="1:51" s="207" customFormat="1" ht="15.75" x14ac:dyDescent="0.25">
      <c r="A107" s="49"/>
      <c r="B107" s="49"/>
      <c r="C107" s="48"/>
      <c r="D107" s="60"/>
      <c r="E107" s="60"/>
      <c r="F107" s="60"/>
      <c r="G107" s="50"/>
      <c r="H107" s="61"/>
      <c r="I107" s="61"/>
      <c r="J107" s="61"/>
      <c r="K107" s="61"/>
      <c r="L107" s="61"/>
      <c r="M107" s="62"/>
      <c r="N107" s="62"/>
      <c r="O107" s="62"/>
      <c r="P107" s="62"/>
      <c r="Q107" s="63"/>
      <c r="R107" s="63"/>
      <c r="S107" s="63"/>
      <c r="T107" s="63"/>
      <c r="U107" s="63"/>
      <c r="W107" s="49"/>
      <c r="X107" s="49"/>
      <c r="Y107" s="49"/>
      <c r="Z107" s="49"/>
      <c r="AA107" s="49"/>
      <c r="AB107" s="49"/>
      <c r="AC107" s="49"/>
      <c r="AD107" s="49"/>
      <c r="AE107" s="49"/>
      <c r="AG107" s="49"/>
      <c r="AH107" s="49"/>
      <c r="AI107" s="49"/>
      <c r="AJ107" s="49"/>
      <c r="AK107" s="49"/>
      <c r="AL107" s="49"/>
      <c r="AM107" s="49"/>
      <c r="AN107" s="49"/>
      <c r="AO107" s="49"/>
      <c r="AQ107" s="49"/>
      <c r="AR107" s="49"/>
      <c r="AS107" s="49"/>
      <c r="AT107" s="49"/>
      <c r="AU107" s="49"/>
      <c r="AV107" s="49"/>
      <c r="AW107" s="49"/>
      <c r="AX107" s="49"/>
      <c r="AY107" s="49"/>
    </row>
    <row r="108" spans="1:51" s="207" customFormat="1" ht="15.75" x14ac:dyDescent="0.25">
      <c r="A108" s="49"/>
      <c r="B108" s="49"/>
      <c r="C108" s="48"/>
      <c r="D108" s="60"/>
      <c r="E108" s="60"/>
      <c r="F108" s="60"/>
      <c r="G108" s="50"/>
      <c r="H108" s="61"/>
      <c r="I108" s="61"/>
      <c r="J108" s="61"/>
      <c r="K108" s="61"/>
      <c r="L108" s="61"/>
      <c r="M108" s="62"/>
      <c r="N108" s="62"/>
      <c r="O108" s="62"/>
      <c r="P108" s="62"/>
      <c r="Q108" s="63"/>
      <c r="R108" s="63"/>
      <c r="S108" s="63"/>
      <c r="T108" s="63"/>
      <c r="U108" s="63"/>
      <c r="W108" s="49"/>
      <c r="X108" s="49"/>
      <c r="Y108" s="49"/>
      <c r="Z108" s="49"/>
      <c r="AA108" s="49"/>
      <c r="AB108" s="49"/>
      <c r="AC108" s="49"/>
      <c r="AD108" s="49"/>
      <c r="AE108" s="49"/>
      <c r="AG108" s="49"/>
      <c r="AH108" s="49"/>
      <c r="AI108" s="49"/>
      <c r="AJ108" s="49"/>
      <c r="AK108" s="49"/>
      <c r="AL108" s="49"/>
      <c r="AM108" s="49"/>
      <c r="AN108" s="49"/>
      <c r="AO108" s="49"/>
      <c r="AQ108" s="49"/>
      <c r="AR108" s="49"/>
      <c r="AS108" s="49"/>
      <c r="AT108" s="49"/>
      <c r="AU108" s="49"/>
      <c r="AV108" s="49"/>
      <c r="AW108" s="49"/>
      <c r="AX108" s="49"/>
      <c r="AY108" s="49"/>
    </row>
    <row r="109" spans="1:51" s="207" customFormat="1" ht="15.75" x14ac:dyDescent="0.25">
      <c r="A109" s="49"/>
      <c r="B109" s="49"/>
      <c r="C109" s="48"/>
      <c r="D109" s="60"/>
      <c r="E109" s="60"/>
      <c r="F109" s="60"/>
      <c r="G109" s="50"/>
      <c r="H109" s="61"/>
      <c r="I109" s="61"/>
      <c r="J109" s="61"/>
      <c r="K109" s="61"/>
      <c r="L109" s="61"/>
      <c r="M109" s="62"/>
      <c r="N109" s="62"/>
      <c r="O109" s="62"/>
      <c r="P109" s="62"/>
      <c r="Q109" s="63"/>
      <c r="R109" s="63"/>
      <c r="S109" s="63"/>
      <c r="T109" s="63"/>
      <c r="U109" s="63"/>
      <c r="W109" s="49"/>
      <c r="X109" s="49"/>
      <c r="Y109" s="49"/>
      <c r="Z109" s="49"/>
      <c r="AA109" s="49"/>
      <c r="AB109" s="49"/>
      <c r="AC109" s="49"/>
      <c r="AD109" s="49"/>
      <c r="AE109" s="49"/>
      <c r="AG109" s="49"/>
      <c r="AH109" s="49"/>
      <c r="AI109" s="49"/>
      <c r="AJ109" s="49"/>
      <c r="AK109" s="49"/>
      <c r="AL109" s="49"/>
      <c r="AM109" s="49"/>
      <c r="AN109" s="49"/>
      <c r="AO109" s="49"/>
      <c r="AQ109" s="49"/>
      <c r="AR109" s="49"/>
      <c r="AS109" s="49"/>
      <c r="AT109" s="49"/>
      <c r="AU109" s="49"/>
      <c r="AV109" s="49"/>
      <c r="AW109" s="49"/>
      <c r="AX109" s="49"/>
      <c r="AY109" s="49"/>
    </row>
    <row r="110" spans="1:51" s="207" customFormat="1" ht="15.75" x14ac:dyDescent="0.25">
      <c r="A110" s="49"/>
      <c r="B110" s="49"/>
      <c r="C110" s="48"/>
      <c r="D110" s="60"/>
      <c r="E110" s="60"/>
      <c r="F110" s="60"/>
      <c r="G110" s="50"/>
      <c r="H110" s="61"/>
      <c r="I110" s="61"/>
      <c r="J110" s="61"/>
      <c r="K110" s="61"/>
      <c r="L110" s="61"/>
      <c r="M110" s="62"/>
      <c r="N110" s="62"/>
      <c r="O110" s="62"/>
      <c r="P110" s="62"/>
      <c r="Q110" s="63"/>
      <c r="R110" s="63"/>
      <c r="S110" s="63"/>
      <c r="T110" s="63"/>
      <c r="U110" s="63"/>
      <c r="W110" s="49"/>
      <c r="X110" s="49"/>
      <c r="Y110" s="49"/>
      <c r="Z110" s="49"/>
      <c r="AA110" s="49"/>
      <c r="AB110" s="49"/>
      <c r="AC110" s="49"/>
      <c r="AD110" s="49"/>
      <c r="AE110" s="49"/>
      <c r="AG110" s="49"/>
      <c r="AH110" s="49"/>
      <c r="AI110" s="49"/>
      <c r="AJ110" s="49"/>
      <c r="AK110" s="49"/>
      <c r="AL110" s="49"/>
      <c r="AM110" s="49"/>
      <c r="AN110" s="49"/>
      <c r="AO110" s="49"/>
      <c r="AQ110" s="49"/>
      <c r="AR110" s="49"/>
      <c r="AS110" s="49"/>
      <c r="AT110" s="49"/>
      <c r="AU110" s="49"/>
      <c r="AV110" s="49"/>
      <c r="AW110" s="49"/>
      <c r="AX110" s="49"/>
      <c r="AY110" s="49"/>
    </row>
    <row r="111" spans="1:51" s="207" customFormat="1" ht="15.75" x14ac:dyDescent="0.25">
      <c r="A111" s="49"/>
      <c r="B111" s="49"/>
      <c r="C111" s="48"/>
      <c r="D111" s="60"/>
      <c r="E111" s="60"/>
      <c r="F111" s="60"/>
      <c r="G111" s="50"/>
      <c r="H111" s="61"/>
      <c r="I111" s="61"/>
      <c r="J111" s="61"/>
      <c r="K111" s="61"/>
      <c r="L111" s="61"/>
      <c r="M111" s="62"/>
      <c r="N111" s="62"/>
      <c r="O111" s="62"/>
      <c r="P111" s="62"/>
      <c r="Q111" s="63"/>
      <c r="R111" s="63"/>
      <c r="S111" s="63"/>
      <c r="T111" s="63"/>
      <c r="U111" s="63"/>
      <c r="W111" s="49"/>
      <c r="X111" s="49"/>
      <c r="Y111" s="49"/>
      <c r="Z111" s="49"/>
      <c r="AA111" s="49"/>
      <c r="AB111" s="49"/>
      <c r="AC111" s="49"/>
      <c r="AD111" s="49"/>
      <c r="AE111" s="49"/>
      <c r="AG111" s="49"/>
      <c r="AH111" s="49"/>
      <c r="AI111" s="49"/>
      <c r="AJ111" s="49"/>
      <c r="AK111" s="49"/>
      <c r="AL111" s="49"/>
      <c r="AM111" s="49"/>
      <c r="AN111" s="49"/>
      <c r="AO111" s="49"/>
      <c r="AQ111" s="49"/>
      <c r="AR111" s="49"/>
      <c r="AS111" s="49"/>
      <c r="AT111" s="49"/>
      <c r="AU111" s="49"/>
      <c r="AV111" s="49"/>
      <c r="AW111" s="49"/>
      <c r="AX111" s="49"/>
      <c r="AY111" s="49"/>
    </row>
    <row r="112" spans="1:51" s="207" customFormat="1" ht="15.75" x14ac:dyDescent="0.25">
      <c r="A112" s="49"/>
      <c r="B112" s="49"/>
      <c r="C112" s="48"/>
      <c r="D112" s="60"/>
      <c r="E112" s="60"/>
      <c r="F112" s="60"/>
      <c r="G112" s="50"/>
      <c r="H112" s="61"/>
      <c r="I112" s="61"/>
      <c r="J112" s="61"/>
      <c r="K112" s="61"/>
      <c r="L112" s="61"/>
      <c r="M112" s="62"/>
      <c r="N112" s="62"/>
      <c r="O112" s="62"/>
      <c r="P112" s="62"/>
      <c r="Q112" s="63"/>
      <c r="R112" s="63"/>
      <c r="S112" s="63"/>
      <c r="T112" s="63"/>
      <c r="U112" s="63"/>
      <c r="W112" s="49"/>
      <c r="X112" s="49"/>
      <c r="Y112" s="49"/>
      <c r="Z112" s="49"/>
      <c r="AA112" s="49"/>
      <c r="AB112" s="49"/>
      <c r="AC112" s="49"/>
      <c r="AD112" s="49"/>
      <c r="AE112" s="49"/>
      <c r="AG112" s="49"/>
      <c r="AH112" s="49"/>
      <c r="AI112" s="49"/>
      <c r="AJ112" s="49"/>
      <c r="AK112" s="49"/>
      <c r="AL112" s="49"/>
      <c r="AM112" s="49"/>
      <c r="AN112" s="49"/>
      <c r="AO112" s="49"/>
      <c r="AQ112" s="49"/>
      <c r="AR112" s="49"/>
      <c r="AS112" s="49"/>
      <c r="AT112" s="49"/>
      <c r="AU112" s="49"/>
      <c r="AV112" s="49"/>
      <c r="AW112" s="49"/>
      <c r="AX112" s="49"/>
      <c r="AY112" s="49"/>
    </row>
    <row r="113" spans="1:51" s="207" customFormat="1" ht="15.75" x14ac:dyDescent="0.25">
      <c r="A113" s="49"/>
      <c r="B113" s="49"/>
      <c r="C113" s="48"/>
      <c r="D113" s="60"/>
      <c r="E113" s="60"/>
      <c r="F113" s="60"/>
      <c r="G113" s="50"/>
      <c r="H113" s="61"/>
      <c r="I113" s="61"/>
      <c r="J113" s="61"/>
      <c r="K113" s="61"/>
      <c r="L113" s="61"/>
      <c r="M113" s="62"/>
      <c r="N113" s="62"/>
      <c r="O113" s="62"/>
      <c r="P113" s="62"/>
      <c r="Q113" s="63"/>
      <c r="R113" s="63"/>
      <c r="S113" s="63"/>
      <c r="T113" s="63"/>
      <c r="U113" s="63"/>
      <c r="W113" s="49"/>
      <c r="X113" s="49"/>
      <c r="Y113" s="49"/>
      <c r="Z113" s="49"/>
      <c r="AA113" s="49"/>
      <c r="AB113" s="49"/>
      <c r="AC113" s="49"/>
      <c r="AD113" s="49"/>
      <c r="AE113" s="49"/>
      <c r="AG113" s="49"/>
      <c r="AH113" s="49"/>
      <c r="AI113" s="49"/>
      <c r="AJ113" s="49"/>
      <c r="AK113" s="49"/>
      <c r="AL113" s="49"/>
      <c r="AM113" s="49"/>
      <c r="AN113" s="49"/>
      <c r="AO113" s="49"/>
      <c r="AQ113" s="49"/>
      <c r="AR113" s="49"/>
      <c r="AS113" s="49"/>
      <c r="AT113" s="49"/>
      <c r="AU113" s="49"/>
      <c r="AV113" s="49"/>
      <c r="AW113" s="49"/>
      <c r="AX113" s="49"/>
      <c r="AY113" s="49"/>
    </row>
    <row r="114" spans="1:51" s="207" customFormat="1" ht="15.75" x14ac:dyDescent="0.25">
      <c r="A114" s="49"/>
      <c r="B114" s="49"/>
      <c r="C114" s="48"/>
      <c r="D114" s="60"/>
      <c r="E114" s="60"/>
      <c r="F114" s="60"/>
      <c r="G114" s="50"/>
      <c r="H114" s="61"/>
      <c r="I114" s="61"/>
      <c r="J114" s="61"/>
      <c r="K114" s="61"/>
      <c r="L114" s="61"/>
      <c r="M114" s="62"/>
      <c r="N114" s="62"/>
      <c r="O114" s="62"/>
      <c r="P114" s="62"/>
      <c r="Q114" s="63"/>
      <c r="R114" s="63"/>
      <c r="S114" s="63"/>
      <c r="T114" s="63"/>
      <c r="U114" s="63"/>
      <c r="W114" s="49"/>
      <c r="X114" s="49"/>
      <c r="Y114" s="49"/>
      <c r="Z114" s="49"/>
      <c r="AA114" s="49"/>
      <c r="AB114" s="49"/>
      <c r="AC114" s="49"/>
      <c r="AD114" s="49"/>
      <c r="AE114" s="49"/>
      <c r="AG114" s="49"/>
      <c r="AH114" s="49"/>
      <c r="AI114" s="49"/>
      <c r="AJ114" s="49"/>
      <c r="AK114" s="49"/>
      <c r="AL114" s="49"/>
      <c r="AM114" s="49"/>
      <c r="AN114" s="49"/>
      <c r="AO114" s="49"/>
      <c r="AQ114" s="49"/>
      <c r="AR114" s="49"/>
      <c r="AS114" s="49"/>
      <c r="AT114" s="49"/>
      <c r="AU114" s="49"/>
      <c r="AV114" s="49"/>
      <c r="AW114" s="49"/>
      <c r="AX114" s="49"/>
      <c r="AY114" s="49"/>
    </row>
    <row r="115" spans="1:51" s="207" customFormat="1" ht="15.75" x14ac:dyDescent="0.25">
      <c r="A115" s="49"/>
      <c r="B115" s="49"/>
      <c r="C115" s="48"/>
      <c r="D115" s="60"/>
      <c r="E115" s="60"/>
      <c r="F115" s="60"/>
      <c r="G115" s="50"/>
      <c r="H115" s="61"/>
      <c r="I115" s="61"/>
      <c r="J115" s="61"/>
      <c r="K115" s="61"/>
      <c r="L115" s="61"/>
      <c r="M115" s="62"/>
      <c r="N115" s="62"/>
      <c r="O115" s="62"/>
      <c r="P115" s="62"/>
      <c r="Q115" s="63"/>
      <c r="R115" s="63"/>
      <c r="S115" s="63"/>
      <c r="T115" s="63"/>
      <c r="U115" s="63"/>
      <c r="W115" s="49"/>
      <c r="X115" s="49"/>
      <c r="Y115" s="49"/>
      <c r="Z115" s="49"/>
      <c r="AA115" s="49"/>
      <c r="AB115" s="49"/>
      <c r="AC115" s="49"/>
      <c r="AD115" s="49"/>
      <c r="AE115" s="49"/>
      <c r="AG115" s="49"/>
      <c r="AH115" s="49"/>
      <c r="AI115" s="49"/>
      <c r="AJ115" s="49"/>
      <c r="AK115" s="49"/>
      <c r="AL115" s="49"/>
      <c r="AM115" s="49"/>
      <c r="AN115" s="49"/>
      <c r="AO115" s="49"/>
      <c r="AQ115" s="49"/>
      <c r="AR115" s="49"/>
      <c r="AS115" s="49"/>
      <c r="AT115" s="49"/>
      <c r="AU115" s="49"/>
      <c r="AV115" s="49"/>
      <c r="AW115" s="49"/>
      <c r="AX115" s="49"/>
      <c r="AY115" s="49"/>
    </row>
    <row r="116" spans="1:51" s="207" customFormat="1" ht="15.75" x14ac:dyDescent="0.25">
      <c r="A116" s="49"/>
      <c r="B116" s="49"/>
      <c r="C116" s="48"/>
      <c r="D116" s="60"/>
      <c r="E116" s="60"/>
      <c r="F116" s="60"/>
      <c r="G116" s="50"/>
      <c r="H116" s="61"/>
      <c r="I116" s="61"/>
      <c r="J116" s="61"/>
      <c r="K116" s="61"/>
      <c r="L116" s="61"/>
      <c r="M116" s="62"/>
      <c r="N116" s="62"/>
      <c r="O116" s="62"/>
      <c r="P116" s="62"/>
      <c r="Q116" s="63"/>
      <c r="R116" s="63"/>
      <c r="S116" s="63"/>
      <c r="T116" s="63"/>
      <c r="U116" s="63"/>
      <c r="W116" s="49"/>
      <c r="X116" s="49"/>
      <c r="Y116" s="49"/>
      <c r="Z116" s="49"/>
      <c r="AA116" s="49"/>
      <c r="AB116" s="49"/>
      <c r="AC116" s="49"/>
      <c r="AD116" s="49"/>
      <c r="AE116" s="49"/>
      <c r="AG116" s="49"/>
      <c r="AH116" s="49"/>
      <c r="AI116" s="49"/>
      <c r="AJ116" s="49"/>
      <c r="AK116" s="49"/>
      <c r="AL116" s="49"/>
      <c r="AM116" s="49"/>
      <c r="AN116" s="49"/>
      <c r="AO116" s="49"/>
      <c r="AQ116" s="49"/>
      <c r="AR116" s="49"/>
      <c r="AS116" s="49"/>
      <c r="AT116" s="49"/>
      <c r="AU116" s="49"/>
      <c r="AV116" s="49"/>
      <c r="AW116" s="49"/>
      <c r="AX116" s="49"/>
      <c r="AY116" s="49"/>
    </row>
    <row r="117" spans="1:51" s="207" customFormat="1" ht="15.75" x14ac:dyDescent="0.25">
      <c r="A117" s="49"/>
      <c r="B117" s="49"/>
      <c r="C117" s="48"/>
      <c r="D117" s="60"/>
      <c r="E117" s="60"/>
      <c r="F117" s="60"/>
      <c r="G117" s="50"/>
      <c r="H117" s="61"/>
      <c r="I117" s="61"/>
      <c r="J117" s="61"/>
      <c r="K117" s="61"/>
      <c r="L117" s="61"/>
      <c r="M117" s="62"/>
      <c r="N117" s="62"/>
      <c r="O117" s="62"/>
      <c r="P117" s="62"/>
      <c r="Q117" s="63"/>
      <c r="R117" s="63"/>
      <c r="S117" s="63"/>
      <c r="T117" s="63"/>
      <c r="U117" s="63"/>
      <c r="W117" s="49"/>
      <c r="X117" s="49"/>
      <c r="Y117" s="49"/>
      <c r="Z117" s="49"/>
      <c r="AA117" s="49"/>
      <c r="AB117" s="49"/>
      <c r="AC117" s="49"/>
      <c r="AD117" s="49"/>
      <c r="AE117" s="49"/>
      <c r="AG117" s="49"/>
      <c r="AH117" s="49"/>
      <c r="AI117" s="49"/>
      <c r="AJ117" s="49"/>
      <c r="AK117" s="49"/>
      <c r="AL117" s="49"/>
      <c r="AM117" s="49"/>
      <c r="AN117" s="49"/>
      <c r="AO117" s="49"/>
      <c r="AQ117" s="49"/>
      <c r="AR117" s="49"/>
      <c r="AS117" s="49"/>
      <c r="AT117" s="49"/>
      <c r="AU117" s="49"/>
      <c r="AV117" s="49"/>
      <c r="AW117" s="49"/>
      <c r="AX117" s="49"/>
      <c r="AY117" s="49"/>
    </row>
    <row r="118" spans="1:51" s="207" customFormat="1" ht="15.75" x14ac:dyDescent="0.25">
      <c r="A118" s="49"/>
      <c r="B118" s="49"/>
      <c r="C118" s="48"/>
      <c r="D118" s="60"/>
      <c r="E118" s="60"/>
      <c r="F118" s="60"/>
      <c r="G118" s="50"/>
      <c r="H118" s="61"/>
      <c r="I118" s="61"/>
      <c r="J118" s="61"/>
      <c r="K118" s="61"/>
      <c r="L118" s="61"/>
      <c r="M118" s="62"/>
      <c r="N118" s="62"/>
      <c r="O118" s="62"/>
      <c r="P118" s="62"/>
      <c r="Q118" s="63"/>
      <c r="R118" s="63"/>
      <c r="S118" s="63"/>
      <c r="T118" s="63"/>
      <c r="U118" s="63"/>
      <c r="W118" s="49"/>
      <c r="X118" s="49"/>
      <c r="Y118" s="49"/>
      <c r="Z118" s="49"/>
      <c r="AA118" s="49"/>
      <c r="AB118" s="49"/>
      <c r="AC118" s="49"/>
      <c r="AD118" s="49"/>
      <c r="AE118" s="49"/>
      <c r="AG118" s="49"/>
      <c r="AH118" s="49"/>
      <c r="AI118" s="49"/>
      <c r="AJ118" s="49"/>
      <c r="AK118" s="49"/>
      <c r="AL118" s="49"/>
      <c r="AM118" s="49"/>
      <c r="AN118" s="49"/>
      <c r="AO118" s="49"/>
      <c r="AQ118" s="49"/>
      <c r="AR118" s="49"/>
      <c r="AS118" s="49"/>
      <c r="AT118" s="49"/>
      <c r="AU118" s="49"/>
      <c r="AV118" s="49"/>
      <c r="AW118" s="49"/>
      <c r="AX118" s="49"/>
      <c r="AY118" s="49"/>
    </row>
    <row r="119" spans="1:51" s="207" customFormat="1" ht="15.75" x14ac:dyDescent="0.25">
      <c r="A119" s="49"/>
      <c r="B119" s="49"/>
      <c r="C119" s="48"/>
      <c r="D119" s="60"/>
      <c r="E119" s="60"/>
      <c r="F119" s="60"/>
      <c r="G119" s="50"/>
      <c r="H119" s="61"/>
      <c r="I119" s="61"/>
      <c r="J119" s="61"/>
      <c r="K119" s="61"/>
      <c r="L119" s="61"/>
      <c r="M119" s="62"/>
      <c r="N119" s="62"/>
      <c r="O119" s="62"/>
      <c r="P119" s="62"/>
      <c r="Q119" s="63"/>
      <c r="R119" s="63"/>
      <c r="S119" s="63"/>
      <c r="T119" s="63"/>
      <c r="U119" s="63"/>
      <c r="W119" s="49"/>
      <c r="X119" s="49"/>
      <c r="Y119" s="49"/>
      <c r="Z119" s="49"/>
      <c r="AA119" s="49"/>
      <c r="AB119" s="49"/>
      <c r="AC119" s="49"/>
      <c r="AD119" s="49"/>
      <c r="AE119" s="49"/>
      <c r="AG119" s="49"/>
      <c r="AH119" s="49"/>
      <c r="AI119" s="49"/>
      <c r="AJ119" s="49"/>
      <c r="AK119" s="49"/>
      <c r="AL119" s="49"/>
      <c r="AM119" s="49"/>
      <c r="AN119" s="49"/>
      <c r="AO119" s="49"/>
      <c r="AQ119" s="49"/>
      <c r="AR119" s="49"/>
      <c r="AS119" s="49"/>
      <c r="AT119" s="49"/>
      <c r="AU119" s="49"/>
      <c r="AV119" s="49"/>
      <c r="AW119" s="49"/>
      <c r="AX119" s="49"/>
      <c r="AY119" s="49"/>
    </row>
    <row r="120" spans="1:51" s="207" customFormat="1" ht="15.75" x14ac:dyDescent="0.25">
      <c r="A120" s="49"/>
      <c r="B120" s="49"/>
      <c r="C120" s="48"/>
      <c r="D120" s="60"/>
      <c r="E120" s="60"/>
      <c r="F120" s="60"/>
      <c r="G120" s="50"/>
      <c r="H120" s="61"/>
      <c r="I120" s="61"/>
      <c r="J120" s="61"/>
      <c r="K120" s="61"/>
      <c r="L120" s="61"/>
      <c r="M120" s="62"/>
      <c r="N120" s="62"/>
      <c r="O120" s="62"/>
      <c r="P120" s="62"/>
      <c r="Q120" s="63"/>
      <c r="R120" s="63"/>
      <c r="S120" s="63"/>
      <c r="T120" s="63"/>
      <c r="U120" s="63"/>
      <c r="W120" s="49"/>
      <c r="X120" s="49"/>
      <c r="Y120" s="49"/>
      <c r="Z120" s="49"/>
      <c r="AA120" s="49"/>
      <c r="AB120" s="49"/>
      <c r="AC120" s="49"/>
      <c r="AD120" s="49"/>
      <c r="AE120" s="49"/>
      <c r="AG120" s="49"/>
      <c r="AH120" s="49"/>
      <c r="AI120" s="49"/>
      <c r="AJ120" s="49"/>
      <c r="AK120" s="49"/>
      <c r="AL120" s="49"/>
      <c r="AM120" s="49"/>
      <c r="AN120" s="49"/>
      <c r="AO120" s="49"/>
      <c r="AQ120" s="49"/>
      <c r="AR120" s="49"/>
      <c r="AS120" s="49"/>
      <c r="AT120" s="49"/>
      <c r="AU120" s="49"/>
      <c r="AV120" s="49"/>
      <c r="AW120" s="49"/>
      <c r="AX120" s="49"/>
      <c r="AY120" s="49"/>
    </row>
    <row r="121" spans="1:51" s="207" customFormat="1" ht="15.75" x14ac:dyDescent="0.25">
      <c r="A121" s="49"/>
      <c r="B121" s="49"/>
      <c r="C121" s="48"/>
      <c r="D121" s="60"/>
      <c r="E121" s="60"/>
      <c r="F121" s="60"/>
      <c r="G121" s="50"/>
      <c r="H121" s="61"/>
      <c r="I121" s="61"/>
      <c r="J121" s="61"/>
      <c r="K121" s="61"/>
      <c r="L121" s="61"/>
      <c r="M121" s="62"/>
      <c r="N121" s="62"/>
      <c r="O121" s="62"/>
      <c r="P121" s="62"/>
      <c r="Q121" s="63"/>
      <c r="R121" s="63"/>
      <c r="S121" s="63"/>
      <c r="T121" s="63"/>
      <c r="U121" s="63"/>
      <c r="W121" s="49"/>
      <c r="X121" s="49"/>
      <c r="Y121" s="49"/>
      <c r="Z121" s="49"/>
      <c r="AA121" s="49"/>
      <c r="AB121" s="49"/>
      <c r="AC121" s="49"/>
      <c r="AD121" s="49"/>
      <c r="AE121" s="49"/>
      <c r="AG121" s="49"/>
      <c r="AH121" s="49"/>
      <c r="AI121" s="49"/>
      <c r="AJ121" s="49"/>
      <c r="AK121" s="49"/>
      <c r="AL121" s="49"/>
      <c r="AM121" s="49"/>
      <c r="AN121" s="49"/>
      <c r="AO121" s="49"/>
      <c r="AQ121" s="49"/>
      <c r="AR121" s="49"/>
      <c r="AS121" s="49"/>
      <c r="AT121" s="49"/>
      <c r="AU121" s="49"/>
      <c r="AV121" s="49"/>
      <c r="AW121" s="49"/>
      <c r="AX121" s="49"/>
      <c r="AY121" s="49"/>
    </row>
    <row r="122" spans="1:51" s="207" customFormat="1" ht="15.75" x14ac:dyDescent="0.25">
      <c r="A122" s="49"/>
      <c r="B122" s="49"/>
      <c r="C122" s="48"/>
      <c r="D122" s="60"/>
      <c r="E122" s="60"/>
      <c r="F122" s="60"/>
      <c r="G122" s="50"/>
      <c r="H122" s="61"/>
      <c r="I122" s="61"/>
      <c r="J122" s="61"/>
      <c r="K122" s="61"/>
      <c r="L122" s="61"/>
      <c r="M122" s="62"/>
      <c r="N122" s="62"/>
      <c r="O122" s="62"/>
      <c r="P122" s="62"/>
      <c r="Q122" s="63"/>
      <c r="R122" s="63"/>
      <c r="S122" s="63"/>
      <c r="T122" s="63"/>
      <c r="U122" s="63"/>
      <c r="W122" s="49"/>
      <c r="X122" s="49"/>
      <c r="Y122" s="49"/>
      <c r="Z122" s="49"/>
      <c r="AA122" s="49"/>
      <c r="AB122" s="49"/>
      <c r="AC122" s="49"/>
      <c r="AD122" s="49"/>
      <c r="AE122" s="49"/>
      <c r="AG122" s="49"/>
      <c r="AH122" s="49"/>
      <c r="AI122" s="49"/>
      <c r="AJ122" s="49"/>
      <c r="AK122" s="49"/>
      <c r="AL122" s="49"/>
      <c r="AM122" s="49"/>
      <c r="AN122" s="49"/>
      <c r="AO122" s="49"/>
      <c r="AQ122" s="49"/>
      <c r="AR122" s="49"/>
      <c r="AS122" s="49"/>
      <c r="AT122" s="49"/>
      <c r="AU122" s="49"/>
      <c r="AV122" s="49"/>
      <c r="AW122" s="49"/>
      <c r="AX122" s="49"/>
      <c r="AY122" s="49"/>
    </row>
    <row r="123" spans="1:51" s="207" customFormat="1" ht="15.75" x14ac:dyDescent="0.25">
      <c r="A123" s="49"/>
      <c r="B123" s="49"/>
      <c r="C123" s="48"/>
      <c r="D123" s="60"/>
      <c r="E123" s="60"/>
      <c r="F123" s="60"/>
      <c r="G123" s="50"/>
      <c r="H123" s="61"/>
      <c r="I123" s="61"/>
      <c r="J123" s="61"/>
      <c r="K123" s="61"/>
      <c r="L123" s="61"/>
      <c r="M123" s="62"/>
      <c r="N123" s="62"/>
      <c r="O123" s="62"/>
      <c r="P123" s="62"/>
      <c r="Q123" s="63"/>
      <c r="R123" s="63"/>
      <c r="S123" s="63"/>
      <c r="T123" s="63"/>
      <c r="U123" s="63"/>
      <c r="W123" s="49"/>
      <c r="X123" s="49"/>
      <c r="Y123" s="49"/>
      <c r="Z123" s="49"/>
      <c r="AA123" s="49"/>
      <c r="AB123" s="49"/>
      <c r="AC123" s="49"/>
      <c r="AD123" s="49"/>
      <c r="AE123" s="49"/>
      <c r="AG123" s="49"/>
      <c r="AH123" s="49"/>
      <c r="AI123" s="49"/>
      <c r="AJ123" s="49"/>
      <c r="AK123" s="49"/>
      <c r="AL123" s="49"/>
      <c r="AM123" s="49"/>
      <c r="AN123" s="49"/>
      <c r="AO123" s="49"/>
      <c r="AQ123" s="49"/>
      <c r="AR123" s="49"/>
      <c r="AS123" s="49"/>
      <c r="AT123" s="49"/>
      <c r="AU123" s="49"/>
      <c r="AV123" s="49"/>
      <c r="AW123" s="49"/>
      <c r="AX123" s="49"/>
      <c r="AY123" s="49"/>
    </row>
    <row r="124" spans="1:51" s="207" customFormat="1" ht="15.75" x14ac:dyDescent="0.25">
      <c r="A124" s="49"/>
      <c r="B124" s="49"/>
      <c r="C124" s="48"/>
      <c r="D124" s="60"/>
      <c r="E124" s="60"/>
      <c r="F124" s="60"/>
      <c r="G124" s="50"/>
      <c r="H124" s="61"/>
      <c r="I124" s="61"/>
      <c r="J124" s="61"/>
      <c r="K124" s="61"/>
      <c r="L124" s="61"/>
      <c r="M124" s="44"/>
      <c r="N124" s="44"/>
      <c r="O124" s="44"/>
      <c r="P124" s="44"/>
      <c r="Q124" s="64"/>
      <c r="R124" s="64"/>
      <c r="S124" s="49"/>
      <c r="T124" s="49"/>
      <c r="U124" s="49"/>
      <c r="W124" s="49"/>
      <c r="X124" s="49"/>
      <c r="Y124" s="49"/>
      <c r="Z124" s="49"/>
      <c r="AA124" s="49"/>
      <c r="AB124" s="49"/>
      <c r="AC124" s="49"/>
      <c r="AD124" s="49"/>
      <c r="AE124" s="49"/>
      <c r="AG124" s="49"/>
      <c r="AH124" s="49"/>
      <c r="AI124" s="49"/>
      <c r="AJ124" s="49"/>
      <c r="AK124" s="49"/>
      <c r="AL124" s="49"/>
      <c r="AM124" s="49"/>
      <c r="AN124" s="49"/>
      <c r="AO124" s="49"/>
      <c r="AQ124" s="49"/>
      <c r="AR124" s="49"/>
      <c r="AS124" s="49"/>
      <c r="AT124" s="49"/>
      <c r="AU124" s="49"/>
      <c r="AV124" s="49"/>
      <c r="AW124" s="49"/>
      <c r="AX124" s="49"/>
      <c r="AY124" s="49"/>
    </row>
    <row r="125" spans="1:51" s="207" customFormat="1" ht="15.75" x14ac:dyDescent="0.25">
      <c r="A125" s="49"/>
      <c r="B125" s="49"/>
      <c r="C125" s="48"/>
      <c r="D125" s="60"/>
      <c r="E125" s="60"/>
      <c r="F125" s="60"/>
      <c r="G125" s="50"/>
      <c r="H125" s="61"/>
      <c r="I125" s="61"/>
      <c r="J125" s="61"/>
      <c r="K125" s="61"/>
      <c r="L125" s="61"/>
      <c r="M125" s="44"/>
      <c r="N125" s="44"/>
      <c r="O125" s="44"/>
      <c r="P125" s="44"/>
      <c r="Q125" s="64"/>
      <c r="R125" s="64"/>
      <c r="S125" s="49"/>
      <c r="T125" s="49"/>
      <c r="U125" s="49"/>
      <c r="W125" s="49"/>
      <c r="X125" s="49"/>
      <c r="Y125" s="49"/>
      <c r="Z125" s="49"/>
      <c r="AA125" s="49"/>
      <c r="AB125" s="49"/>
      <c r="AC125" s="49"/>
      <c r="AD125" s="49"/>
      <c r="AE125" s="49"/>
      <c r="AG125" s="49"/>
      <c r="AH125" s="49"/>
      <c r="AI125" s="49"/>
      <c r="AJ125" s="49"/>
      <c r="AK125" s="49"/>
      <c r="AL125" s="49"/>
      <c r="AM125" s="49"/>
      <c r="AN125" s="49"/>
      <c r="AO125" s="49"/>
      <c r="AQ125" s="49"/>
      <c r="AR125" s="49"/>
      <c r="AS125" s="49"/>
      <c r="AT125" s="49"/>
      <c r="AU125" s="49"/>
      <c r="AV125" s="49"/>
      <c r="AW125" s="49"/>
      <c r="AX125" s="49"/>
      <c r="AY125" s="49"/>
    </row>
    <row r="126" spans="1:51" s="207" customFormat="1" ht="15.75" x14ac:dyDescent="0.25">
      <c r="A126" s="49"/>
      <c r="B126" s="49"/>
      <c r="C126" s="48"/>
      <c r="D126" s="60"/>
      <c r="E126" s="60"/>
      <c r="F126" s="60"/>
      <c r="G126" s="50"/>
      <c r="H126" s="61"/>
      <c r="I126" s="61"/>
      <c r="J126" s="61"/>
      <c r="K126" s="61"/>
      <c r="L126" s="61"/>
      <c r="M126" s="44"/>
      <c r="N126" s="44"/>
      <c r="O126" s="44"/>
      <c r="P126" s="44"/>
      <c r="Q126" s="64"/>
      <c r="R126" s="64"/>
      <c r="S126" s="49"/>
      <c r="T126" s="49"/>
      <c r="U126" s="49"/>
      <c r="W126" s="49"/>
      <c r="X126" s="49"/>
      <c r="Y126" s="49"/>
      <c r="Z126" s="49"/>
      <c r="AA126" s="49"/>
      <c r="AB126" s="49"/>
      <c r="AC126" s="49"/>
      <c r="AD126" s="49"/>
      <c r="AE126" s="49"/>
      <c r="AG126" s="49"/>
      <c r="AH126" s="49"/>
      <c r="AI126" s="49"/>
      <c r="AJ126" s="49"/>
      <c r="AK126" s="49"/>
      <c r="AL126" s="49"/>
      <c r="AM126" s="49"/>
      <c r="AN126" s="49"/>
      <c r="AO126" s="49"/>
      <c r="AQ126" s="49"/>
      <c r="AR126" s="49"/>
      <c r="AS126" s="49"/>
      <c r="AT126" s="49"/>
      <c r="AU126" s="49"/>
      <c r="AV126" s="49"/>
      <c r="AW126" s="49"/>
      <c r="AX126" s="49"/>
      <c r="AY126" s="49"/>
    </row>
    <row r="127" spans="1:51" s="207" customFormat="1" ht="15.75" x14ac:dyDescent="0.25">
      <c r="A127" s="49"/>
      <c r="B127" s="49"/>
      <c r="C127" s="48"/>
      <c r="D127" s="60"/>
      <c r="E127" s="60"/>
      <c r="F127" s="60"/>
      <c r="G127" s="50"/>
      <c r="H127" s="61"/>
      <c r="I127" s="61"/>
      <c r="J127" s="61"/>
      <c r="K127" s="61"/>
      <c r="L127" s="61"/>
      <c r="M127" s="44"/>
      <c r="N127" s="44"/>
      <c r="O127" s="44"/>
      <c r="P127" s="44"/>
      <c r="Q127" s="64"/>
      <c r="R127" s="64"/>
      <c r="S127" s="49"/>
      <c r="T127" s="49"/>
      <c r="U127" s="49"/>
      <c r="W127" s="49"/>
      <c r="X127" s="49"/>
      <c r="Y127" s="49"/>
      <c r="Z127" s="49"/>
      <c r="AA127" s="49"/>
      <c r="AB127" s="49"/>
      <c r="AC127" s="49"/>
      <c r="AD127" s="49"/>
      <c r="AE127" s="49"/>
      <c r="AG127" s="49"/>
      <c r="AH127" s="49"/>
      <c r="AI127" s="49"/>
      <c r="AJ127" s="49"/>
      <c r="AK127" s="49"/>
      <c r="AL127" s="49"/>
      <c r="AM127" s="49"/>
      <c r="AN127" s="49"/>
      <c r="AO127" s="49"/>
      <c r="AQ127" s="49"/>
      <c r="AR127" s="49"/>
      <c r="AS127" s="49"/>
      <c r="AT127" s="49"/>
      <c r="AU127" s="49"/>
      <c r="AV127" s="49"/>
      <c r="AW127" s="49"/>
      <c r="AX127" s="49"/>
      <c r="AY127" s="49"/>
    </row>
    <row r="128" spans="1:51" s="207" customFormat="1" ht="15.75" x14ac:dyDescent="0.25">
      <c r="A128" s="49"/>
      <c r="B128" s="49"/>
      <c r="C128" s="48"/>
      <c r="D128" s="60"/>
      <c r="E128" s="60"/>
      <c r="F128" s="60"/>
      <c r="G128" s="50"/>
      <c r="H128" s="61"/>
      <c r="I128" s="61"/>
      <c r="J128" s="61"/>
      <c r="K128" s="61"/>
      <c r="L128" s="61"/>
      <c r="M128" s="44"/>
      <c r="N128" s="44"/>
      <c r="O128" s="44"/>
      <c r="P128" s="44"/>
      <c r="Q128" s="64"/>
      <c r="R128" s="64"/>
      <c r="S128" s="49"/>
      <c r="T128" s="49"/>
      <c r="U128" s="49"/>
      <c r="W128" s="49"/>
      <c r="X128" s="49"/>
      <c r="Y128" s="49"/>
      <c r="Z128" s="49"/>
      <c r="AA128" s="49"/>
      <c r="AB128" s="49"/>
      <c r="AC128" s="49"/>
      <c r="AD128" s="49"/>
      <c r="AE128" s="49"/>
      <c r="AG128" s="49"/>
      <c r="AH128" s="49"/>
      <c r="AI128" s="49"/>
      <c r="AJ128" s="49"/>
      <c r="AK128" s="49"/>
      <c r="AL128" s="49"/>
      <c r="AM128" s="49"/>
      <c r="AN128" s="49"/>
      <c r="AO128" s="49"/>
      <c r="AQ128" s="49"/>
      <c r="AR128" s="49"/>
      <c r="AS128" s="49"/>
      <c r="AT128" s="49"/>
      <c r="AU128" s="49"/>
      <c r="AV128" s="49"/>
      <c r="AW128" s="49"/>
      <c r="AX128" s="49"/>
      <c r="AY128" s="49"/>
    </row>
    <row r="129" spans="1:51" s="207" customFormat="1" ht="15.75" x14ac:dyDescent="0.25">
      <c r="A129" s="49"/>
      <c r="B129" s="49"/>
      <c r="C129" s="48"/>
      <c r="D129" s="60"/>
      <c r="E129" s="60"/>
      <c r="F129" s="60"/>
      <c r="G129" s="50"/>
      <c r="H129" s="61"/>
      <c r="I129" s="61"/>
      <c r="J129" s="61"/>
      <c r="K129" s="61"/>
      <c r="L129" s="61"/>
      <c r="M129" s="44"/>
      <c r="N129" s="44"/>
      <c r="O129" s="44"/>
      <c r="P129" s="44"/>
      <c r="Q129" s="64"/>
      <c r="R129" s="64"/>
      <c r="S129" s="49"/>
      <c r="T129" s="49"/>
      <c r="U129" s="49"/>
      <c r="W129" s="49"/>
      <c r="X129" s="49"/>
      <c r="Y129" s="49"/>
      <c r="Z129" s="49"/>
      <c r="AA129" s="49"/>
      <c r="AB129" s="49"/>
      <c r="AC129" s="49"/>
      <c r="AD129" s="49"/>
      <c r="AE129" s="49"/>
      <c r="AG129" s="49"/>
      <c r="AH129" s="49"/>
      <c r="AI129" s="49"/>
      <c r="AJ129" s="49"/>
      <c r="AK129" s="49"/>
      <c r="AL129" s="49"/>
      <c r="AM129" s="49"/>
      <c r="AN129" s="49"/>
      <c r="AO129" s="49"/>
      <c r="AQ129" s="49"/>
      <c r="AR129" s="49"/>
      <c r="AS129" s="49"/>
      <c r="AT129" s="49"/>
      <c r="AU129" s="49"/>
      <c r="AV129" s="49"/>
      <c r="AW129" s="49"/>
      <c r="AX129" s="49"/>
      <c r="AY129" s="49"/>
    </row>
    <row r="130" spans="1:51" s="207" customFormat="1" ht="15.75" x14ac:dyDescent="0.25">
      <c r="A130" s="49"/>
      <c r="B130" s="49"/>
      <c r="C130" s="48"/>
      <c r="D130" s="60"/>
      <c r="E130" s="60"/>
      <c r="F130" s="60"/>
      <c r="G130" s="50"/>
      <c r="H130" s="61"/>
      <c r="I130" s="61"/>
      <c r="J130" s="61"/>
      <c r="K130" s="61"/>
      <c r="L130" s="61"/>
      <c r="M130" s="44"/>
      <c r="N130" s="44"/>
      <c r="O130" s="44"/>
      <c r="P130" s="44"/>
      <c r="Q130" s="64"/>
      <c r="R130" s="64"/>
      <c r="S130" s="49"/>
      <c r="T130" s="49"/>
      <c r="U130" s="49"/>
      <c r="W130" s="49"/>
      <c r="X130" s="49"/>
      <c r="Y130" s="49"/>
      <c r="Z130" s="49"/>
      <c r="AA130" s="49"/>
      <c r="AB130" s="49"/>
      <c r="AC130" s="49"/>
      <c r="AD130" s="49"/>
      <c r="AE130" s="49"/>
      <c r="AG130" s="49"/>
      <c r="AH130" s="49"/>
      <c r="AI130" s="49"/>
      <c r="AJ130" s="49"/>
      <c r="AK130" s="49"/>
      <c r="AL130" s="49"/>
      <c r="AM130" s="49"/>
      <c r="AN130" s="49"/>
      <c r="AO130" s="49"/>
      <c r="AQ130" s="49"/>
      <c r="AR130" s="49"/>
      <c r="AS130" s="49"/>
      <c r="AT130" s="49"/>
      <c r="AU130" s="49"/>
      <c r="AV130" s="49"/>
      <c r="AW130" s="49"/>
      <c r="AX130" s="49"/>
      <c r="AY130" s="49"/>
    </row>
    <row r="131" spans="1:51" s="207" customFormat="1" ht="15.75" x14ac:dyDescent="0.25">
      <c r="A131" s="49"/>
      <c r="B131" s="49"/>
      <c r="C131" s="48"/>
      <c r="D131" s="60"/>
      <c r="E131" s="60"/>
      <c r="F131" s="60"/>
      <c r="G131" s="50"/>
      <c r="H131" s="61"/>
      <c r="I131" s="61"/>
      <c r="J131" s="61"/>
      <c r="K131" s="61"/>
      <c r="L131" s="61"/>
      <c r="M131" s="44"/>
      <c r="N131" s="44"/>
      <c r="O131" s="44"/>
      <c r="P131" s="44"/>
      <c r="Q131" s="64"/>
      <c r="R131" s="64"/>
      <c r="S131" s="49"/>
      <c r="T131" s="49"/>
      <c r="U131" s="49"/>
      <c r="W131" s="49"/>
      <c r="X131" s="49"/>
      <c r="Y131" s="49"/>
      <c r="Z131" s="49"/>
      <c r="AA131" s="49"/>
      <c r="AB131" s="49"/>
      <c r="AC131" s="49"/>
      <c r="AD131" s="49"/>
      <c r="AE131" s="49"/>
      <c r="AG131" s="49"/>
      <c r="AH131" s="49"/>
      <c r="AI131" s="49"/>
      <c r="AJ131" s="49"/>
      <c r="AK131" s="49"/>
      <c r="AL131" s="49"/>
      <c r="AM131" s="49"/>
      <c r="AN131" s="49"/>
      <c r="AO131" s="49"/>
      <c r="AQ131" s="49"/>
      <c r="AR131" s="49"/>
      <c r="AS131" s="49"/>
      <c r="AT131" s="49"/>
      <c r="AU131" s="49"/>
      <c r="AV131" s="49"/>
      <c r="AW131" s="49"/>
      <c r="AX131" s="49"/>
      <c r="AY131" s="49"/>
    </row>
    <row r="132" spans="1:51" s="207" customFormat="1" ht="15.75" x14ac:dyDescent="0.25">
      <c r="A132" s="49"/>
      <c r="B132" s="49"/>
      <c r="C132" s="48"/>
      <c r="D132" s="60"/>
      <c r="E132" s="60"/>
      <c r="F132" s="60"/>
      <c r="G132" s="50"/>
      <c r="H132" s="61"/>
      <c r="I132" s="61"/>
      <c r="J132" s="61"/>
      <c r="K132" s="61"/>
      <c r="L132" s="61"/>
      <c r="M132" s="44"/>
      <c r="N132" s="44"/>
      <c r="O132" s="44"/>
      <c r="P132" s="44"/>
      <c r="Q132" s="64"/>
      <c r="R132" s="64"/>
      <c r="S132" s="49"/>
      <c r="T132" s="49"/>
      <c r="U132" s="49"/>
      <c r="W132" s="49"/>
      <c r="X132" s="49"/>
      <c r="Y132" s="49"/>
      <c r="Z132" s="49"/>
      <c r="AA132" s="49"/>
      <c r="AB132" s="49"/>
      <c r="AC132" s="49"/>
      <c r="AD132" s="49"/>
      <c r="AE132" s="49"/>
      <c r="AG132" s="49"/>
      <c r="AH132" s="49"/>
      <c r="AI132" s="49"/>
      <c r="AJ132" s="49"/>
      <c r="AK132" s="49"/>
      <c r="AL132" s="49"/>
      <c r="AM132" s="49"/>
      <c r="AN132" s="49"/>
      <c r="AO132" s="49"/>
      <c r="AQ132" s="49"/>
      <c r="AR132" s="49"/>
      <c r="AS132" s="49"/>
      <c r="AT132" s="49"/>
      <c r="AU132" s="49"/>
      <c r="AV132" s="49"/>
      <c r="AW132" s="49"/>
      <c r="AX132" s="49"/>
      <c r="AY132" s="49"/>
    </row>
    <row r="133" spans="1:51" s="207" customFormat="1" ht="15.75" x14ac:dyDescent="0.25">
      <c r="A133" s="49"/>
      <c r="B133" s="49"/>
      <c r="C133" s="48"/>
      <c r="D133" s="60"/>
      <c r="E133" s="60"/>
      <c r="F133" s="60"/>
      <c r="G133" s="50"/>
      <c r="H133" s="61"/>
      <c r="I133" s="61"/>
      <c r="J133" s="61"/>
      <c r="K133" s="61"/>
      <c r="L133" s="61"/>
      <c r="M133" s="44"/>
      <c r="N133" s="44"/>
      <c r="O133" s="44"/>
      <c r="P133" s="44"/>
      <c r="Q133" s="64"/>
      <c r="R133" s="64"/>
      <c r="S133" s="49"/>
      <c r="T133" s="49"/>
      <c r="U133" s="49"/>
      <c r="W133" s="49"/>
      <c r="X133" s="49"/>
      <c r="Y133" s="49"/>
      <c r="Z133" s="49"/>
      <c r="AA133" s="49"/>
      <c r="AB133" s="49"/>
      <c r="AC133" s="49"/>
      <c r="AD133" s="49"/>
      <c r="AE133" s="49"/>
      <c r="AG133" s="49"/>
      <c r="AH133" s="49"/>
      <c r="AI133" s="49"/>
      <c r="AJ133" s="49"/>
      <c r="AK133" s="49"/>
      <c r="AL133" s="49"/>
      <c r="AM133" s="49"/>
      <c r="AN133" s="49"/>
      <c r="AO133" s="49"/>
      <c r="AQ133" s="49"/>
      <c r="AR133" s="49"/>
      <c r="AS133" s="49"/>
      <c r="AT133" s="49"/>
      <c r="AU133" s="49"/>
      <c r="AV133" s="49"/>
      <c r="AW133" s="49"/>
      <c r="AX133" s="49"/>
      <c r="AY133" s="49"/>
    </row>
    <row r="134" spans="1:51" s="207" customFormat="1" ht="15.75" x14ac:dyDescent="0.25">
      <c r="A134" s="49"/>
      <c r="B134" s="49"/>
      <c r="C134" s="48"/>
      <c r="D134" s="60"/>
      <c r="E134" s="60"/>
      <c r="F134" s="60"/>
      <c r="G134" s="50"/>
      <c r="H134" s="61"/>
      <c r="I134" s="61"/>
      <c r="J134" s="61"/>
      <c r="K134" s="61"/>
      <c r="L134" s="61"/>
      <c r="M134" s="44"/>
      <c r="N134" s="44"/>
      <c r="O134" s="44"/>
      <c r="P134" s="44"/>
      <c r="Q134" s="64"/>
      <c r="R134" s="64"/>
      <c r="S134" s="49"/>
      <c r="T134" s="49"/>
      <c r="U134" s="49"/>
      <c r="W134" s="49"/>
      <c r="X134" s="49"/>
      <c r="Y134" s="49"/>
      <c r="Z134" s="49"/>
      <c r="AA134" s="49"/>
      <c r="AB134" s="49"/>
      <c r="AC134" s="49"/>
      <c r="AD134" s="49"/>
      <c r="AE134" s="49"/>
      <c r="AG134" s="49"/>
      <c r="AH134" s="49"/>
      <c r="AI134" s="49"/>
      <c r="AJ134" s="49"/>
      <c r="AK134" s="49"/>
      <c r="AL134" s="49"/>
      <c r="AM134" s="49"/>
      <c r="AN134" s="49"/>
      <c r="AO134" s="49"/>
      <c r="AQ134" s="49"/>
      <c r="AR134" s="49"/>
      <c r="AS134" s="49"/>
      <c r="AT134" s="49"/>
      <c r="AU134" s="49"/>
      <c r="AV134" s="49"/>
      <c r="AW134" s="49"/>
      <c r="AX134" s="49"/>
      <c r="AY134" s="49"/>
    </row>
    <row r="135" spans="1:51" s="207" customFormat="1" ht="15.75" x14ac:dyDescent="0.25">
      <c r="A135" s="49"/>
      <c r="B135" s="49"/>
      <c r="C135" s="48"/>
      <c r="D135" s="60"/>
      <c r="E135" s="60"/>
      <c r="F135" s="60"/>
      <c r="G135" s="50"/>
      <c r="H135" s="61"/>
      <c r="I135" s="61"/>
      <c r="J135" s="61"/>
      <c r="K135" s="61"/>
      <c r="L135" s="61"/>
      <c r="M135" s="44"/>
      <c r="N135" s="44"/>
      <c r="O135" s="44"/>
      <c r="P135" s="44"/>
      <c r="Q135" s="64"/>
      <c r="R135" s="64"/>
      <c r="S135" s="49"/>
      <c r="T135" s="49"/>
      <c r="U135" s="49"/>
      <c r="W135" s="49"/>
      <c r="X135" s="49"/>
      <c r="Y135" s="49"/>
      <c r="Z135" s="49"/>
      <c r="AA135" s="49"/>
      <c r="AB135" s="49"/>
      <c r="AC135" s="49"/>
      <c r="AD135" s="49"/>
      <c r="AE135" s="49"/>
      <c r="AG135" s="49"/>
      <c r="AH135" s="49"/>
      <c r="AI135" s="49"/>
      <c r="AJ135" s="49"/>
      <c r="AK135" s="49"/>
      <c r="AL135" s="49"/>
      <c r="AM135" s="49"/>
      <c r="AN135" s="49"/>
      <c r="AO135" s="49"/>
      <c r="AQ135" s="49"/>
      <c r="AR135" s="49"/>
      <c r="AS135" s="49"/>
      <c r="AT135" s="49"/>
      <c r="AU135" s="49"/>
      <c r="AV135" s="49"/>
      <c r="AW135" s="49"/>
      <c r="AX135" s="49"/>
      <c r="AY135" s="49"/>
    </row>
    <row r="136" spans="1:51" s="207" customFormat="1" ht="15.75" x14ac:dyDescent="0.25">
      <c r="A136" s="49"/>
      <c r="B136" s="49"/>
      <c r="C136" s="48"/>
      <c r="D136" s="60"/>
      <c r="E136" s="60"/>
      <c r="F136" s="60"/>
      <c r="G136" s="50"/>
      <c r="H136" s="61"/>
      <c r="I136" s="61"/>
      <c r="J136" s="61"/>
      <c r="K136" s="61"/>
      <c r="L136" s="61"/>
      <c r="M136" s="44"/>
      <c r="N136" s="44"/>
      <c r="O136" s="44"/>
      <c r="P136" s="44"/>
      <c r="Q136" s="64"/>
      <c r="R136" s="64"/>
      <c r="S136" s="49"/>
      <c r="T136" s="49"/>
      <c r="U136" s="49"/>
      <c r="W136" s="49"/>
      <c r="X136" s="49"/>
      <c r="Y136" s="49"/>
      <c r="Z136" s="49"/>
      <c r="AA136" s="49"/>
      <c r="AB136" s="49"/>
      <c r="AC136" s="49"/>
      <c r="AD136" s="49"/>
      <c r="AE136" s="49"/>
      <c r="AG136" s="49"/>
      <c r="AH136" s="49"/>
      <c r="AI136" s="49"/>
      <c r="AJ136" s="49"/>
      <c r="AK136" s="49"/>
      <c r="AL136" s="49"/>
      <c r="AM136" s="49"/>
      <c r="AN136" s="49"/>
      <c r="AO136" s="49"/>
      <c r="AQ136" s="49"/>
      <c r="AR136" s="49"/>
      <c r="AS136" s="49"/>
      <c r="AT136" s="49"/>
      <c r="AU136" s="49"/>
      <c r="AV136" s="49"/>
      <c r="AW136" s="49"/>
      <c r="AX136" s="49"/>
      <c r="AY136" s="49"/>
    </row>
    <row r="137" spans="1:51" s="207" customFormat="1" ht="15.75" x14ac:dyDescent="0.25">
      <c r="A137" s="49"/>
      <c r="B137" s="49"/>
      <c r="C137" s="48"/>
      <c r="D137" s="60"/>
      <c r="E137" s="60"/>
      <c r="F137" s="60"/>
      <c r="G137" s="50"/>
      <c r="H137" s="61"/>
      <c r="I137" s="61"/>
      <c r="J137" s="61"/>
      <c r="K137" s="61"/>
      <c r="L137" s="61"/>
      <c r="M137" s="44"/>
      <c r="N137" s="44"/>
      <c r="O137" s="44"/>
      <c r="P137" s="44"/>
      <c r="Q137" s="64"/>
      <c r="R137" s="64"/>
      <c r="S137" s="49"/>
      <c r="T137" s="49"/>
      <c r="U137" s="49"/>
      <c r="W137" s="49"/>
      <c r="X137" s="49"/>
      <c r="Y137" s="49"/>
      <c r="Z137" s="49"/>
      <c r="AA137" s="49"/>
      <c r="AB137" s="49"/>
      <c r="AC137" s="49"/>
      <c r="AD137" s="49"/>
      <c r="AE137" s="49"/>
      <c r="AG137" s="49"/>
      <c r="AH137" s="49"/>
      <c r="AI137" s="49"/>
      <c r="AJ137" s="49"/>
      <c r="AK137" s="49"/>
      <c r="AL137" s="49"/>
      <c r="AM137" s="49"/>
      <c r="AN137" s="49"/>
      <c r="AO137" s="49"/>
      <c r="AQ137" s="49"/>
      <c r="AR137" s="49"/>
      <c r="AS137" s="49"/>
      <c r="AT137" s="49"/>
      <c r="AU137" s="49"/>
      <c r="AV137" s="49"/>
      <c r="AW137" s="49"/>
      <c r="AX137" s="49"/>
      <c r="AY137" s="49"/>
    </row>
    <row r="138" spans="1:51" s="207" customFormat="1" ht="15.75" x14ac:dyDescent="0.25">
      <c r="A138" s="49"/>
      <c r="B138" s="49"/>
      <c r="C138" s="48"/>
      <c r="D138" s="60"/>
      <c r="E138" s="60"/>
      <c r="F138" s="60"/>
      <c r="G138" s="50"/>
      <c r="H138" s="61"/>
      <c r="I138" s="61"/>
      <c r="J138" s="61"/>
      <c r="K138" s="61"/>
      <c r="L138" s="61"/>
      <c r="M138" s="44"/>
      <c r="N138" s="44"/>
      <c r="O138" s="44"/>
      <c r="P138" s="44"/>
      <c r="Q138" s="64"/>
      <c r="R138" s="64"/>
      <c r="S138" s="49"/>
      <c r="T138" s="49"/>
      <c r="U138" s="49"/>
      <c r="W138" s="49"/>
      <c r="X138" s="49"/>
      <c r="Y138" s="49"/>
      <c r="Z138" s="49"/>
      <c r="AA138" s="49"/>
      <c r="AB138" s="49"/>
      <c r="AC138" s="49"/>
      <c r="AD138" s="49"/>
      <c r="AE138" s="49"/>
      <c r="AG138" s="49"/>
      <c r="AH138" s="49"/>
      <c r="AI138" s="49"/>
      <c r="AJ138" s="49"/>
      <c r="AK138" s="49"/>
      <c r="AL138" s="49"/>
      <c r="AM138" s="49"/>
      <c r="AN138" s="49"/>
      <c r="AO138" s="49"/>
      <c r="AQ138" s="49"/>
      <c r="AR138" s="49"/>
      <c r="AS138" s="49"/>
      <c r="AT138" s="49"/>
      <c r="AU138" s="49"/>
      <c r="AV138" s="49"/>
      <c r="AW138" s="49"/>
      <c r="AX138" s="49"/>
      <c r="AY138" s="49"/>
    </row>
    <row r="139" spans="1:51" s="207" customFormat="1" ht="15.75" x14ac:dyDescent="0.25">
      <c r="A139" s="49"/>
      <c r="B139" s="49"/>
      <c r="C139" s="48"/>
      <c r="D139" s="60"/>
      <c r="E139" s="60"/>
      <c r="F139" s="60"/>
      <c r="G139" s="50"/>
      <c r="H139" s="61"/>
      <c r="I139" s="61"/>
      <c r="J139" s="61"/>
      <c r="K139" s="61"/>
      <c r="L139" s="61"/>
      <c r="M139" s="44"/>
      <c r="N139" s="44"/>
      <c r="O139" s="44"/>
      <c r="P139" s="44"/>
      <c r="Q139" s="64"/>
      <c r="R139" s="64"/>
      <c r="S139" s="49"/>
      <c r="T139" s="49"/>
      <c r="U139" s="49"/>
      <c r="W139" s="49"/>
      <c r="X139" s="49"/>
      <c r="Y139" s="49"/>
      <c r="Z139" s="49"/>
      <c r="AA139" s="49"/>
      <c r="AB139" s="49"/>
      <c r="AC139" s="49"/>
      <c r="AD139" s="49"/>
      <c r="AE139" s="49"/>
      <c r="AG139" s="49"/>
      <c r="AH139" s="49"/>
      <c r="AI139" s="49"/>
      <c r="AJ139" s="49"/>
      <c r="AK139" s="49"/>
      <c r="AL139" s="49"/>
      <c r="AM139" s="49"/>
      <c r="AN139" s="49"/>
      <c r="AO139" s="49"/>
      <c r="AQ139" s="49"/>
      <c r="AR139" s="49"/>
      <c r="AS139" s="49"/>
      <c r="AT139" s="49"/>
      <c r="AU139" s="49"/>
      <c r="AV139" s="49"/>
      <c r="AW139" s="49"/>
      <c r="AX139" s="49"/>
      <c r="AY139" s="49"/>
    </row>
    <row r="140" spans="1:51" s="207" customFormat="1" ht="15.75" x14ac:dyDescent="0.25">
      <c r="A140" s="49"/>
      <c r="B140" s="49"/>
      <c r="C140" s="48"/>
      <c r="D140" s="60"/>
      <c r="E140" s="60"/>
      <c r="F140" s="60"/>
      <c r="G140" s="50"/>
      <c r="H140" s="61"/>
      <c r="I140" s="61"/>
      <c r="J140" s="61"/>
      <c r="K140" s="61"/>
      <c r="L140" s="61"/>
      <c r="M140" s="44"/>
      <c r="N140" s="44"/>
      <c r="O140" s="44"/>
      <c r="P140" s="44"/>
      <c r="Q140" s="64"/>
      <c r="R140" s="64"/>
      <c r="S140" s="49"/>
      <c r="T140" s="49"/>
      <c r="U140" s="49"/>
      <c r="W140" s="49"/>
      <c r="X140" s="49"/>
      <c r="Y140" s="49"/>
      <c r="Z140" s="49"/>
      <c r="AA140" s="49"/>
      <c r="AB140" s="49"/>
      <c r="AC140" s="49"/>
      <c r="AD140" s="49"/>
      <c r="AE140" s="49"/>
      <c r="AG140" s="49"/>
      <c r="AH140" s="49"/>
      <c r="AI140" s="49"/>
      <c r="AJ140" s="49"/>
      <c r="AK140" s="49"/>
      <c r="AL140" s="49"/>
      <c r="AM140" s="49"/>
      <c r="AN140" s="49"/>
      <c r="AO140" s="49"/>
      <c r="AQ140" s="49"/>
      <c r="AR140" s="49"/>
      <c r="AS140" s="49"/>
      <c r="AT140" s="49"/>
      <c r="AU140" s="49"/>
      <c r="AV140" s="49"/>
      <c r="AW140" s="49"/>
      <c r="AX140" s="49"/>
      <c r="AY140" s="49"/>
    </row>
    <row r="141" spans="1:51" s="207" customFormat="1" ht="15.75" x14ac:dyDescent="0.25">
      <c r="A141" s="49"/>
      <c r="B141" s="49"/>
      <c r="C141" s="48"/>
      <c r="D141" s="60"/>
      <c r="E141" s="60"/>
      <c r="F141" s="60"/>
      <c r="G141" s="50"/>
      <c r="H141" s="61"/>
      <c r="I141" s="61"/>
      <c r="J141" s="61"/>
      <c r="K141" s="61"/>
      <c r="L141" s="61"/>
      <c r="M141" s="44"/>
      <c r="N141" s="44"/>
      <c r="O141" s="44"/>
      <c r="P141" s="44"/>
      <c r="Q141" s="64"/>
      <c r="R141" s="64"/>
      <c r="S141" s="49"/>
      <c r="T141" s="49"/>
      <c r="U141" s="49"/>
      <c r="W141" s="49"/>
      <c r="X141" s="49"/>
      <c r="Y141" s="49"/>
      <c r="Z141" s="49"/>
      <c r="AA141" s="49"/>
      <c r="AB141" s="49"/>
      <c r="AC141" s="49"/>
      <c r="AD141" s="49"/>
      <c r="AE141" s="49"/>
      <c r="AG141" s="49"/>
      <c r="AH141" s="49"/>
      <c r="AI141" s="49"/>
      <c r="AJ141" s="49"/>
      <c r="AK141" s="49"/>
      <c r="AL141" s="49"/>
      <c r="AM141" s="49"/>
      <c r="AN141" s="49"/>
      <c r="AO141" s="49"/>
      <c r="AQ141" s="49"/>
      <c r="AR141" s="49"/>
      <c r="AS141" s="49"/>
      <c r="AT141" s="49"/>
      <c r="AU141" s="49"/>
      <c r="AV141" s="49"/>
      <c r="AW141" s="49"/>
      <c r="AX141" s="49"/>
      <c r="AY141" s="49"/>
    </row>
    <row r="142" spans="1:51" s="207" customFormat="1" ht="15.75" x14ac:dyDescent="0.25">
      <c r="A142" s="49"/>
      <c r="B142" s="49"/>
      <c r="C142" s="48"/>
      <c r="D142" s="60"/>
      <c r="E142" s="60"/>
      <c r="F142" s="60"/>
      <c r="G142" s="50"/>
      <c r="H142" s="61"/>
      <c r="I142" s="61"/>
      <c r="J142" s="61"/>
      <c r="K142" s="61"/>
      <c r="L142" s="61"/>
      <c r="M142" s="44"/>
      <c r="N142" s="44"/>
      <c r="O142" s="44"/>
      <c r="P142" s="44"/>
      <c r="Q142" s="64"/>
      <c r="R142" s="64"/>
      <c r="S142" s="49"/>
      <c r="T142" s="49"/>
      <c r="U142" s="49"/>
      <c r="W142" s="49"/>
      <c r="X142" s="49"/>
      <c r="Y142" s="49"/>
      <c r="Z142" s="49"/>
      <c r="AA142" s="49"/>
      <c r="AB142" s="49"/>
      <c r="AC142" s="49"/>
      <c r="AD142" s="49"/>
      <c r="AE142" s="49"/>
      <c r="AG142" s="49"/>
      <c r="AH142" s="49"/>
      <c r="AI142" s="49"/>
      <c r="AJ142" s="49"/>
      <c r="AK142" s="49"/>
      <c r="AL142" s="49"/>
      <c r="AM142" s="49"/>
      <c r="AN142" s="49"/>
      <c r="AO142" s="49"/>
      <c r="AQ142" s="49"/>
      <c r="AR142" s="49"/>
      <c r="AS142" s="49"/>
      <c r="AT142" s="49"/>
      <c r="AU142" s="49"/>
      <c r="AV142" s="49"/>
      <c r="AW142" s="49"/>
      <c r="AX142" s="49"/>
      <c r="AY142" s="49"/>
    </row>
    <row r="143" spans="1:51" s="207" customFormat="1" ht="15.75" x14ac:dyDescent="0.25">
      <c r="A143" s="49"/>
      <c r="B143" s="49"/>
      <c r="C143" s="48"/>
      <c r="D143" s="60"/>
      <c r="E143" s="60"/>
      <c r="F143" s="60"/>
      <c r="G143" s="50"/>
      <c r="H143" s="61"/>
      <c r="I143" s="61"/>
      <c r="J143" s="61"/>
      <c r="K143" s="61"/>
      <c r="L143" s="61"/>
      <c r="M143" s="44"/>
      <c r="N143" s="44"/>
      <c r="O143" s="44"/>
      <c r="P143" s="44"/>
      <c r="Q143" s="64"/>
      <c r="R143" s="64"/>
      <c r="S143" s="49"/>
      <c r="T143" s="49"/>
      <c r="U143" s="49"/>
      <c r="W143" s="49"/>
      <c r="X143" s="49"/>
      <c r="Y143" s="49"/>
      <c r="Z143" s="49"/>
      <c r="AA143" s="49"/>
      <c r="AB143" s="49"/>
      <c r="AC143" s="49"/>
      <c r="AD143" s="49"/>
      <c r="AE143" s="49"/>
      <c r="AG143" s="49"/>
      <c r="AH143" s="49"/>
      <c r="AI143" s="49"/>
      <c r="AJ143" s="49"/>
      <c r="AK143" s="49"/>
      <c r="AL143" s="49"/>
      <c r="AM143" s="49"/>
      <c r="AN143" s="49"/>
      <c r="AO143" s="49"/>
      <c r="AQ143" s="49"/>
      <c r="AR143" s="49"/>
      <c r="AS143" s="49"/>
      <c r="AT143" s="49"/>
      <c r="AU143" s="49"/>
      <c r="AV143" s="49"/>
      <c r="AW143" s="49"/>
      <c r="AX143" s="49"/>
      <c r="AY143" s="49"/>
    </row>
    <row r="144" spans="1:51" s="207" customFormat="1" ht="15.75" x14ac:dyDescent="0.25">
      <c r="A144" s="49"/>
      <c r="B144" s="49"/>
      <c r="C144" s="48"/>
      <c r="D144" s="60"/>
      <c r="E144" s="60"/>
      <c r="F144" s="60"/>
      <c r="G144" s="50"/>
      <c r="H144" s="61"/>
      <c r="I144" s="61"/>
      <c r="J144" s="61"/>
      <c r="K144" s="61"/>
      <c r="L144" s="61"/>
      <c r="M144" s="44"/>
      <c r="N144" s="44"/>
      <c r="O144" s="44"/>
      <c r="P144" s="44"/>
      <c r="Q144" s="64"/>
      <c r="R144" s="64"/>
      <c r="S144" s="49"/>
      <c r="T144" s="49"/>
      <c r="U144" s="49"/>
      <c r="W144" s="49"/>
      <c r="X144" s="49"/>
      <c r="Y144" s="49"/>
      <c r="Z144" s="49"/>
      <c r="AA144" s="49"/>
      <c r="AB144" s="49"/>
      <c r="AC144" s="49"/>
      <c r="AD144" s="49"/>
      <c r="AE144" s="49"/>
      <c r="AG144" s="49"/>
      <c r="AH144" s="49"/>
      <c r="AI144" s="49"/>
      <c r="AJ144" s="49"/>
      <c r="AK144" s="49"/>
      <c r="AL144" s="49"/>
      <c r="AM144" s="49"/>
      <c r="AN144" s="49"/>
      <c r="AO144" s="49"/>
      <c r="AQ144" s="49"/>
      <c r="AR144" s="49"/>
      <c r="AS144" s="49"/>
      <c r="AT144" s="49"/>
      <c r="AU144" s="49"/>
      <c r="AV144" s="49"/>
      <c r="AW144" s="49"/>
      <c r="AX144" s="49"/>
      <c r="AY144" s="49"/>
    </row>
    <row r="145" spans="1:51" s="207" customFormat="1" ht="15.75" x14ac:dyDescent="0.25">
      <c r="A145" s="49"/>
      <c r="B145" s="49"/>
      <c r="C145" s="48"/>
      <c r="D145" s="60"/>
      <c r="E145" s="60"/>
      <c r="F145" s="60"/>
      <c r="G145" s="50"/>
      <c r="H145" s="61"/>
      <c r="I145" s="61"/>
      <c r="J145" s="61"/>
      <c r="K145" s="61"/>
      <c r="L145" s="61"/>
      <c r="M145" s="44"/>
      <c r="N145" s="44"/>
      <c r="O145" s="44"/>
      <c r="P145" s="44"/>
      <c r="Q145" s="64"/>
      <c r="R145" s="64"/>
      <c r="S145" s="49"/>
      <c r="T145" s="49"/>
      <c r="U145" s="49"/>
      <c r="W145" s="49"/>
      <c r="X145" s="49"/>
      <c r="Y145" s="49"/>
      <c r="Z145" s="49"/>
      <c r="AA145" s="49"/>
      <c r="AB145" s="49"/>
      <c r="AC145" s="49"/>
      <c r="AD145" s="49"/>
      <c r="AE145" s="49"/>
      <c r="AG145" s="49"/>
      <c r="AH145" s="49"/>
      <c r="AI145" s="49"/>
      <c r="AJ145" s="49"/>
      <c r="AK145" s="49"/>
      <c r="AL145" s="49"/>
      <c r="AM145" s="49"/>
      <c r="AN145" s="49"/>
      <c r="AO145" s="49"/>
      <c r="AQ145" s="49"/>
      <c r="AR145" s="49"/>
      <c r="AS145" s="49"/>
      <c r="AT145" s="49"/>
      <c r="AU145" s="49"/>
      <c r="AV145" s="49"/>
      <c r="AW145" s="49"/>
      <c r="AX145" s="49"/>
      <c r="AY145" s="49"/>
    </row>
    <row r="146" spans="1:51" s="207" customFormat="1" ht="15.75" x14ac:dyDescent="0.25">
      <c r="A146" s="49"/>
      <c r="B146" s="49"/>
      <c r="C146" s="48"/>
      <c r="D146" s="60"/>
      <c r="E146" s="60"/>
      <c r="F146" s="60"/>
      <c r="G146" s="50"/>
      <c r="H146" s="61"/>
      <c r="I146" s="61"/>
      <c r="J146" s="61"/>
      <c r="K146" s="61"/>
      <c r="L146" s="61"/>
      <c r="M146" s="44"/>
      <c r="N146" s="44"/>
      <c r="O146" s="44"/>
      <c r="P146" s="44"/>
      <c r="Q146" s="64"/>
      <c r="R146" s="64"/>
      <c r="S146" s="49"/>
      <c r="T146" s="49"/>
      <c r="U146" s="49"/>
      <c r="W146" s="49"/>
      <c r="X146" s="49"/>
      <c r="Y146" s="49"/>
      <c r="Z146" s="49"/>
      <c r="AA146" s="49"/>
      <c r="AB146" s="49"/>
      <c r="AC146" s="49"/>
      <c r="AD146" s="49"/>
      <c r="AE146" s="49"/>
      <c r="AG146" s="49"/>
      <c r="AH146" s="49"/>
      <c r="AI146" s="49"/>
      <c r="AJ146" s="49"/>
      <c r="AK146" s="49"/>
      <c r="AL146" s="49"/>
      <c r="AM146" s="49"/>
      <c r="AN146" s="49"/>
      <c r="AO146" s="49"/>
      <c r="AQ146" s="49"/>
      <c r="AR146" s="49"/>
      <c r="AS146" s="49"/>
      <c r="AT146" s="49"/>
      <c r="AU146" s="49"/>
      <c r="AV146" s="49"/>
      <c r="AW146" s="49"/>
      <c r="AX146" s="49"/>
      <c r="AY146" s="49"/>
    </row>
    <row r="147" spans="1:51" s="207" customFormat="1" ht="15.75" x14ac:dyDescent="0.25">
      <c r="A147" s="49"/>
      <c r="B147" s="49"/>
      <c r="C147" s="48"/>
      <c r="D147" s="60"/>
      <c r="E147" s="60"/>
      <c r="F147" s="60"/>
      <c r="G147" s="50"/>
      <c r="H147" s="61"/>
      <c r="I147" s="61"/>
      <c r="J147" s="61"/>
      <c r="K147" s="61"/>
      <c r="L147" s="61"/>
      <c r="M147" s="44"/>
      <c r="N147" s="44"/>
      <c r="O147" s="44"/>
      <c r="P147" s="44"/>
      <c r="Q147" s="64"/>
      <c r="R147" s="64"/>
      <c r="S147" s="49"/>
      <c r="T147" s="49"/>
      <c r="U147" s="49"/>
      <c r="W147" s="49"/>
      <c r="X147" s="49"/>
      <c r="Y147" s="49"/>
      <c r="Z147" s="49"/>
      <c r="AA147" s="49"/>
      <c r="AB147" s="49"/>
      <c r="AC147" s="49"/>
      <c r="AD147" s="49"/>
      <c r="AE147" s="49"/>
      <c r="AG147" s="49"/>
      <c r="AH147" s="49"/>
      <c r="AI147" s="49"/>
      <c r="AJ147" s="49"/>
      <c r="AK147" s="49"/>
      <c r="AL147" s="49"/>
      <c r="AM147" s="49"/>
      <c r="AN147" s="49"/>
      <c r="AO147" s="49"/>
      <c r="AQ147" s="49"/>
      <c r="AR147" s="49"/>
      <c r="AS147" s="49"/>
      <c r="AT147" s="49"/>
      <c r="AU147" s="49"/>
      <c r="AV147" s="49"/>
      <c r="AW147" s="49"/>
      <c r="AX147" s="49"/>
      <c r="AY147" s="49"/>
    </row>
    <row r="148" spans="1:51" s="207" customFormat="1" ht="15.75" x14ac:dyDescent="0.25">
      <c r="A148" s="49"/>
      <c r="B148" s="49"/>
      <c r="C148" s="48"/>
      <c r="D148" s="60"/>
      <c r="E148" s="60"/>
      <c r="F148" s="60"/>
      <c r="G148" s="50"/>
      <c r="H148" s="61"/>
      <c r="I148" s="61"/>
      <c r="J148" s="61"/>
      <c r="K148" s="61"/>
      <c r="L148" s="61"/>
      <c r="M148" s="44"/>
      <c r="N148" s="44"/>
      <c r="O148" s="44"/>
      <c r="P148" s="44"/>
      <c r="Q148" s="64"/>
      <c r="R148" s="64"/>
      <c r="S148" s="49"/>
      <c r="T148" s="49"/>
      <c r="U148" s="49"/>
      <c r="W148" s="49"/>
      <c r="X148" s="49"/>
      <c r="Y148" s="49"/>
      <c r="Z148" s="49"/>
      <c r="AA148" s="49"/>
      <c r="AB148" s="49"/>
      <c r="AC148" s="49"/>
      <c r="AD148" s="49"/>
      <c r="AE148" s="49"/>
      <c r="AG148" s="49"/>
      <c r="AH148" s="49"/>
      <c r="AI148" s="49"/>
      <c r="AJ148" s="49"/>
      <c r="AK148" s="49"/>
      <c r="AL148" s="49"/>
      <c r="AM148" s="49"/>
      <c r="AN148" s="49"/>
      <c r="AO148" s="49"/>
      <c r="AQ148" s="49"/>
      <c r="AR148" s="49"/>
      <c r="AS148" s="49"/>
      <c r="AT148" s="49"/>
      <c r="AU148" s="49"/>
      <c r="AV148" s="49"/>
      <c r="AW148" s="49"/>
      <c r="AX148" s="49"/>
      <c r="AY148" s="49"/>
    </row>
    <row r="149" spans="1:51" s="207" customFormat="1" ht="15.75" x14ac:dyDescent="0.25">
      <c r="A149" s="49"/>
      <c r="B149" s="49"/>
      <c r="C149" s="48"/>
      <c r="D149" s="60"/>
      <c r="E149" s="60"/>
      <c r="F149" s="60"/>
      <c r="G149" s="50"/>
      <c r="H149" s="61"/>
      <c r="I149" s="61"/>
      <c r="J149" s="61"/>
      <c r="K149" s="61"/>
      <c r="L149" s="61"/>
      <c r="M149" s="44"/>
      <c r="N149" s="44"/>
      <c r="O149" s="44"/>
      <c r="P149" s="44"/>
      <c r="Q149" s="64"/>
      <c r="R149" s="64"/>
      <c r="S149" s="49"/>
      <c r="T149" s="49"/>
      <c r="U149" s="49"/>
      <c r="W149" s="49"/>
      <c r="X149" s="49"/>
      <c r="Y149" s="49"/>
      <c r="Z149" s="49"/>
      <c r="AA149" s="49"/>
      <c r="AB149" s="49"/>
      <c r="AC149" s="49"/>
      <c r="AD149" s="49"/>
      <c r="AE149" s="49"/>
      <c r="AG149" s="49"/>
      <c r="AH149" s="49"/>
      <c r="AI149" s="49"/>
      <c r="AJ149" s="49"/>
      <c r="AK149" s="49"/>
      <c r="AL149" s="49"/>
      <c r="AM149" s="49"/>
      <c r="AN149" s="49"/>
      <c r="AO149" s="49"/>
      <c r="AQ149" s="49"/>
      <c r="AR149" s="49"/>
      <c r="AS149" s="49"/>
      <c r="AT149" s="49"/>
      <c r="AU149" s="49"/>
      <c r="AV149" s="49"/>
      <c r="AW149" s="49"/>
      <c r="AX149" s="49"/>
      <c r="AY149" s="49"/>
    </row>
    <row r="150" spans="1:51" s="207" customFormat="1" ht="15.75" x14ac:dyDescent="0.25">
      <c r="A150" s="49"/>
      <c r="B150" s="49"/>
      <c r="C150" s="48"/>
      <c r="D150" s="60"/>
      <c r="E150" s="60"/>
      <c r="F150" s="60"/>
      <c r="G150" s="50"/>
      <c r="H150" s="61"/>
      <c r="I150" s="61"/>
      <c r="J150" s="61"/>
      <c r="K150" s="61"/>
      <c r="L150" s="61"/>
      <c r="M150" s="44"/>
      <c r="N150" s="44"/>
      <c r="O150" s="44"/>
      <c r="P150" s="44"/>
      <c r="Q150" s="64"/>
      <c r="R150" s="64"/>
      <c r="S150" s="49"/>
      <c r="T150" s="49"/>
      <c r="U150" s="49"/>
      <c r="W150" s="49"/>
      <c r="X150" s="49"/>
      <c r="Y150" s="49"/>
      <c r="Z150" s="49"/>
      <c r="AA150" s="49"/>
      <c r="AB150" s="49"/>
      <c r="AC150" s="49"/>
      <c r="AD150" s="49"/>
      <c r="AE150" s="49"/>
      <c r="AG150" s="49"/>
      <c r="AH150" s="49"/>
      <c r="AI150" s="49"/>
      <c r="AJ150" s="49"/>
      <c r="AK150" s="49"/>
      <c r="AL150" s="49"/>
      <c r="AM150" s="49"/>
      <c r="AN150" s="49"/>
      <c r="AO150" s="49"/>
      <c r="AQ150" s="49"/>
      <c r="AR150" s="49"/>
      <c r="AS150" s="49"/>
      <c r="AT150" s="49"/>
      <c r="AU150" s="49"/>
      <c r="AV150" s="49"/>
      <c r="AW150" s="49"/>
      <c r="AX150" s="49"/>
      <c r="AY150" s="49"/>
    </row>
    <row r="151" spans="1:51" s="207" customFormat="1" ht="15.75" x14ac:dyDescent="0.25">
      <c r="A151" s="49"/>
      <c r="B151" s="49"/>
      <c r="C151" s="48"/>
      <c r="D151" s="60"/>
      <c r="E151" s="60"/>
      <c r="F151" s="60"/>
      <c r="G151" s="50"/>
      <c r="H151" s="61"/>
      <c r="I151" s="61"/>
      <c r="J151" s="61"/>
      <c r="K151" s="61"/>
      <c r="L151" s="61"/>
      <c r="M151" s="44"/>
      <c r="N151" s="44"/>
      <c r="O151" s="44"/>
      <c r="P151" s="44"/>
      <c r="Q151" s="64"/>
      <c r="R151" s="64"/>
      <c r="S151" s="49"/>
      <c r="T151" s="49"/>
      <c r="U151" s="49"/>
      <c r="W151" s="49"/>
      <c r="X151" s="49"/>
      <c r="Y151" s="49"/>
      <c r="Z151" s="49"/>
      <c r="AA151" s="49"/>
      <c r="AB151" s="49"/>
      <c r="AC151" s="49"/>
      <c r="AD151" s="49"/>
      <c r="AE151" s="49"/>
      <c r="AG151" s="49"/>
      <c r="AH151" s="49"/>
      <c r="AI151" s="49"/>
      <c r="AJ151" s="49"/>
      <c r="AK151" s="49"/>
      <c r="AL151" s="49"/>
      <c r="AM151" s="49"/>
      <c r="AN151" s="49"/>
      <c r="AO151" s="49"/>
      <c r="AQ151" s="49"/>
      <c r="AR151" s="49"/>
      <c r="AS151" s="49"/>
      <c r="AT151" s="49"/>
      <c r="AU151" s="49"/>
      <c r="AV151" s="49"/>
      <c r="AW151" s="49"/>
      <c r="AX151" s="49"/>
      <c r="AY151" s="49"/>
    </row>
    <row r="152" spans="1:51" s="207" customFormat="1" ht="15.75" x14ac:dyDescent="0.25">
      <c r="A152" s="49"/>
      <c r="B152" s="49"/>
      <c r="C152" s="48"/>
      <c r="D152" s="60"/>
      <c r="E152" s="60"/>
      <c r="F152" s="60"/>
      <c r="G152" s="50"/>
      <c r="H152" s="61"/>
      <c r="I152" s="61"/>
      <c r="J152" s="61"/>
      <c r="K152" s="61"/>
      <c r="L152" s="61"/>
      <c r="M152" s="44"/>
      <c r="N152" s="44"/>
      <c r="O152" s="44"/>
      <c r="P152" s="44"/>
      <c r="Q152" s="64"/>
      <c r="R152" s="64"/>
      <c r="S152" s="49"/>
      <c r="T152" s="49"/>
      <c r="U152" s="49"/>
      <c r="W152" s="49"/>
      <c r="X152" s="49"/>
      <c r="Y152" s="49"/>
      <c r="Z152" s="49"/>
      <c r="AA152" s="49"/>
      <c r="AB152" s="49"/>
      <c r="AC152" s="49"/>
      <c r="AD152" s="49"/>
      <c r="AE152" s="49"/>
      <c r="AG152" s="49"/>
      <c r="AH152" s="49"/>
      <c r="AI152" s="49"/>
      <c r="AJ152" s="49"/>
      <c r="AK152" s="49"/>
      <c r="AL152" s="49"/>
      <c r="AM152" s="49"/>
      <c r="AN152" s="49"/>
      <c r="AO152" s="49"/>
      <c r="AQ152" s="49"/>
      <c r="AR152" s="49"/>
      <c r="AS152" s="49"/>
      <c r="AT152" s="49"/>
      <c r="AU152" s="49"/>
      <c r="AV152" s="49"/>
      <c r="AW152" s="49"/>
      <c r="AX152" s="49"/>
      <c r="AY152" s="49"/>
    </row>
    <row r="153" spans="1:51" s="207" customFormat="1" ht="15.75" x14ac:dyDescent="0.25">
      <c r="A153" s="49"/>
      <c r="B153" s="49"/>
      <c r="C153" s="48"/>
      <c r="D153" s="60"/>
      <c r="E153" s="60"/>
      <c r="F153" s="60"/>
      <c r="G153" s="50"/>
      <c r="H153" s="61"/>
      <c r="I153" s="61"/>
      <c r="J153" s="61"/>
      <c r="K153" s="61"/>
      <c r="L153" s="61"/>
      <c r="M153" s="44"/>
      <c r="N153" s="44"/>
      <c r="O153" s="44"/>
      <c r="P153" s="44"/>
      <c r="Q153" s="64"/>
      <c r="R153" s="64"/>
      <c r="S153" s="49"/>
      <c r="T153" s="49"/>
      <c r="U153" s="49"/>
      <c r="W153" s="49"/>
      <c r="X153" s="49"/>
      <c r="Y153" s="49"/>
      <c r="Z153" s="49"/>
      <c r="AA153" s="49"/>
      <c r="AB153" s="49"/>
      <c r="AC153" s="49"/>
      <c r="AD153" s="49"/>
      <c r="AE153" s="49"/>
      <c r="AG153" s="49"/>
      <c r="AH153" s="49"/>
      <c r="AI153" s="49"/>
      <c r="AJ153" s="49"/>
      <c r="AK153" s="49"/>
      <c r="AL153" s="49"/>
      <c r="AM153" s="49"/>
      <c r="AN153" s="49"/>
      <c r="AO153" s="49"/>
      <c r="AQ153" s="49"/>
      <c r="AR153" s="49"/>
      <c r="AS153" s="49"/>
      <c r="AT153" s="49"/>
      <c r="AU153" s="49"/>
      <c r="AV153" s="49"/>
      <c r="AW153" s="49"/>
      <c r="AX153" s="49"/>
      <c r="AY153" s="49"/>
    </row>
    <row r="154" spans="1:51" s="207" customFormat="1" ht="15.75" x14ac:dyDescent="0.25">
      <c r="A154" s="49"/>
      <c r="B154" s="49"/>
      <c r="C154" s="48"/>
      <c r="D154" s="60"/>
      <c r="E154" s="60"/>
      <c r="F154" s="60"/>
      <c r="G154" s="50"/>
      <c r="H154" s="61"/>
      <c r="I154" s="61"/>
      <c r="J154" s="61"/>
      <c r="K154" s="61"/>
      <c r="L154" s="61"/>
      <c r="M154" s="44"/>
      <c r="N154" s="44"/>
      <c r="O154" s="44"/>
      <c r="P154" s="44"/>
      <c r="Q154" s="64"/>
      <c r="R154" s="64"/>
      <c r="S154" s="49"/>
      <c r="T154" s="49"/>
      <c r="U154" s="49"/>
      <c r="W154" s="49"/>
      <c r="X154" s="49"/>
      <c r="Y154" s="49"/>
      <c r="Z154" s="49"/>
      <c r="AA154" s="49"/>
      <c r="AB154" s="49"/>
      <c r="AC154" s="49"/>
      <c r="AD154" s="49"/>
      <c r="AE154" s="49"/>
      <c r="AG154" s="49"/>
      <c r="AH154" s="49"/>
      <c r="AI154" s="49"/>
      <c r="AJ154" s="49"/>
      <c r="AK154" s="49"/>
      <c r="AL154" s="49"/>
      <c r="AM154" s="49"/>
      <c r="AN154" s="49"/>
      <c r="AO154" s="49"/>
      <c r="AQ154" s="49"/>
      <c r="AR154" s="49"/>
      <c r="AS154" s="49"/>
      <c r="AT154" s="49"/>
      <c r="AU154" s="49"/>
      <c r="AV154" s="49"/>
      <c r="AW154" s="49"/>
      <c r="AX154" s="49"/>
      <c r="AY154" s="49"/>
    </row>
    <row r="155" spans="1:51" s="207" customFormat="1" ht="15.75" x14ac:dyDescent="0.25">
      <c r="A155" s="49"/>
      <c r="B155" s="49"/>
      <c r="C155" s="48"/>
      <c r="D155" s="60"/>
      <c r="E155" s="60"/>
      <c r="F155" s="60"/>
      <c r="G155" s="50"/>
      <c r="H155" s="61"/>
      <c r="I155" s="61"/>
      <c r="J155" s="61"/>
      <c r="K155" s="61"/>
      <c r="L155" s="61"/>
      <c r="M155" s="44"/>
      <c r="N155" s="44"/>
      <c r="O155" s="44"/>
      <c r="P155" s="44"/>
      <c r="Q155" s="64"/>
      <c r="R155" s="64"/>
      <c r="S155" s="49"/>
      <c r="T155" s="49"/>
      <c r="U155" s="49"/>
      <c r="W155" s="49"/>
      <c r="X155" s="49"/>
      <c r="Y155" s="49"/>
      <c r="Z155" s="49"/>
      <c r="AA155" s="49"/>
      <c r="AB155" s="49"/>
      <c r="AC155" s="49"/>
      <c r="AD155" s="49"/>
      <c r="AE155" s="49"/>
      <c r="AG155" s="49"/>
      <c r="AH155" s="49"/>
      <c r="AI155" s="49"/>
      <c r="AJ155" s="49"/>
      <c r="AK155" s="49"/>
      <c r="AL155" s="49"/>
      <c r="AM155" s="49"/>
      <c r="AN155" s="49"/>
      <c r="AO155" s="49"/>
      <c r="AQ155" s="49"/>
      <c r="AR155" s="49"/>
      <c r="AS155" s="49"/>
      <c r="AT155" s="49"/>
      <c r="AU155" s="49"/>
      <c r="AV155" s="49"/>
      <c r="AW155" s="49"/>
      <c r="AX155" s="49"/>
      <c r="AY155" s="49"/>
    </row>
    <row r="156" spans="1:51" s="207" customFormat="1" ht="15.75" x14ac:dyDescent="0.25">
      <c r="A156" s="49"/>
      <c r="B156" s="49"/>
      <c r="C156" s="48"/>
      <c r="D156" s="60"/>
      <c r="E156" s="60"/>
      <c r="F156" s="60"/>
      <c r="G156" s="50"/>
      <c r="H156" s="61"/>
      <c r="I156" s="61"/>
      <c r="J156" s="61"/>
      <c r="K156" s="61"/>
      <c r="L156" s="61"/>
      <c r="M156" s="44"/>
      <c r="N156" s="44"/>
      <c r="O156" s="44"/>
      <c r="P156" s="44"/>
      <c r="Q156" s="64"/>
      <c r="R156" s="64"/>
      <c r="S156" s="49"/>
      <c r="T156" s="49"/>
      <c r="U156" s="49"/>
      <c r="W156" s="49"/>
      <c r="X156" s="49"/>
      <c r="Y156" s="49"/>
      <c r="Z156" s="49"/>
      <c r="AA156" s="49"/>
      <c r="AB156" s="49"/>
      <c r="AC156" s="49"/>
      <c r="AD156" s="49"/>
      <c r="AE156" s="49"/>
      <c r="AG156" s="49"/>
      <c r="AH156" s="49"/>
      <c r="AI156" s="49"/>
      <c r="AJ156" s="49"/>
      <c r="AK156" s="49"/>
      <c r="AL156" s="49"/>
      <c r="AM156" s="49"/>
      <c r="AN156" s="49"/>
      <c r="AO156" s="49"/>
      <c r="AQ156" s="49"/>
      <c r="AR156" s="49"/>
      <c r="AS156" s="49"/>
      <c r="AT156" s="49"/>
      <c r="AU156" s="49"/>
      <c r="AV156" s="49"/>
      <c r="AW156" s="49"/>
      <c r="AX156" s="49"/>
      <c r="AY156" s="49"/>
    </row>
    <row r="157" spans="1:51" s="207" customFormat="1" ht="15.75" x14ac:dyDescent="0.25">
      <c r="A157" s="49"/>
      <c r="B157" s="49"/>
      <c r="C157" s="48"/>
      <c r="D157" s="60"/>
      <c r="E157" s="60"/>
      <c r="F157" s="60"/>
      <c r="G157" s="50"/>
      <c r="H157" s="61"/>
      <c r="I157" s="61"/>
      <c r="J157" s="61"/>
      <c r="K157" s="61"/>
      <c r="L157" s="61"/>
      <c r="M157" s="44"/>
      <c r="N157" s="44"/>
      <c r="O157" s="44"/>
      <c r="P157" s="44"/>
      <c r="Q157" s="64"/>
      <c r="R157" s="64"/>
      <c r="S157" s="49"/>
      <c r="T157" s="49"/>
      <c r="U157" s="49"/>
      <c r="W157" s="49"/>
      <c r="X157" s="49"/>
      <c r="Y157" s="49"/>
      <c r="Z157" s="49"/>
      <c r="AA157" s="49"/>
      <c r="AB157" s="49"/>
      <c r="AC157" s="49"/>
      <c r="AD157" s="49"/>
      <c r="AE157" s="49"/>
      <c r="AG157" s="49"/>
      <c r="AH157" s="49"/>
      <c r="AI157" s="49"/>
      <c r="AJ157" s="49"/>
      <c r="AK157" s="49"/>
      <c r="AL157" s="49"/>
      <c r="AM157" s="49"/>
      <c r="AN157" s="49"/>
      <c r="AO157" s="49"/>
      <c r="AQ157" s="49"/>
      <c r="AR157" s="49"/>
      <c r="AS157" s="49"/>
      <c r="AT157" s="49"/>
      <c r="AU157" s="49"/>
      <c r="AV157" s="49"/>
      <c r="AW157" s="49"/>
      <c r="AX157" s="49"/>
      <c r="AY157" s="49"/>
    </row>
    <row r="158" spans="1:51" s="207" customFormat="1" ht="15.75" x14ac:dyDescent="0.25">
      <c r="A158" s="49"/>
      <c r="B158" s="49"/>
      <c r="C158" s="48"/>
      <c r="D158" s="60"/>
      <c r="E158" s="60"/>
      <c r="F158" s="60"/>
      <c r="G158" s="50"/>
      <c r="H158" s="61"/>
      <c r="I158" s="61"/>
      <c r="J158" s="61"/>
      <c r="K158" s="61"/>
      <c r="L158" s="61"/>
      <c r="M158" s="44"/>
      <c r="N158" s="44"/>
      <c r="O158" s="44"/>
      <c r="P158" s="44"/>
      <c r="Q158" s="64"/>
      <c r="R158" s="64"/>
      <c r="S158" s="49"/>
      <c r="T158" s="49"/>
      <c r="U158" s="49"/>
      <c r="W158" s="49"/>
      <c r="X158" s="49"/>
      <c r="Y158" s="49"/>
      <c r="Z158" s="49"/>
      <c r="AA158" s="49"/>
      <c r="AB158" s="49"/>
      <c r="AC158" s="49"/>
      <c r="AD158" s="49"/>
      <c r="AE158" s="49"/>
      <c r="AG158" s="49"/>
      <c r="AH158" s="49"/>
      <c r="AI158" s="49"/>
      <c r="AJ158" s="49"/>
      <c r="AK158" s="49"/>
      <c r="AL158" s="49"/>
      <c r="AM158" s="49"/>
      <c r="AN158" s="49"/>
      <c r="AO158" s="49"/>
      <c r="AQ158" s="49"/>
      <c r="AR158" s="49"/>
      <c r="AS158" s="49"/>
      <c r="AT158" s="49"/>
      <c r="AU158" s="49"/>
      <c r="AV158" s="49"/>
      <c r="AW158" s="49"/>
      <c r="AX158" s="49"/>
      <c r="AY158" s="49"/>
    </row>
    <row r="159" spans="1:51" s="207" customFormat="1" ht="15.75" x14ac:dyDescent="0.25">
      <c r="A159" s="49"/>
      <c r="B159" s="49"/>
      <c r="C159" s="48"/>
      <c r="D159" s="60"/>
      <c r="E159" s="60"/>
      <c r="F159" s="60"/>
      <c r="G159" s="50"/>
      <c r="H159" s="61"/>
      <c r="I159" s="61"/>
      <c r="J159" s="61"/>
      <c r="K159" s="61"/>
      <c r="L159" s="61"/>
      <c r="M159" s="44"/>
      <c r="N159" s="44"/>
      <c r="O159" s="44"/>
      <c r="P159" s="44"/>
      <c r="Q159" s="64"/>
      <c r="R159" s="64"/>
      <c r="S159" s="49"/>
      <c r="T159" s="49"/>
      <c r="U159" s="49"/>
      <c r="W159" s="49"/>
      <c r="X159" s="49"/>
      <c r="Y159" s="49"/>
      <c r="Z159" s="49"/>
      <c r="AA159" s="49"/>
      <c r="AB159" s="49"/>
      <c r="AC159" s="49"/>
      <c r="AD159" s="49"/>
      <c r="AE159" s="49"/>
      <c r="AG159" s="49"/>
      <c r="AH159" s="49"/>
      <c r="AI159" s="49"/>
      <c r="AJ159" s="49"/>
      <c r="AK159" s="49"/>
      <c r="AL159" s="49"/>
      <c r="AM159" s="49"/>
      <c r="AN159" s="49"/>
      <c r="AO159" s="49"/>
      <c r="AQ159" s="49"/>
      <c r="AR159" s="49"/>
      <c r="AS159" s="49"/>
      <c r="AT159" s="49"/>
      <c r="AU159" s="49"/>
      <c r="AV159" s="49"/>
      <c r="AW159" s="49"/>
      <c r="AX159" s="49"/>
      <c r="AY159" s="49"/>
    </row>
    <row r="160" spans="1:51" s="207" customFormat="1" ht="15.75" x14ac:dyDescent="0.25">
      <c r="A160" s="49"/>
      <c r="B160" s="49"/>
      <c r="C160" s="48"/>
      <c r="D160" s="60"/>
      <c r="E160" s="60"/>
      <c r="F160" s="60"/>
      <c r="G160" s="50"/>
      <c r="H160" s="61"/>
      <c r="I160" s="61"/>
      <c r="J160" s="61"/>
      <c r="K160" s="61"/>
      <c r="L160" s="61"/>
      <c r="M160" s="44"/>
      <c r="N160" s="44"/>
      <c r="O160" s="44"/>
      <c r="P160" s="44"/>
      <c r="Q160" s="64"/>
      <c r="R160" s="64"/>
      <c r="S160" s="49"/>
      <c r="T160" s="49"/>
      <c r="U160" s="49"/>
      <c r="W160" s="49"/>
      <c r="X160" s="49"/>
      <c r="Y160" s="49"/>
      <c r="Z160" s="49"/>
      <c r="AA160" s="49"/>
      <c r="AB160" s="49"/>
      <c r="AC160" s="49"/>
      <c r="AD160" s="49"/>
      <c r="AE160" s="49"/>
      <c r="AG160" s="49"/>
      <c r="AH160" s="49"/>
      <c r="AI160" s="49"/>
      <c r="AJ160" s="49"/>
      <c r="AK160" s="49"/>
      <c r="AL160" s="49"/>
      <c r="AM160" s="49"/>
      <c r="AN160" s="49"/>
      <c r="AO160" s="49"/>
      <c r="AQ160" s="49"/>
      <c r="AR160" s="49"/>
      <c r="AS160" s="49"/>
      <c r="AT160" s="49"/>
      <c r="AU160" s="49"/>
      <c r="AV160" s="49"/>
      <c r="AW160" s="49"/>
      <c r="AX160" s="49"/>
      <c r="AY160" s="49"/>
    </row>
    <row r="161" spans="1:51" s="207" customFormat="1" ht="15.75" x14ac:dyDescent="0.25">
      <c r="A161" s="49"/>
      <c r="B161" s="49"/>
      <c r="C161" s="48"/>
      <c r="D161" s="60"/>
      <c r="E161" s="60"/>
      <c r="F161" s="60"/>
      <c r="G161" s="50"/>
      <c r="H161" s="61"/>
      <c r="I161" s="61"/>
      <c r="J161" s="61"/>
      <c r="K161" s="61"/>
      <c r="L161" s="61"/>
      <c r="M161" s="44"/>
      <c r="N161" s="44"/>
      <c r="O161" s="44"/>
      <c r="P161" s="44"/>
      <c r="Q161" s="64"/>
      <c r="R161" s="64"/>
      <c r="S161" s="49"/>
      <c r="T161" s="49"/>
      <c r="U161" s="49"/>
      <c r="W161" s="49"/>
      <c r="X161" s="49"/>
      <c r="Y161" s="49"/>
      <c r="Z161" s="49"/>
      <c r="AA161" s="49"/>
      <c r="AB161" s="49"/>
      <c r="AC161" s="49"/>
      <c r="AD161" s="49"/>
      <c r="AE161" s="49"/>
      <c r="AG161" s="49"/>
      <c r="AH161" s="49"/>
      <c r="AI161" s="49"/>
      <c r="AJ161" s="49"/>
      <c r="AK161" s="49"/>
      <c r="AL161" s="49"/>
      <c r="AM161" s="49"/>
      <c r="AN161" s="49"/>
      <c r="AO161" s="49"/>
      <c r="AQ161" s="49"/>
      <c r="AR161" s="49"/>
      <c r="AS161" s="49"/>
      <c r="AT161" s="49"/>
      <c r="AU161" s="49"/>
      <c r="AV161" s="49"/>
      <c r="AW161" s="49"/>
      <c r="AX161" s="49"/>
      <c r="AY161" s="49"/>
    </row>
    <row r="162" spans="1:51" s="207" customFormat="1" ht="15.75" x14ac:dyDescent="0.25">
      <c r="A162" s="49"/>
      <c r="B162" s="49"/>
      <c r="C162" s="48"/>
      <c r="D162" s="60"/>
      <c r="E162" s="60"/>
      <c r="F162" s="60"/>
      <c r="G162" s="50"/>
      <c r="H162" s="61"/>
      <c r="I162" s="61"/>
      <c r="J162" s="61"/>
      <c r="K162" s="61"/>
      <c r="L162" s="61"/>
      <c r="M162" s="44"/>
      <c r="N162" s="44"/>
      <c r="O162" s="44"/>
      <c r="P162" s="44"/>
      <c r="Q162" s="64"/>
      <c r="R162" s="64"/>
      <c r="S162" s="49"/>
      <c r="T162" s="49"/>
      <c r="U162" s="49"/>
      <c r="W162" s="49"/>
      <c r="X162" s="49"/>
      <c r="Y162" s="49"/>
      <c r="Z162" s="49"/>
      <c r="AA162" s="49"/>
      <c r="AB162" s="49"/>
      <c r="AC162" s="49"/>
      <c r="AD162" s="49"/>
      <c r="AE162" s="49"/>
      <c r="AG162" s="49"/>
      <c r="AH162" s="49"/>
      <c r="AI162" s="49"/>
      <c r="AJ162" s="49"/>
      <c r="AK162" s="49"/>
      <c r="AL162" s="49"/>
      <c r="AM162" s="49"/>
      <c r="AN162" s="49"/>
      <c r="AO162" s="49"/>
      <c r="AQ162" s="49"/>
      <c r="AR162" s="49"/>
      <c r="AS162" s="49"/>
      <c r="AT162" s="49"/>
      <c r="AU162" s="49"/>
      <c r="AV162" s="49"/>
      <c r="AW162" s="49"/>
      <c r="AX162" s="49"/>
      <c r="AY162" s="49"/>
    </row>
    <row r="163" spans="1:51" s="207" customFormat="1" ht="15.75" x14ac:dyDescent="0.25">
      <c r="A163" s="49"/>
      <c r="B163" s="49"/>
      <c r="C163" s="48"/>
      <c r="D163" s="60"/>
      <c r="E163" s="60"/>
      <c r="F163" s="60"/>
      <c r="G163" s="50"/>
      <c r="H163" s="61"/>
      <c r="I163" s="61"/>
      <c r="J163" s="61"/>
      <c r="K163" s="61"/>
      <c r="L163" s="61"/>
      <c r="M163" s="44"/>
      <c r="N163" s="44"/>
      <c r="O163" s="44"/>
      <c r="P163" s="44"/>
      <c r="Q163" s="64"/>
      <c r="R163" s="64"/>
      <c r="S163" s="49"/>
      <c r="T163" s="49"/>
      <c r="U163" s="49"/>
      <c r="W163" s="49"/>
      <c r="X163" s="49"/>
      <c r="Y163" s="49"/>
      <c r="Z163" s="49"/>
      <c r="AA163" s="49"/>
      <c r="AB163" s="49"/>
      <c r="AC163" s="49"/>
      <c r="AD163" s="49"/>
      <c r="AE163" s="49"/>
      <c r="AG163" s="49"/>
      <c r="AH163" s="49"/>
      <c r="AI163" s="49"/>
      <c r="AJ163" s="49"/>
      <c r="AK163" s="49"/>
      <c r="AL163" s="49"/>
      <c r="AM163" s="49"/>
      <c r="AN163" s="49"/>
      <c r="AO163" s="49"/>
      <c r="AQ163" s="49"/>
      <c r="AR163" s="49"/>
      <c r="AS163" s="49"/>
      <c r="AT163" s="49"/>
      <c r="AU163" s="49"/>
      <c r="AV163" s="49"/>
      <c r="AW163" s="49"/>
      <c r="AX163" s="49"/>
      <c r="AY163" s="49"/>
    </row>
    <row r="164" spans="1:51" s="207" customFormat="1" ht="15.75" x14ac:dyDescent="0.25">
      <c r="A164" s="49"/>
      <c r="B164" s="49"/>
      <c r="C164" s="48"/>
      <c r="D164" s="60"/>
      <c r="E164" s="60"/>
      <c r="F164" s="60"/>
      <c r="G164" s="50"/>
      <c r="H164" s="61"/>
      <c r="I164" s="61"/>
      <c r="J164" s="61"/>
      <c r="K164" s="61"/>
      <c r="L164" s="61"/>
      <c r="M164" s="44"/>
      <c r="N164" s="44"/>
      <c r="O164" s="44"/>
      <c r="P164" s="44"/>
      <c r="Q164" s="64"/>
      <c r="R164" s="64"/>
      <c r="S164" s="49"/>
      <c r="T164" s="49"/>
      <c r="U164" s="49"/>
      <c r="W164" s="49"/>
      <c r="X164" s="49"/>
      <c r="Y164" s="49"/>
      <c r="Z164" s="49"/>
      <c r="AA164" s="49"/>
      <c r="AB164" s="49"/>
      <c r="AC164" s="49"/>
      <c r="AD164" s="49"/>
      <c r="AE164" s="49"/>
      <c r="AG164" s="49"/>
      <c r="AH164" s="49"/>
      <c r="AI164" s="49"/>
      <c r="AJ164" s="49"/>
      <c r="AK164" s="49"/>
      <c r="AL164" s="49"/>
      <c r="AM164" s="49"/>
      <c r="AN164" s="49"/>
      <c r="AO164" s="49"/>
      <c r="AQ164" s="49"/>
      <c r="AR164" s="49"/>
      <c r="AS164" s="49"/>
      <c r="AT164" s="49"/>
      <c r="AU164" s="49"/>
      <c r="AV164" s="49"/>
      <c r="AW164" s="49"/>
      <c r="AX164" s="49"/>
      <c r="AY164" s="49"/>
    </row>
    <row r="165" spans="1:51" s="207" customFormat="1" ht="15.75" x14ac:dyDescent="0.25">
      <c r="A165" s="49"/>
      <c r="B165" s="49"/>
      <c r="C165" s="48"/>
      <c r="D165" s="60"/>
      <c r="E165" s="60"/>
      <c r="F165" s="60"/>
      <c r="G165" s="50"/>
      <c r="H165" s="61"/>
      <c r="I165" s="61"/>
      <c r="J165" s="61"/>
      <c r="K165" s="61"/>
      <c r="L165" s="61"/>
      <c r="M165" s="44"/>
      <c r="N165" s="44"/>
      <c r="O165" s="44"/>
      <c r="P165" s="44"/>
      <c r="Q165" s="64"/>
      <c r="R165" s="64"/>
      <c r="S165" s="49"/>
      <c r="T165" s="49"/>
      <c r="U165" s="49"/>
      <c r="W165" s="49"/>
      <c r="X165" s="49"/>
      <c r="Y165" s="49"/>
      <c r="Z165" s="49"/>
      <c r="AA165" s="49"/>
      <c r="AB165" s="49"/>
      <c r="AC165" s="49"/>
      <c r="AD165" s="49"/>
      <c r="AE165" s="49"/>
      <c r="AG165" s="49"/>
      <c r="AH165" s="49"/>
      <c r="AI165" s="49"/>
      <c r="AJ165" s="49"/>
      <c r="AK165" s="49"/>
      <c r="AL165" s="49"/>
      <c r="AM165" s="49"/>
      <c r="AN165" s="49"/>
      <c r="AO165" s="49"/>
      <c r="AQ165" s="49"/>
      <c r="AR165" s="49"/>
      <c r="AS165" s="49"/>
      <c r="AT165" s="49"/>
      <c r="AU165" s="49"/>
      <c r="AV165" s="49"/>
      <c r="AW165" s="49"/>
      <c r="AX165" s="49"/>
      <c r="AY165" s="49"/>
    </row>
    <row r="166" spans="1:51" s="207" customFormat="1" ht="15.75" x14ac:dyDescent="0.25">
      <c r="A166" s="49"/>
      <c r="B166" s="49"/>
      <c r="C166" s="48"/>
      <c r="D166" s="60"/>
      <c r="E166" s="60"/>
      <c r="F166" s="60"/>
      <c r="G166" s="50"/>
      <c r="H166" s="61"/>
      <c r="I166" s="61"/>
      <c r="J166" s="61"/>
      <c r="K166" s="61"/>
      <c r="L166" s="61"/>
      <c r="M166" s="44"/>
      <c r="N166" s="44"/>
      <c r="O166" s="44"/>
      <c r="P166" s="44"/>
      <c r="Q166" s="64"/>
      <c r="R166" s="64"/>
      <c r="S166" s="49"/>
      <c r="T166" s="49"/>
      <c r="U166" s="49"/>
      <c r="W166" s="49"/>
      <c r="X166" s="49"/>
      <c r="Y166" s="49"/>
      <c r="Z166" s="49"/>
      <c r="AA166" s="49"/>
      <c r="AB166" s="49"/>
      <c r="AC166" s="49"/>
      <c r="AD166" s="49"/>
      <c r="AE166" s="49"/>
      <c r="AG166" s="49"/>
      <c r="AH166" s="49"/>
      <c r="AI166" s="49"/>
      <c r="AJ166" s="49"/>
      <c r="AK166" s="49"/>
      <c r="AL166" s="49"/>
      <c r="AM166" s="49"/>
      <c r="AN166" s="49"/>
      <c r="AO166" s="49"/>
      <c r="AQ166" s="49"/>
      <c r="AR166" s="49"/>
      <c r="AS166" s="49"/>
      <c r="AT166" s="49"/>
      <c r="AU166" s="49"/>
      <c r="AV166" s="49"/>
      <c r="AW166" s="49"/>
      <c r="AX166" s="49"/>
      <c r="AY166" s="49"/>
    </row>
    <row r="167" spans="1:51" s="207" customFormat="1" ht="15.75" x14ac:dyDescent="0.25">
      <c r="A167" s="49"/>
      <c r="B167" s="49"/>
      <c r="C167" s="48"/>
      <c r="D167" s="60"/>
      <c r="E167" s="60"/>
      <c r="F167" s="60"/>
      <c r="G167" s="50"/>
      <c r="H167" s="61"/>
      <c r="I167" s="61"/>
      <c r="J167" s="61"/>
      <c r="K167" s="61"/>
      <c r="L167" s="61"/>
      <c r="M167" s="44"/>
      <c r="N167" s="44"/>
      <c r="O167" s="44"/>
      <c r="P167" s="44"/>
      <c r="Q167" s="64"/>
      <c r="R167" s="64"/>
      <c r="S167" s="49"/>
      <c r="T167" s="49"/>
      <c r="U167" s="49"/>
      <c r="W167" s="49"/>
      <c r="X167" s="49"/>
      <c r="Y167" s="49"/>
      <c r="Z167" s="49"/>
      <c r="AA167" s="49"/>
      <c r="AB167" s="49"/>
      <c r="AC167" s="49"/>
      <c r="AD167" s="49"/>
      <c r="AE167" s="49"/>
      <c r="AG167" s="49"/>
      <c r="AH167" s="49"/>
      <c r="AI167" s="49"/>
      <c r="AJ167" s="49"/>
      <c r="AK167" s="49"/>
      <c r="AL167" s="49"/>
      <c r="AM167" s="49"/>
      <c r="AN167" s="49"/>
      <c r="AO167" s="49"/>
      <c r="AQ167" s="49"/>
      <c r="AR167" s="49"/>
      <c r="AS167" s="49"/>
      <c r="AT167" s="49"/>
      <c r="AU167" s="49"/>
      <c r="AV167" s="49"/>
      <c r="AW167" s="49"/>
      <c r="AX167" s="49"/>
      <c r="AY167" s="49"/>
    </row>
    <row r="168" spans="1:51" s="207" customFormat="1" ht="15.75" x14ac:dyDescent="0.25">
      <c r="A168" s="49"/>
      <c r="B168" s="49"/>
      <c r="C168" s="48"/>
      <c r="D168" s="60"/>
      <c r="E168" s="60"/>
      <c r="F168" s="60"/>
      <c r="G168" s="50"/>
      <c r="H168" s="61"/>
      <c r="I168" s="61"/>
      <c r="J168" s="61"/>
      <c r="K168" s="61"/>
      <c r="L168" s="61"/>
      <c r="M168" s="44"/>
      <c r="N168" s="44"/>
      <c r="O168" s="44"/>
      <c r="P168" s="44"/>
      <c r="Q168" s="64"/>
      <c r="R168" s="64"/>
      <c r="S168" s="49"/>
      <c r="T168" s="49"/>
      <c r="U168" s="49"/>
      <c r="W168" s="49"/>
      <c r="X168" s="49"/>
      <c r="Y168" s="49"/>
      <c r="Z168" s="49"/>
      <c r="AA168" s="49"/>
      <c r="AB168" s="49"/>
      <c r="AC168" s="49"/>
      <c r="AD168" s="49"/>
      <c r="AE168" s="49"/>
      <c r="AG168" s="49"/>
      <c r="AH168" s="49"/>
      <c r="AI168" s="49"/>
      <c r="AJ168" s="49"/>
      <c r="AK168" s="49"/>
      <c r="AL168" s="49"/>
      <c r="AM168" s="49"/>
      <c r="AN168" s="49"/>
      <c r="AO168" s="49"/>
      <c r="AQ168" s="49"/>
      <c r="AR168" s="49"/>
      <c r="AS168" s="49"/>
      <c r="AT168" s="49"/>
      <c r="AU168" s="49"/>
      <c r="AV168" s="49"/>
      <c r="AW168" s="49"/>
      <c r="AX168" s="49"/>
      <c r="AY168" s="49"/>
    </row>
    <row r="169" spans="1:51" s="207" customFormat="1" ht="15.75" x14ac:dyDescent="0.25">
      <c r="A169" s="49"/>
      <c r="B169" s="49"/>
      <c r="C169" s="48"/>
      <c r="D169" s="60"/>
      <c r="E169" s="60"/>
      <c r="F169" s="60"/>
      <c r="G169" s="50"/>
      <c r="H169" s="61"/>
      <c r="I169" s="61"/>
      <c r="J169" s="61"/>
      <c r="K169" s="61"/>
      <c r="L169" s="61"/>
      <c r="M169" s="44"/>
      <c r="N169" s="44"/>
      <c r="O169" s="44"/>
      <c r="P169" s="44"/>
      <c r="Q169" s="64"/>
      <c r="R169" s="64"/>
      <c r="S169" s="49"/>
      <c r="T169" s="49"/>
      <c r="U169" s="49"/>
      <c r="W169" s="49"/>
      <c r="X169" s="49"/>
      <c r="Y169" s="49"/>
      <c r="Z169" s="49"/>
      <c r="AA169" s="49"/>
      <c r="AB169" s="49"/>
      <c r="AC169" s="49"/>
      <c r="AD169" s="49"/>
      <c r="AE169" s="49"/>
      <c r="AG169" s="49"/>
      <c r="AH169" s="49"/>
      <c r="AI169" s="49"/>
      <c r="AJ169" s="49"/>
      <c r="AK169" s="49"/>
      <c r="AL169" s="49"/>
      <c r="AM169" s="49"/>
      <c r="AN169" s="49"/>
      <c r="AO169" s="49"/>
      <c r="AQ169" s="49"/>
      <c r="AR169" s="49"/>
      <c r="AS169" s="49"/>
      <c r="AT169" s="49"/>
      <c r="AU169" s="49"/>
      <c r="AV169" s="49"/>
      <c r="AW169" s="49"/>
      <c r="AX169" s="49"/>
      <c r="AY169" s="49"/>
    </row>
    <row r="170" spans="1:51" s="207" customFormat="1" ht="15.75" x14ac:dyDescent="0.25">
      <c r="A170" s="49"/>
      <c r="B170" s="49"/>
      <c r="C170" s="48"/>
      <c r="D170" s="60"/>
      <c r="E170" s="60"/>
      <c r="F170" s="60"/>
      <c r="G170" s="50"/>
      <c r="H170" s="61"/>
      <c r="I170" s="61"/>
      <c r="J170" s="61"/>
      <c r="K170" s="61"/>
      <c r="L170" s="61"/>
      <c r="M170" s="44"/>
      <c r="N170" s="44"/>
      <c r="O170" s="44"/>
      <c r="P170" s="44"/>
      <c r="Q170" s="64"/>
      <c r="R170" s="64"/>
      <c r="S170" s="49"/>
      <c r="T170" s="49"/>
      <c r="U170" s="49"/>
      <c r="W170" s="49"/>
      <c r="X170" s="49"/>
      <c r="Y170" s="49"/>
      <c r="Z170" s="49"/>
      <c r="AA170" s="49"/>
      <c r="AB170" s="49"/>
      <c r="AC170" s="49"/>
      <c r="AD170" s="49"/>
      <c r="AE170" s="49"/>
      <c r="AG170" s="49"/>
      <c r="AH170" s="49"/>
      <c r="AI170" s="49"/>
      <c r="AJ170" s="49"/>
      <c r="AK170" s="49"/>
      <c r="AL170" s="49"/>
      <c r="AM170" s="49"/>
      <c r="AN170" s="49"/>
      <c r="AO170" s="49"/>
      <c r="AQ170" s="49"/>
      <c r="AR170" s="49"/>
      <c r="AS170" s="49"/>
      <c r="AT170" s="49"/>
      <c r="AU170" s="49"/>
      <c r="AV170" s="49"/>
      <c r="AW170" s="49"/>
      <c r="AX170" s="49"/>
      <c r="AY170" s="49"/>
    </row>
    <row r="171" spans="1:51" s="207" customFormat="1" ht="15.75" x14ac:dyDescent="0.25">
      <c r="A171" s="49"/>
      <c r="B171" s="49"/>
      <c r="C171" s="48"/>
      <c r="D171" s="60"/>
      <c r="E171" s="60"/>
      <c r="F171" s="60"/>
      <c r="G171" s="50"/>
      <c r="H171" s="61"/>
      <c r="I171" s="61"/>
      <c r="J171" s="61"/>
      <c r="K171" s="61"/>
      <c r="L171" s="61"/>
      <c r="M171" s="44"/>
      <c r="N171" s="44"/>
      <c r="O171" s="44"/>
      <c r="P171" s="44"/>
      <c r="Q171" s="64"/>
      <c r="R171" s="64"/>
      <c r="S171" s="49"/>
      <c r="T171" s="49"/>
      <c r="U171" s="49"/>
      <c r="W171" s="49"/>
      <c r="X171" s="49"/>
      <c r="Y171" s="49"/>
      <c r="Z171" s="49"/>
      <c r="AA171" s="49"/>
      <c r="AB171" s="49"/>
      <c r="AC171" s="49"/>
      <c r="AD171" s="49"/>
      <c r="AE171" s="49"/>
      <c r="AG171" s="49"/>
      <c r="AH171" s="49"/>
      <c r="AI171" s="49"/>
      <c r="AJ171" s="49"/>
      <c r="AK171" s="49"/>
      <c r="AL171" s="49"/>
      <c r="AM171" s="49"/>
      <c r="AN171" s="49"/>
      <c r="AO171" s="49"/>
      <c r="AQ171" s="49"/>
      <c r="AR171" s="49"/>
      <c r="AS171" s="49"/>
      <c r="AT171" s="49"/>
      <c r="AU171" s="49"/>
      <c r="AV171" s="49"/>
      <c r="AW171" s="49"/>
      <c r="AX171" s="49"/>
      <c r="AY171" s="49"/>
    </row>
    <row r="172" spans="1:51" s="207" customFormat="1" ht="15.75" x14ac:dyDescent="0.25">
      <c r="A172" s="49"/>
      <c r="B172" s="49"/>
      <c r="C172" s="48"/>
      <c r="D172" s="60"/>
      <c r="E172" s="60"/>
      <c r="F172" s="60"/>
      <c r="G172" s="50"/>
      <c r="H172" s="61"/>
      <c r="I172" s="61"/>
      <c r="J172" s="61"/>
      <c r="K172" s="61"/>
      <c r="L172" s="61"/>
      <c r="M172" s="44"/>
      <c r="N172" s="44"/>
      <c r="O172" s="44"/>
      <c r="P172" s="44"/>
      <c r="Q172" s="64"/>
      <c r="R172" s="64"/>
      <c r="S172" s="49"/>
      <c r="T172" s="49"/>
      <c r="U172" s="49"/>
      <c r="W172" s="49"/>
      <c r="X172" s="49"/>
      <c r="Y172" s="49"/>
      <c r="Z172" s="49"/>
      <c r="AA172" s="49"/>
      <c r="AB172" s="49"/>
      <c r="AC172" s="49"/>
      <c r="AD172" s="49"/>
      <c r="AE172" s="49"/>
      <c r="AG172" s="49"/>
      <c r="AH172" s="49"/>
      <c r="AI172" s="49"/>
      <c r="AJ172" s="49"/>
      <c r="AK172" s="49"/>
      <c r="AL172" s="49"/>
      <c r="AM172" s="49"/>
      <c r="AN172" s="49"/>
      <c r="AO172" s="49"/>
      <c r="AQ172" s="49"/>
      <c r="AR172" s="49"/>
      <c r="AS172" s="49"/>
      <c r="AT172" s="49"/>
      <c r="AU172" s="49"/>
      <c r="AV172" s="49"/>
      <c r="AW172" s="49"/>
      <c r="AX172" s="49"/>
      <c r="AY172" s="49"/>
    </row>
    <row r="173" spans="1:51" s="207" customFormat="1" ht="15.75" x14ac:dyDescent="0.25">
      <c r="A173" s="49"/>
      <c r="B173" s="49"/>
      <c r="C173" s="48"/>
      <c r="D173" s="60"/>
      <c r="E173" s="60"/>
      <c r="F173" s="60"/>
      <c r="G173" s="50"/>
      <c r="H173" s="61"/>
      <c r="I173" s="61"/>
      <c r="J173" s="61"/>
      <c r="K173" s="61"/>
      <c r="L173" s="61"/>
      <c r="M173" s="44"/>
      <c r="N173" s="44"/>
      <c r="O173" s="44"/>
      <c r="P173" s="44"/>
      <c r="Q173" s="64"/>
      <c r="R173" s="64"/>
      <c r="S173" s="49"/>
      <c r="T173" s="49"/>
      <c r="U173" s="49"/>
      <c r="W173" s="49"/>
      <c r="X173" s="49"/>
      <c r="Y173" s="49"/>
      <c r="Z173" s="49"/>
      <c r="AA173" s="49"/>
      <c r="AB173" s="49"/>
      <c r="AC173" s="49"/>
      <c r="AD173" s="49"/>
      <c r="AE173" s="49"/>
      <c r="AG173" s="49"/>
      <c r="AH173" s="49"/>
      <c r="AI173" s="49"/>
      <c r="AJ173" s="49"/>
      <c r="AK173" s="49"/>
      <c r="AL173" s="49"/>
      <c r="AM173" s="49"/>
      <c r="AN173" s="49"/>
      <c r="AO173" s="49"/>
      <c r="AQ173" s="49"/>
      <c r="AR173" s="49"/>
      <c r="AS173" s="49"/>
      <c r="AT173" s="49"/>
      <c r="AU173" s="49"/>
      <c r="AV173" s="49"/>
      <c r="AW173" s="49"/>
      <c r="AX173" s="49"/>
      <c r="AY173" s="49"/>
    </row>
    <row r="174" spans="1:51" s="207" customFormat="1" ht="15.75" x14ac:dyDescent="0.25">
      <c r="A174" s="49"/>
      <c r="B174" s="49"/>
      <c r="C174" s="48"/>
      <c r="D174" s="60"/>
      <c r="E174" s="60"/>
      <c r="F174" s="60"/>
      <c r="G174" s="50"/>
      <c r="H174" s="61"/>
      <c r="I174" s="61"/>
      <c r="J174" s="61"/>
      <c r="K174" s="61"/>
      <c r="L174" s="61"/>
      <c r="M174" s="44"/>
      <c r="N174" s="44"/>
      <c r="O174" s="44"/>
      <c r="P174" s="44"/>
      <c r="Q174" s="64"/>
      <c r="R174" s="64"/>
      <c r="S174" s="49"/>
      <c r="T174" s="49"/>
      <c r="U174" s="49"/>
      <c r="W174" s="49"/>
      <c r="X174" s="49"/>
      <c r="Y174" s="49"/>
      <c r="Z174" s="49"/>
      <c r="AA174" s="49"/>
      <c r="AB174" s="49"/>
      <c r="AC174" s="49"/>
      <c r="AD174" s="49"/>
      <c r="AE174" s="49"/>
      <c r="AG174" s="49"/>
      <c r="AH174" s="49"/>
      <c r="AI174" s="49"/>
      <c r="AJ174" s="49"/>
      <c r="AK174" s="49"/>
      <c r="AL174" s="49"/>
      <c r="AM174" s="49"/>
      <c r="AN174" s="49"/>
      <c r="AO174" s="49"/>
      <c r="AQ174" s="49"/>
      <c r="AR174" s="49"/>
      <c r="AS174" s="49"/>
      <c r="AT174" s="49"/>
      <c r="AU174" s="49"/>
      <c r="AV174" s="49"/>
      <c r="AW174" s="49"/>
      <c r="AX174" s="49"/>
      <c r="AY174" s="49"/>
    </row>
    <row r="175" spans="1:51" s="207" customFormat="1" ht="15.75" x14ac:dyDescent="0.25">
      <c r="A175" s="49"/>
      <c r="B175" s="49"/>
      <c r="C175" s="48"/>
      <c r="D175" s="60"/>
      <c r="E175" s="60"/>
      <c r="F175" s="60"/>
      <c r="G175" s="50"/>
      <c r="H175" s="61"/>
      <c r="I175" s="61"/>
      <c r="J175" s="61"/>
      <c r="K175" s="61"/>
      <c r="L175" s="61"/>
      <c r="M175" s="44"/>
      <c r="N175" s="44"/>
      <c r="O175" s="44"/>
      <c r="P175" s="44"/>
      <c r="Q175" s="64"/>
      <c r="R175" s="64"/>
      <c r="S175" s="49"/>
      <c r="T175" s="49"/>
      <c r="U175" s="49"/>
      <c r="W175" s="49"/>
      <c r="X175" s="49"/>
      <c r="Y175" s="49"/>
      <c r="Z175" s="49"/>
      <c r="AA175" s="49"/>
      <c r="AB175" s="49"/>
      <c r="AC175" s="49"/>
      <c r="AD175" s="49"/>
      <c r="AE175" s="49"/>
      <c r="AG175" s="49"/>
      <c r="AH175" s="49"/>
      <c r="AI175" s="49"/>
      <c r="AJ175" s="49"/>
      <c r="AK175" s="49"/>
      <c r="AL175" s="49"/>
      <c r="AM175" s="49"/>
      <c r="AN175" s="49"/>
      <c r="AO175" s="49"/>
      <c r="AQ175" s="49"/>
      <c r="AR175" s="49"/>
      <c r="AS175" s="49"/>
      <c r="AT175" s="49"/>
      <c r="AU175" s="49"/>
      <c r="AV175" s="49"/>
      <c r="AW175" s="49"/>
      <c r="AX175" s="49"/>
      <c r="AY175" s="49"/>
    </row>
    <row r="176" spans="1:51" s="207" customFormat="1" ht="15.75" x14ac:dyDescent="0.25">
      <c r="A176" s="49"/>
      <c r="B176" s="49"/>
      <c r="C176" s="48"/>
      <c r="D176" s="60"/>
      <c r="E176" s="60"/>
      <c r="F176" s="60"/>
      <c r="G176" s="50"/>
      <c r="H176" s="61"/>
      <c r="I176" s="61"/>
      <c r="J176" s="61"/>
      <c r="K176" s="61"/>
      <c r="L176" s="61"/>
      <c r="M176" s="44"/>
      <c r="N176" s="44"/>
      <c r="O176" s="44"/>
      <c r="P176" s="44"/>
      <c r="Q176" s="64"/>
      <c r="R176" s="64"/>
      <c r="S176" s="49"/>
      <c r="T176" s="49"/>
      <c r="U176" s="49"/>
      <c r="W176" s="49"/>
      <c r="X176" s="49"/>
      <c r="Y176" s="49"/>
      <c r="Z176" s="49"/>
      <c r="AA176" s="49"/>
      <c r="AB176" s="49"/>
      <c r="AC176" s="49"/>
      <c r="AD176" s="49"/>
      <c r="AE176" s="49"/>
      <c r="AG176" s="49"/>
      <c r="AH176" s="49"/>
      <c r="AI176" s="49"/>
      <c r="AJ176" s="49"/>
      <c r="AK176" s="49"/>
      <c r="AL176" s="49"/>
      <c r="AM176" s="49"/>
      <c r="AN176" s="49"/>
      <c r="AO176" s="49"/>
      <c r="AQ176" s="49"/>
      <c r="AR176" s="49"/>
      <c r="AS176" s="49"/>
      <c r="AT176" s="49"/>
      <c r="AU176" s="49"/>
      <c r="AV176" s="49"/>
      <c r="AW176" s="49"/>
      <c r="AX176" s="49"/>
      <c r="AY176" s="49"/>
    </row>
    <row r="177" spans="1:51" s="207" customFormat="1" ht="15.75" x14ac:dyDescent="0.25">
      <c r="A177" s="49"/>
      <c r="B177" s="49"/>
      <c r="C177" s="48"/>
      <c r="D177" s="60"/>
      <c r="E177" s="60"/>
      <c r="F177" s="60"/>
      <c r="G177" s="50"/>
      <c r="H177" s="61"/>
      <c r="I177" s="61"/>
      <c r="J177" s="61"/>
      <c r="K177" s="61"/>
      <c r="L177" s="61"/>
      <c r="M177" s="44"/>
      <c r="N177" s="44"/>
      <c r="O177" s="44"/>
      <c r="P177" s="44"/>
      <c r="Q177" s="64"/>
      <c r="R177" s="64"/>
      <c r="S177" s="49"/>
      <c r="T177" s="49"/>
      <c r="U177" s="49"/>
      <c r="W177" s="49"/>
      <c r="X177" s="49"/>
      <c r="Y177" s="49"/>
      <c r="Z177" s="49"/>
      <c r="AA177" s="49"/>
      <c r="AB177" s="49"/>
      <c r="AC177" s="49"/>
      <c r="AD177" s="49"/>
      <c r="AE177" s="49"/>
      <c r="AG177" s="49"/>
      <c r="AH177" s="49"/>
      <c r="AI177" s="49"/>
      <c r="AJ177" s="49"/>
      <c r="AK177" s="49"/>
      <c r="AL177" s="49"/>
      <c r="AM177" s="49"/>
      <c r="AN177" s="49"/>
      <c r="AO177" s="49"/>
      <c r="AQ177" s="49"/>
      <c r="AR177" s="49"/>
      <c r="AS177" s="49"/>
      <c r="AT177" s="49"/>
      <c r="AU177" s="49"/>
      <c r="AV177" s="49"/>
      <c r="AW177" s="49"/>
      <c r="AX177" s="49"/>
      <c r="AY177" s="49"/>
    </row>
    <row r="178" spans="1:51" s="207" customFormat="1" ht="15.75" x14ac:dyDescent="0.25">
      <c r="A178" s="49"/>
      <c r="B178" s="49"/>
      <c r="C178" s="48"/>
      <c r="D178" s="60"/>
      <c r="E178" s="60"/>
      <c r="F178" s="60"/>
      <c r="G178" s="50"/>
      <c r="H178" s="61"/>
      <c r="I178" s="61"/>
      <c r="J178" s="61"/>
      <c r="K178" s="61"/>
      <c r="L178" s="61"/>
      <c r="M178" s="44"/>
      <c r="N178" s="44"/>
      <c r="O178" s="44"/>
      <c r="P178" s="44"/>
      <c r="Q178" s="64"/>
      <c r="R178" s="64"/>
      <c r="S178" s="49"/>
      <c r="T178" s="49"/>
      <c r="U178" s="49"/>
      <c r="W178" s="49"/>
      <c r="X178" s="49"/>
      <c r="Y178" s="49"/>
      <c r="Z178" s="49"/>
      <c r="AA178" s="49"/>
      <c r="AB178" s="49"/>
      <c r="AC178" s="49"/>
      <c r="AD178" s="49"/>
      <c r="AE178" s="49"/>
      <c r="AG178" s="49"/>
      <c r="AH178" s="49"/>
      <c r="AI178" s="49"/>
      <c r="AJ178" s="49"/>
      <c r="AK178" s="49"/>
      <c r="AL178" s="49"/>
      <c r="AM178" s="49"/>
      <c r="AN178" s="49"/>
      <c r="AO178" s="49"/>
      <c r="AQ178" s="49"/>
      <c r="AR178" s="49"/>
      <c r="AS178" s="49"/>
      <c r="AT178" s="49"/>
      <c r="AU178" s="49"/>
      <c r="AV178" s="49"/>
      <c r="AW178" s="49"/>
      <c r="AX178" s="49"/>
      <c r="AY178" s="49"/>
    </row>
    <row r="179" spans="1:51" s="207" customFormat="1" ht="15.75" x14ac:dyDescent="0.25">
      <c r="A179" s="49"/>
      <c r="B179" s="49"/>
      <c r="C179" s="48"/>
      <c r="D179" s="60"/>
      <c r="E179" s="60"/>
      <c r="F179" s="60"/>
      <c r="G179" s="50"/>
      <c r="H179" s="61"/>
      <c r="I179" s="61"/>
      <c r="J179" s="61"/>
      <c r="K179" s="61"/>
      <c r="L179" s="61"/>
      <c r="M179" s="44"/>
      <c r="N179" s="44"/>
      <c r="O179" s="44"/>
      <c r="P179" s="44"/>
      <c r="Q179" s="64"/>
      <c r="R179" s="64"/>
      <c r="S179" s="49"/>
      <c r="T179" s="49"/>
      <c r="U179" s="49"/>
      <c r="W179" s="49"/>
      <c r="X179" s="49"/>
      <c r="Y179" s="49"/>
      <c r="Z179" s="49"/>
      <c r="AA179" s="49"/>
      <c r="AB179" s="49"/>
      <c r="AC179" s="49"/>
      <c r="AD179" s="49"/>
      <c r="AE179" s="49"/>
      <c r="AG179" s="49"/>
      <c r="AH179" s="49"/>
      <c r="AI179" s="49"/>
      <c r="AJ179" s="49"/>
      <c r="AK179" s="49"/>
      <c r="AL179" s="49"/>
      <c r="AM179" s="49"/>
      <c r="AN179" s="49"/>
      <c r="AO179" s="49"/>
      <c r="AQ179" s="49"/>
      <c r="AR179" s="49"/>
      <c r="AS179" s="49"/>
      <c r="AT179" s="49"/>
      <c r="AU179" s="49"/>
      <c r="AV179" s="49"/>
      <c r="AW179" s="49"/>
      <c r="AX179" s="49"/>
      <c r="AY179" s="49"/>
    </row>
    <row r="180" spans="1:51" s="207" customFormat="1" ht="15.75" x14ac:dyDescent="0.25">
      <c r="A180" s="49"/>
      <c r="B180" s="49"/>
      <c r="C180" s="48"/>
      <c r="D180" s="60"/>
      <c r="E180" s="60"/>
      <c r="F180" s="60"/>
      <c r="G180" s="50"/>
      <c r="H180" s="61"/>
      <c r="I180" s="61"/>
      <c r="J180" s="61"/>
      <c r="K180" s="61"/>
      <c r="L180" s="61"/>
      <c r="M180" s="44"/>
      <c r="N180" s="44"/>
      <c r="O180" s="44"/>
      <c r="P180" s="44"/>
      <c r="Q180" s="64"/>
      <c r="R180" s="64"/>
      <c r="S180" s="49"/>
      <c r="T180" s="49"/>
      <c r="U180" s="49"/>
      <c r="W180" s="49"/>
      <c r="X180" s="49"/>
      <c r="Y180" s="49"/>
      <c r="Z180" s="49"/>
      <c r="AA180" s="49"/>
      <c r="AB180" s="49"/>
      <c r="AC180" s="49"/>
      <c r="AD180" s="49"/>
      <c r="AE180" s="49"/>
      <c r="AG180" s="49"/>
      <c r="AH180" s="49"/>
      <c r="AI180" s="49"/>
      <c r="AJ180" s="49"/>
      <c r="AK180" s="49"/>
      <c r="AL180" s="49"/>
      <c r="AM180" s="49"/>
      <c r="AN180" s="49"/>
      <c r="AO180" s="49"/>
      <c r="AQ180" s="49"/>
      <c r="AR180" s="49"/>
      <c r="AS180" s="49"/>
      <c r="AT180" s="49"/>
      <c r="AU180" s="49"/>
      <c r="AV180" s="49"/>
      <c r="AW180" s="49"/>
      <c r="AX180" s="49"/>
      <c r="AY180" s="49"/>
    </row>
    <row r="181" spans="1:51" s="207" customFormat="1" ht="15.75" x14ac:dyDescent="0.25">
      <c r="A181" s="49"/>
      <c r="B181" s="49"/>
      <c r="C181" s="48"/>
      <c r="D181" s="60"/>
      <c r="E181" s="60"/>
      <c r="F181" s="60"/>
      <c r="G181" s="50"/>
      <c r="H181" s="61"/>
      <c r="I181" s="61"/>
      <c r="J181" s="61"/>
      <c r="K181" s="61"/>
      <c r="L181" s="61"/>
      <c r="M181" s="44"/>
      <c r="N181" s="44"/>
      <c r="O181" s="44"/>
      <c r="P181" s="44"/>
      <c r="Q181" s="64"/>
      <c r="R181" s="64"/>
      <c r="S181" s="49"/>
      <c r="T181" s="49"/>
      <c r="U181" s="49"/>
      <c r="W181" s="49"/>
      <c r="X181" s="49"/>
      <c r="Y181" s="49"/>
      <c r="Z181" s="49"/>
      <c r="AA181" s="49"/>
      <c r="AB181" s="49"/>
      <c r="AC181" s="49"/>
      <c r="AD181" s="49"/>
      <c r="AE181" s="49"/>
      <c r="AG181" s="49"/>
      <c r="AH181" s="49"/>
      <c r="AI181" s="49"/>
      <c r="AJ181" s="49"/>
      <c r="AK181" s="49"/>
      <c r="AL181" s="49"/>
      <c r="AM181" s="49"/>
      <c r="AN181" s="49"/>
      <c r="AO181" s="49"/>
      <c r="AQ181" s="49"/>
      <c r="AR181" s="49"/>
      <c r="AS181" s="49"/>
      <c r="AT181" s="49"/>
      <c r="AU181" s="49"/>
      <c r="AV181" s="49"/>
      <c r="AW181" s="49"/>
      <c r="AX181" s="49"/>
      <c r="AY181" s="49"/>
    </row>
    <row r="182" spans="1:51" s="207" customFormat="1" ht="15.75" x14ac:dyDescent="0.25">
      <c r="A182" s="49"/>
      <c r="B182" s="49"/>
      <c r="C182" s="48"/>
      <c r="D182" s="60"/>
      <c r="E182" s="60"/>
      <c r="F182" s="60"/>
      <c r="G182" s="50"/>
      <c r="H182" s="61"/>
      <c r="I182" s="61"/>
      <c r="J182" s="61"/>
      <c r="K182" s="61"/>
      <c r="L182" s="61"/>
      <c r="M182" s="44"/>
      <c r="N182" s="44"/>
      <c r="O182" s="44"/>
      <c r="P182" s="44"/>
      <c r="Q182" s="64"/>
      <c r="R182" s="64"/>
      <c r="S182" s="49"/>
      <c r="T182" s="49"/>
      <c r="U182" s="49"/>
      <c r="W182" s="49"/>
      <c r="X182" s="49"/>
      <c r="Y182" s="49"/>
      <c r="Z182" s="49"/>
      <c r="AA182" s="49"/>
      <c r="AB182" s="49"/>
      <c r="AC182" s="49"/>
      <c r="AD182" s="49"/>
      <c r="AE182" s="49"/>
      <c r="AG182" s="49"/>
      <c r="AH182" s="49"/>
      <c r="AI182" s="49"/>
      <c r="AJ182" s="49"/>
      <c r="AK182" s="49"/>
      <c r="AL182" s="49"/>
      <c r="AM182" s="49"/>
      <c r="AN182" s="49"/>
      <c r="AO182" s="49"/>
      <c r="AQ182" s="49"/>
      <c r="AR182" s="49"/>
      <c r="AS182" s="49"/>
      <c r="AT182" s="49"/>
      <c r="AU182" s="49"/>
      <c r="AV182" s="49"/>
      <c r="AW182" s="49"/>
      <c r="AX182" s="49"/>
      <c r="AY182" s="49"/>
    </row>
    <row r="183" spans="1:51" s="207" customFormat="1" ht="15.75" x14ac:dyDescent="0.25">
      <c r="A183" s="49"/>
      <c r="B183" s="49"/>
      <c r="C183" s="48"/>
      <c r="D183" s="60"/>
      <c r="E183" s="60"/>
      <c r="F183" s="60"/>
      <c r="G183" s="50"/>
      <c r="H183" s="61"/>
      <c r="I183" s="61"/>
      <c r="J183" s="61"/>
      <c r="K183" s="61"/>
      <c r="L183" s="61"/>
      <c r="M183" s="44"/>
      <c r="N183" s="44"/>
      <c r="O183" s="44"/>
      <c r="P183" s="44"/>
      <c r="Q183" s="64"/>
      <c r="R183" s="64"/>
      <c r="S183" s="49"/>
      <c r="T183" s="49"/>
      <c r="U183" s="49"/>
      <c r="W183" s="49"/>
      <c r="X183" s="49"/>
      <c r="Y183" s="49"/>
      <c r="Z183" s="49"/>
      <c r="AA183" s="49"/>
      <c r="AB183" s="49"/>
      <c r="AC183" s="49"/>
      <c r="AD183" s="49"/>
      <c r="AE183" s="49"/>
      <c r="AG183" s="49"/>
      <c r="AH183" s="49"/>
      <c r="AI183" s="49"/>
      <c r="AJ183" s="49"/>
      <c r="AK183" s="49"/>
      <c r="AL183" s="49"/>
      <c r="AM183" s="49"/>
      <c r="AN183" s="49"/>
      <c r="AO183" s="49"/>
      <c r="AQ183" s="49"/>
      <c r="AR183" s="49"/>
      <c r="AS183" s="49"/>
      <c r="AT183" s="49"/>
      <c r="AU183" s="49"/>
      <c r="AV183" s="49"/>
      <c r="AW183" s="49"/>
      <c r="AX183" s="49"/>
      <c r="AY183" s="49"/>
    </row>
    <row r="184" spans="1:51" s="207" customFormat="1" ht="15.75" x14ac:dyDescent="0.25">
      <c r="A184" s="49"/>
      <c r="B184" s="49"/>
      <c r="C184" s="48"/>
      <c r="D184" s="60"/>
      <c r="E184" s="60"/>
      <c r="F184" s="60"/>
      <c r="G184" s="50"/>
      <c r="H184" s="61"/>
      <c r="I184" s="61"/>
      <c r="J184" s="61"/>
      <c r="K184" s="61"/>
      <c r="L184" s="61"/>
      <c r="M184" s="44"/>
      <c r="N184" s="44"/>
      <c r="O184" s="44"/>
      <c r="P184" s="44"/>
      <c r="Q184" s="64"/>
      <c r="R184" s="64"/>
      <c r="S184" s="49"/>
      <c r="T184" s="49"/>
      <c r="U184" s="49"/>
      <c r="W184" s="49"/>
      <c r="X184" s="49"/>
      <c r="Y184" s="49"/>
      <c r="Z184" s="49"/>
      <c r="AA184" s="49"/>
      <c r="AB184" s="49"/>
      <c r="AC184" s="49"/>
      <c r="AD184" s="49"/>
      <c r="AE184" s="49"/>
      <c r="AG184" s="49"/>
      <c r="AH184" s="49"/>
      <c r="AI184" s="49"/>
      <c r="AJ184" s="49"/>
      <c r="AK184" s="49"/>
      <c r="AL184" s="49"/>
      <c r="AM184" s="49"/>
      <c r="AN184" s="49"/>
      <c r="AO184" s="49"/>
      <c r="AQ184" s="49"/>
      <c r="AR184" s="49"/>
      <c r="AS184" s="49"/>
      <c r="AT184" s="49"/>
      <c r="AU184" s="49"/>
      <c r="AV184" s="49"/>
      <c r="AW184" s="49"/>
      <c r="AX184" s="49"/>
      <c r="AY184" s="49"/>
    </row>
    <row r="185" spans="1:51" s="207" customFormat="1" ht="15.75" x14ac:dyDescent="0.25">
      <c r="A185" s="49"/>
      <c r="B185" s="49"/>
      <c r="C185" s="48"/>
      <c r="D185" s="60"/>
      <c r="E185" s="60"/>
      <c r="F185" s="60"/>
      <c r="G185" s="50"/>
      <c r="H185" s="61"/>
      <c r="I185" s="61"/>
      <c r="J185" s="61"/>
      <c r="K185" s="61"/>
      <c r="L185" s="61"/>
      <c r="M185" s="44"/>
      <c r="N185" s="44"/>
      <c r="O185" s="44"/>
      <c r="P185" s="44"/>
      <c r="Q185" s="64"/>
      <c r="R185" s="64"/>
      <c r="S185" s="49"/>
      <c r="T185" s="49"/>
      <c r="U185" s="49"/>
      <c r="W185" s="49"/>
      <c r="X185" s="49"/>
      <c r="Y185" s="49"/>
      <c r="Z185" s="49"/>
      <c r="AA185" s="49"/>
      <c r="AB185" s="49"/>
      <c r="AC185" s="49"/>
      <c r="AD185" s="49"/>
      <c r="AE185" s="49"/>
      <c r="AG185" s="49"/>
      <c r="AH185" s="49"/>
      <c r="AI185" s="49"/>
      <c r="AJ185" s="49"/>
      <c r="AK185" s="49"/>
      <c r="AL185" s="49"/>
      <c r="AM185" s="49"/>
      <c r="AN185" s="49"/>
      <c r="AO185" s="49"/>
      <c r="AQ185" s="49"/>
      <c r="AR185" s="49"/>
      <c r="AS185" s="49"/>
      <c r="AT185" s="49"/>
      <c r="AU185" s="49"/>
      <c r="AV185" s="49"/>
      <c r="AW185" s="49"/>
      <c r="AX185" s="49"/>
      <c r="AY185" s="49"/>
    </row>
    <row r="186" spans="1:51" s="207" customFormat="1" ht="15.75" x14ac:dyDescent="0.25">
      <c r="A186" s="49"/>
      <c r="B186" s="49"/>
      <c r="C186" s="48"/>
      <c r="D186" s="60"/>
      <c r="E186" s="60"/>
      <c r="F186" s="60"/>
      <c r="G186" s="50"/>
      <c r="H186" s="61"/>
      <c r="I186" s="61"/>
      <c r="J186" s="61"/>
      <c r="K186" s="61"/>
      <c r="L186" s="61"/>
      <c r="M186" s="44"/>
      <c r="N186" s="44"/>
      <c r="O186" s="44"/>
      <c r="P186" s="44"/>
      <c r="Q186" s="64"/>
      <c r="R186" s="64"/>
      <c r="S186" s="49"/>
      <c r="T186" s="49"/>
      <c r="U186" s="49"/>
      <c r="W186" s="49"/>
      <c r="X186" s="49"/>
      <c r="Y186" s="49"/>
      <c r="Z186" s="49"/>
      <c r="AA186" s="49"/>
      <c r="AB186" s="49"/>
      <c r="AC186" s="49"/>
      <c r="AD186" s="49"/>
      <c r="AE186" s="49"/>
      <c r="AG186" s="49"/>
      <c r="AH186" s="49"/>
      <c r="AI186" s="49"/>
      <c r="AJ186" s="49"/>
      <c r="AK186" s="49"/>
      <c r="AL186" s="49"/>
      <c r="AM186" s="49"/>
      <c r="AN186" s="49"/>
      <c r="AO186" s="49"/>
      <c r="AQ186" s="49"/>
      <c r="AR186" s="49"/>
      <c r="AS186" s="49"/>
      <c r="AT186" s="49"/>
      <c r="AU186" s="49"/>
      <c r="AV186" s="49"/>
      <c r="AW186" s="49"/>
      <c r="AX186" s="49"/>
      <c r="AY186" s="49"/>
    </row>
    <row r="187" spans="1:51" s="207" customFormat="1" ht="15.75" x14ac:dyDescent="0.25">
      <c r="A187" s="49"/>
      <c r="B187" s="49"/>
      <c r="C187" s="48"/>
      <c r="D187" s="60"/>
      <c r="E187" s="60"/>
      <c r="F187" s="60"/>
      <c r="G187" s="50"/>
      <c r="H187" s="61"/>
      <c r="I187" s="61"/>
      <c r="J187" s="61"/>
      <c r="K187" s="61"/>
      <c r="L187" s="61"/>
      <c r="M187" s="44"/>
      <c r="N187" s="44"/>
      <c r="O187" s="44"/>
      <c r="P187" s="44"/>
      <c r="Q187" s="64"/>
      <c r="R187" s="64"/>
      <c r="S187" s="49"/>
      <c r="T187" s="49"/>
      <c r="U187" s="49"/>
      <c r="W187" s="49"/>
      <c r="X187" s="49"/>
      <c r="Y187" s="49"/>
      <c r="Z187" s="49"/>
      <c r="AA187" s="49"/>
      <c r="AB187" s="49"/>
      <c r="AC187" s="49"/>
      <c r="AD187" s="49"/>
      <c r="AE187" s="49"/>
      <c r="AG187" s="49"/>
      <c r="AH187" s="49"/>
      <c r="AI187" s="49"/>
      <c r="AJ187" s="49"/>
      <c r="AK187" s="49"/>
      <c r="AL187" s="49"/>
      <c r="AM187" s="49"/>
      <c r="AN187" s="49"/>
      <c r="AO187" s="49"/>
      <c r="AQ187" s="49"/>
      <c r="AR187" s="49"/>
      <c r="AS187" s="49"/>
      <c r="AT187" s="49"/>
      <c r="AU187" s="49"/>
      <c r="AV187" s="49"/>
      <c r="AW187" s="49"/>
      <c r="AX187" s="49"/>
      <c r="AY187" s="49"/>
    </row>
    <row r="188" spans="1:51" s="207" customFormat="1" ht="15.75" x14ac:dyDescent="0.25">
      <c r="A188" s="49"/>
      <c r="B188" s="49"/>
      <c r="C188" s="48"/>
      <c r="D188" s="60"/>
      <c r="E188" s="60"/>
      <c r="F188" s="60"/>
      <c r="G188" s="50"/>
      <c r="H188" s="61"/>
      <c r="I188" s="61"/>
      <c r="J188" s="61"/>
      <c r="K188" s="61"/>
      <c r="L188" s="61"/>
      <c r="M188" s="44"/>
      <c r="N188" s="44"/>
      <c r="O188" s="44"/>
      <c r="P188" s="44"/>
      <c r="Q188" s="64"/>
      <c r="R188" s="64"/>
      <c r="S188" s="49"/>
      <c r="T188" s="49"/>
      <c r="U188" s="49"/>
      <c r="W188" s="49"/>
      <c r="X188" s="49"/>
      <c r="Y188" s="49"/>
      <c r="Z188" s="49"/>
      <c r="AA188" s="49"/>
      <c r="AB188" s="49"/>
      <c r="AC188" s="49"/>
      <c r="AD188" s="49"/>
      <c r="AE188" s="49"/>
      <c r="AG188" s="49"/>
      <c r="AH188" s="49"/>
      <c r="AI188" s="49"/>
      <c r="AJ188" s="49"/>
      <c r="AK188" s="49"/>
      <c r="AL188" s="49"/>
      <c r="AM188" s="49"/>
      <c r="AN188" s="49"/>
      <c r="AO188" s="49"/>
      <c r="AQ188" s="49"/>
      <c r="AR188" s="49"/>
      <c r="AS188" s="49"/>
      <c r="AT188" s="49"/>
      <c r="AU188" s="49"/>
      <c r="AV188" s="49"/>
      <c r="AW188" s="49"/>
      <c r="AX188" s="49"/>
      <c r="AY188" s="49"/>
    </row>
    <row r="189" spans="1:51" s="207" customFormat="1" ht="15.75" x14ac:dyDescent="0.25">
      <c r="A189" s="49"/>
      <c r="B189" s="49"/>
      <c r="C189" s="48"/>
      <c r="D189" s="60"/>
      <c r="E189" s="60"/>
      <c r="F189" s="60"/>
      <c r="G189" s="50"/>
      <c r="H189" s="61"/>
      <c r="I189" s="61"/>
      <c r="J189" s="61"/>
      <c r="K189" s="61"/>
      <c r="L189" s="61"/>
      <c r="M189" s="44"/>
      <c r="N189" s="44"/>
      <c r="O189" s="44"/>
      <c r="P189" s="44"/>
      <c r="Q189" s="64"/>
      <c r="R189" s="64"/>
      <c r="S189" s="49"/>
      <c r="T189" s="49"/>
      <c r="U189" s="49"/>
      <c r="W189" s="49"/>
      <c r="X189" s="49"/>
      <c r="Y189" s="49"/>
      <c r="Z189" s="49"/>
      <c r="AA189" s="49"/>
      <c r="AB189" s="49"/>
      <c r="AC189" s="49"/>
      <c r="AD189" s="49"/>
      <c r="AE189" s="49"/>
      <c r="AG189" s="49"/>
      <c r="AH189" s="49"/>
      <c r="AI189" s="49"/>
      <c r="AJ189" s="49"/>
      <c r="AK189" s="49"/>
      <c r="AL189" s="49"/>
      <c r="AM189" s="49"/>
      <c r="AN189" s="49"/>
      <c r="AO189" s="49"/>
      <c r="AQ189" s="49"/>
      <c r="AR189" s="49"/>
      <c r="AS189" s="49"/>
      <c r="AT189" s="49"/>
      <c r="AU189" s="49"/>
      <c r="AV189" s="49"/>
      <c r="AW189" s="49"/>
      <c r="AX189" s="49"/>
      <c r="AY189" s="49"/>
    </row>
    <row r="190" spans="1:51" s="207" customFormat="1" ht="15.75" x14ac:dyDescent="0.25">
      <c r="A190" s="49"/>
      <c r="B190" s="49"/>
      <c r="C190" s="48"/>
      <c r="D190" s="60"/>
      <c r="E190" s="60"/>
      <c r="F190" s="60"/>
      <c r="G190" s="50"/>
      <c r="H190" s="61"/>
      <c r="I190" s="61"/>
      <c r="J190" s="61"/>
      <c r="K190" s="61"/>
      <c r="L190" s="61"/>
      <c r="M190" s="44"/>
      <c r="N190" s="44"/>
      <c r="O190" s="44"/>
      <c r="P190" s="44"/>
      <c r="Q190" s="64"/>
      <c r="R190" s="64"/>
      <c r="S190" s="49"/>
      <c r="T190" s="49"/>
      <c r="U190" s="49"/>
      <c r="W190" s="49"/>
      <c r="X190" s="49"/>
      <c r="Y190" s="49"/>
      <c r="Z190" s="49"/>
      <c r="AA190" s="49"/>
      <c r="AB190" s="49"/>
      <c r="AC190" s="49"/>
      <c r="AD190" s="49"/>
      <c r="AE190" s="49"/>
      <c r="AG190" s="49"/>
      <c r="AH190" s="49"/>
      <c r="AI190" s="49"/>
      <c r="AJ190" s="49"/>
      <c r="AK190" s="49"/>
      <c r="AL190" s="49"/>
      <c r="AM190" s="49"/>
      <c r="AN190" s="49"/>
      <c r="AO190" s="49"/>
      <c r="AQ190" s="49"/>
      <c r="AR190" s="49"/>
      <c r="AS190" s="49"/>
      <c r="AT190" s="49"/>
      <c r="AU190" s="49"/>
      <c r="AV190" s="49"/>
      <c r="AW190" s="49"/>
      <c r="AX190" s="49"/>
      <c r="AY190" s="49"/>
    </row>
    <row r="191" spans="1:51" s="207" customFormat="1" ht="15.75" x14ac:dyDescent="0.25">
      <c r="A191" s="49"/>
      <c r="B191" s="49"/>
      <c r="C191" s="48"/>
      <c r="D191" s="60"/>
      <c r="E191" s="60"/>
      <c r="F191" s="60"/>
      <c r="G191" s="50"/>
      <c r="H191" s="61"/>
      <c r="I191" s="61"/>
      <c r="J191" s="61"/>
      <c r="K191" s="61"/>
      <c r="L191" s="61"/>
      <c r="M191" s="44"/>
      <c r="N191" s="44"/>
      <c r="O191" s="44"/>
      <c r="P191" s="44"/>
      <c r="Q191" s="64"/>
      <c r="R191" s="64"/>
      <c r="S191" s="49"/>
      <c r="T191" s="49"/>
      <c r="U191" s="49"/>
      <c r="W191" s="49"/>
      <c r="X191" s="49"/>
      <c r="Y191" s="49"/>
      <c r="Z191" s="49"/>
      <c r="AA191" s="49"/>
      <c r="AB191" s="49"/>
      <c r="AC191" s="49"/>
      <c r="AD191" s="49"/>
      <c r="AE191" s="49"/>
      <c r="AG191" s="49"/>
      <c r="AH191" s="49"/>
      <c r="AI191" s="49"/>
      <c r="AJ191" s="49"/>
      <c r="AK191" s="49"/>
      <c r="AL191" s="49"/>
      <c r="AM191" s="49"/>
      <c r="AN191" s="49"/>
      <c r="AO191" s="49"/>
      <c r="AQ191" s="49"/>
      <c r="AR191" s="49"/>
      <c r="AS191" s="49"/>
      <c r="AT191" s="49"/>
      <c r="AU191" s="49"/>
      <c r="AV191" s="49"/>
      <c r="AW191" s="49"/>
      <c r="AX191" s="49"/>
      <c r="AY191" s="49"/>
    </row>
    <row r="192" spans="1:51" s="207" customFormat="1" ht="15.75" x14ac:dyDescent="0.25">
      <c r="A192" s="49"/>
      <c r="B192" s="49"/>
      <c r="C192" s="48"/>
      <c r="D192" s="60"/>
      <c r="E192" s="60"/>
      <c r="F192" s="60"/>
      <c r="G192" s="50"/>
      <c r="H192" s="61"/>
      <c r="I192" s="61"/>
      <c r="J192" s="61"/>
      <c r="K192" s="61"/>
      <c r="L192" s="61"/>
      <c r="M192" s="44"/>
      <c r="N192" s="44"/>
      <c r="O192" s="44"/>
      <c r="P192" s="44"/>
      <c r="Q192" s="64"/>
      <c r="R192" s="64"/>
      <c r="S192" s="49"/>
      <c r="T192" s="49"/>
      <c r="U192" s="49"/>
      <c r="W192" s="49"/>
      <c r="X192" s="49"/>
      <c r="Y192" s="49"/>
      <c r="Z192" s="49"/>
      <c r="AA192" s="49"/>
      <c r="AB192" s="49"/>
      <c r="AC192" s="49"/>
      <c r="AD192" s="49"/>
      <c r="AE192" s="49"/>
      <c r="AG192" s="49"/>
      <c r="AH192" s="49"/>
      <c r="AI192" s="49"/>
      <c r="AJ192" s="49"/>
      <c r="AK192" s="49"/>
      <c r="AL192" s="49"/>
      <c r="AM192" s="49"/>
      <c r="AN192" s="49"/>
      <c r="AO192" s="49"/>
      <c r="AQ192" s="49"/>
      <c r="AR192" s="49"/>
      <c r="AS192" s="49"/>
      <c r="AT192" s="49"/>
      <c r="AU192" s="49"/>
      <c r="AV192" s="49"/>
      <c r="AW192" s="49"/>
      <c r="AX192" s="49"/>
      <c r="AY192" s="49"/>
    </row>
    <row r="193" spans="1:51" s="207" customFormat="1" ht="15.75" x14ac:dyDescent="0.25">
      <c r="A193" s="49"/>
      <c r="B193" s="49"/>
      <c r="C193" s="48"/>
      <c r="D193" s="60"/>
      <c r="E193" s="60"/>
      <c r="F193" s="60"/>
      <c r="G193" s="50"/>
      <c r="H193" s="61"/>
      <c r="I193" s="61"/>
      <c r="J193" s="61"/>
      <c r="K193" s="61"/>
      <c r="L193" s="61"/>
      <c r="M193" s="44"/>
      <c r="N193" s="44"/>
      <c r="O193" s="44"/>
      <c r="P193" s="44"/>
      <c r="Q193" s="64"/>
      <c r="R193" s="64"/>
      <c r="S193" s="49"/>
      <c r="T193" s="49"/>
      <c r="U193" s="49"/>
      <c r="W193" s="49"/>
      <c r="X193" s="49"/>
      <c r="Y193" s="49"/>
      <c r="Z193" s="49"/>
      <c r="AA193" s="49"/>
      <c r="AB193" s="49"/>
      <c r="AC193" s="49"/>
      <c r="AD193" s="49"/>
      <c r="AE193" s="49"/>
      <c r="AG193" s="49"/>
      <c r="AH193" s="49"/>
      <c r="AI193" s="49"/>
      <c r="AJ193" s="49"/>
      <c r="AK193" s="49"/>
      <c r="AL193" s="49"/>
      <c r="AM193" s="49"/>
      <c r="AN193" s="49"/>
      <c r="AO193" s="49"/>
      <c r="AQ193" s="49"/>
      <c r="AR193" s="49"/>
      <c r="AS193" s="49"/>
      <c r="AT193" s="49"/>
      <c r="AU193" s="49"/>
      <c r="AV193" s="49"/>
      <c r="AW193" s="49"/>
      <c r="AX193" s="49"/>
      <c r="AY193" s="49"/>
    </row>
    <row r="194" spans="1:51" s="207" customFormat="1" ht="15.75" x14ac:dyDescent="0.25">
      <c r="A194" s="49"/>
      <c r="B194" s="49"/>
      <c r="C194" s="48"/>
      <c r="D194" s="60"/>
      <c r="E194" s="60"/>
      <c r="F194" s="60"/>
      <c r="G194" s="50"/>
      <c r="H194" s="61"/>
      <c r="I194" s="61"/>
      <c r="J194" s="61"/>
      <c r="K194" s="61"/>
      <c r="L194" s="61"/>
      <c r="M194" s="44"/>
      <c r="N194" s="44"/>
      <c r="O194" s="44"/>
      <c r="P194" s="44"/>
      <c r="Q194" s="64"/>
      <c r="R194" s="64"/>
      <c r="S194" s="49"/>
      <c r="T194" s="49"/>
      <c r="U194" s="49"/>
      <c r="W194" s="49"/>
      <c r="X194" s="49"/>
      <c r="Y194" s="49"/>
      <c r="Z194" s="49"/>
      <c r="AA194" s="49"/>
      <c r="AB194" s="49"/>
      <c r="AC194" s="49"/>
      <c r="AD194" s="49"/>
      <c r="AE194" s="49"/>
      <c r="AG194" s="49"/>
      <c r="AH194" s="49"/>
      <c r="AI194" s="49"/>
      <c r="AJ194" s="49"/>
      <c r="AK194" s="49"/>
      <c r="AL194" s="49"/>
      <c r="AM194" s="49"/>
      <c r="AN194" s="49"/>
      <c r="AO194" s="49"/>
      <c r="AQ194" s="49"/>
      <c r="AR194" s="49"/>
      <c r="AS194" s="49"/>
      <c r="AT194" s="49"/>
      <c r="AU194" s="49"/>
      <c r="AV194" s="49"/>
      <c r="AW194" s="49"/>
      <c r="AX194" s="49"/>
      <c r="AY194" s="49"/>
    </row>
    <row r="195" spans="1:51" s="207" customFormat="1" ht="15.75" x14ac:dyDescent="0.25">
      <c r="A195" s="49"/>
      <c r="B195" s="49"/>
      <c r="C195" s="48"/>
      <c r="D195" s="60"/>
      <c r="E195" s="60"/>
      <c r="F195" s="60"/>
      <c r="G195" s="50"/>
      <c r="H195" s="61"/>
      <c r="I195" s="61"/>
      <c r="J195" s="61"/>
      <c r="K195" s="61"/>
      <c r="L195" s="61"/>
      <c r="M195" s="44"/>
      <c r="N195" s="44"/>
      <c r="O195" s="44"/>
      <c r="P195" s="44"/>
      <c r="Q195" s="64"/>
      <c r="R195" s="64"/>
      <c r="S195" s="49"/>
      <c r="T195" s="49"/>
      <c r="U195" s="49"/>
      <c r="W195" s="49"/>
      <c r="X195" s="49"/>
      <c r="Y195" s="49"/>
      <c r="Z195" s="49"/>
      <c r="AA195" s="49"/>
      <c r="AB195" s="49"/>
      <c r="AC195" s="49"/>
      <c r="AD195" s="49"/>
      <c r="AE195" s="49"/>
      <c r="AG195" s="49"/>
      <c r="AH195" s="49"/>
      <c r="AI195" s="49"/>
      <c r="AJ195" s="49"/>
      <c r="AK195" s="49"/>
      <c r="AL195" s="49"/>
      <c r="AM195" s="49"/>
      <c r="AN195" s="49"/>
      <c r="AO195" s="49"/>
      <c r="AQ195" s="49"/>
      <c r="AR195" s="49"/>
      <c r="AS195" s="49"/>
      <c r="AT195" s="49"/>
      <c r="AU195" s="49"/>
      <c r="AV195" s="49"/>
      <c r="AW195" s="49"/>
      <c r="AX195" s="49"/>
      <c r="AY195" s="49"/>
    </row>
    <row r="196" spans="1:51" s="207" customFormat="1" ht="15.75" x14ac:dyDescent="0.25">
      <c r="A196" s="49"/>
      <c r="B196" s="49"/>
      <c r="C196" s="48"/>
      <c r="D196" s="60"/>
      <c r="E196" s="60"/>
      <c r="F196" s="60"/>
      <c r="G196" s="50"/>
      <c r="H196" s="61"/>
      <c r="I196" s="61"/>
      <c r="J196" s="61"/>
      <c r="K196" s="61"/>
      <c r="L196" s="61"/>
      <c r="M196" s="44"/>
      <c r="N196" s="44"/>
      <c r="O196" s="44"/>
      <c r="P196" s="44"/>
      <c r="Q196" s="64"/>
      <c r="R196" s="64"/>
      <c r="S196" s="49"/>
      <c r="T196" s="49"/>
      <c r="U196" s="49"/>
      <c r="W196" s="49"/>
      <c r="X196" s="49"/>
      <c r="Y196" s="49"/>
      <c r="Z196" s="49"/>
      <c r="AA196" s="49"/>
      <c r="AB196" s="49"/>
      <c r="AC196" s="49"/>
      <c r="AD196" s="49"/>
      <c r="AE196" s="49"/>
      <c r="AG196" s="49"/>
      <c r="AH196" s="49"/>
      <c r="AI196" s="49"/>
      <c r="AJ196" s="49"/>
      <c r="AK196" s="49"/>
      <c r="AL196" s="49"/>
      <c r="AM196" s="49"/>
      <c r="AN196" s="49"/>
      <c r="AO196" s="49"/>
      <c r="AQ196" s="49"/>
      <c r="AR196" s="49"/>
      <c r="AS196" s="49"/>
      <c r="AT196" s="49"/>
      <c r="AU196" s="49"/>
      <c r="AV196" s="49"/>
      <c r="AW196" s="49"/>
      <c r="AX196" s="49"/>
      <c r="AY196" s="49"/>
    </row>
    <row r="197" spans="1:51" s="207" customFormat="1" ht="15.75" x14ac:dyDescent="0.25">
      <c r="A197" s="49"/>
      <c r="B197" s="49"/>
      <c r="C197" s="48"/>
      <c r="D197" s="60"/>
      <c r="E197" s="60"/>
      <c r="F197" s="60"/>
      <c r="G197" s="50"/>
      <c r="H197" s="61"/>
      <c r="I197" s="61"/>
      <c r="J197" s="61"/>
      <c r="K197" s="61"/>
      <c r="L197" s="61"/>
      <c r="M197" s="44"/>
      <c r="N197" s="44"/>
      <c r="O197" s="44"/>
      <c r="P197" s="44"/>
      <c r="Q197" s="64"/>
      <c r="R197" s="64"/>
      <c r="S197" s="49"/>
      <c r="T197" s="49"/>
      <c r="U197" s="49"/>
      <c r="W197" s="49"/>
      <c r="X197" s="49"/>
      <c r="Y197" s="49"/>
      <c r="Z197" s="49"/>
      <c r="AA197" s="49"/>
      <c r="AB197" s="49"/>
      <c r="AC197" s="49"/>
      <c r="AD197" s="49"/>
      <c r="AE197" s="49"/>
      <c r="AG197" s="49"/>
      <c r="AH197" s="49"/>
      <c r="AI197" s="49"/>
      <c r="AJ197" s="49"/>
      <c r="AK197" s="49"/>
      <c r="AL197" s="49"/>
      <c r="AM197" s="49"/>
      <c r="AN197" s="49"/>
      <c r="AO197" s="49"/>
      <c r="AQ197" s="49"/>
      <c r="AR197" s="49"/>
      <c r="AS197" s="49"/>
      <c r="AT197" s="49"/>
      <c r="AU197" s="49"/>
      <c r="AV197" s="49"/>
      <c r="AW197" s="49"/>
      <c r="AX197" s="49"/>
      <c r="AY197" s="49"/>
    </row>
    <row r="198" spans="1:51" s="207" customFormat="1" ht="15.75" x14ac:dyDescent="0.25">
      <c r="A198" s="49"/>
      <c r="B198" s="49"/>
      <c r="C198" s="48"/>
      <c r="D198" s="60"/>
      <c r="E198" s="60"/>
      <c r="F198" s="60"/>
      <c r="G198" s="50"/>
      <c r="H198" s="61"/>
      <c r="I198" s="61"/>
      <c r="J198" s="61"/>
      <c r="K198" s="61"/>
      <c r="L198" s="61"/>
      <c r="M198" s="44"/>
      <c r="N198" s="44"/>
      <c r="O198" s="44"/>
      <c r="P198" s="44"/>
      <c r="Q198" s="64"/>
      <c r="R198" s="64"/>
      <c r="S198" s="49"/>
      <c r="T198" s="49"/>
      <c r="U198" s="49"/>
      <c r="W198" s="49"/>
      <c r="X198" s="49"/>
      <c r="Y198" s="49"/>
      <c r="Z198" s="49"/>
      <c r="AA198" s="49"/>
      <c r="AB198" s="49"/>
      <c r="AC198" s="49"/>
      <c r="AD198" s="49"/>
      <c r="AE198" s="49"/>
      <c r="AG198" s="49"/>
      <c r="AH198" s="49"/>
      <c r="AI198" s="49"/>
      <c r="AJ198" s="49"/>
      <c r="AK198" s="49"/>
      <c r="AL198" s="49"/>
      <c r="AM198" s="49"/>
      <c r="AN198" s="49"/>
      <c r="AO198" s="49"/>
      <c r="AQ198" s="49"/>
      <c r="AR198" s="49"/>
      <c r="AS198" s="49"/>
      <c r="AT198" s="49"/>
      <c r="AU198" s="49"/>
      <c r="AV198" s="49"/>
      <c r="AW198" s="49"/>
      <c r="AX198" s="49"/>
      <c r="AY198" s="49"/>
    </row>
    <row r="199" spans="1:51" s="207" customFormat="1" ht="15.75" x14ac:dyDescent="0.25">
      <c r="A199" s="49"/>
      <c r="B199" s="49"/>
      <c r="C199" s="48"/>
      <c r="D199" s="60"/>
      <c r="E199" s="60"/>
      <c r="F199" s="60"/>
      <c r="G199" s="50"/>
      <c r="H199" s="61"/>
      <c r="I199" s="61"/>
      <c r="J199" s="61"/>
      <c r="K199" s="61"/>
      <c r="L199" s="61"/>
      <c r="M199" s="44"/>
      <c r="N199" s="44"/>
      <c r="O199" s="44"/>
      <c r="P199" s="44"/>
      <c r="Q199" s="64"/>
      <c r="R199" s="64"/>
      <c r="S199" s="49"/>
      <c r="T199" s="49"/>
      <c r="U199" s="49"/>
      <c r="W199" s="49"/>
      <c r="X199" s="49"/>
      <c r="Y199" s="49"/>
      <c r="Z199" s="49"/>
      <c r="AA199" s="49"/>
      <c r="AB199" s="49"/>
      <c r="AC199" s="49"/>
      <c r="AD199" s="49"/>
      <c r="AE199" s="49"/>
      <c r="AG199" s="49"/>
      <c r="AH199" s="49"/>
      <c r="AI199" s="49"/>
      <c r="AJ199" s="49"/>
      <c r="AK199" s="49"/>
      <c r="AL199" s="49"/>
      <c r="AM199" s="49"/>
      <c r="AN199" s="49"/>
      <c r="AO199" s="49"/>
      <c r="AQ199" s="49"/>
      <c r="AR199" s="49"/>
      <c r="AS199" s="49"/>
      <c r="AT199" s="49"/>
      <c r="AU199" s="49"/>
      <c r="AV199" s="49"/>
      <c r="AW199" s="49"/>
      <c r="AX199" s="49"/>
      <c r="AY199" s="49"/>
    </row>
    <row r="200" spans="1:51" s="207" customFormat="1" ht="15.75" x14ac:dyDescent="0.25">
      <c r="A200" s="49"/>
      <c r="B200" s="49"/>
      <c r="C200" s="48"/>
      <c r="D200" s="60"/>
      <c r="E200" s="60"/>
      <c r="F200" s="60"/>
      <c r="G200" s="50"/>
      <c r="H200" s="61"/>
      <c r="I200" s="61"/>
      <c r="J200" s="61"/>
      <c r="K200" s="61"/>
      <c r="L200" s="61"/>
      <c r="M200" s="44"/>
      <c r="N200" s="44"/>
      <c r="O200" s="44"/>
      <c r="P200" s="44"/>
      <c r="Q200" s="64"/>
      <c r="R200" s="64"/>
      <c r="S200" s="49"/>
      <c r="T200" s="49"/>
      <c r="U200" s="49"/>
      <c r="W200" s="49"/>
      <c r="X200" s="49"/>
      <c r="Y200" s="49"/>
      <c r="Z200" s="49"/>
      <c r="AA200" s="49"/>
      <c r="AB200" s="49"/>
      <c r="AC200" s="49"/>
      <c r="AD200" s="49"/>
      <c r="AE200" s="49"/>
      <c r="AG200" s="49"/>
      <c r="AH200" s="49"/>
      <c r="AI200" s="49"/>
      <c r="AJ200" s="49"/>
      <c r="AK200" s="49"/>
      <c r="AL200" s="49"/>
      <c r="AM200" s="49"/>
      <c r="AN200" s="49"/>
      <c r="AO200" s="49"/>
      <c r="AQ200" s="49"/>
      <c r="AR200" s="49"/>
      <c r="AS200" s="49"/>
      <c r="AT200" s="49"/>
      <c r="AU200" s="49"/>
      <c r="AV200" s="49"/>
      <c r="AW200" s="49"/>
      <c r="AX200" s="49"/>
      <c r="AY200" s="49"/>
    </row>
    <row r="201" spans="1:51" s="207" customFormat="1" ht="15.75" x14ac:dyDescent="0.25">
      <c r="A201" s="49"/>
      <c r="B201" s="49"/>
      <c r="C201" s="48"/>
      <c r="D201" s="60"/>
      <c r="E201" s="60"/>
      <c r="F201" s="60"/>
      <c r="G201" s="50"/>
      <c r="H201" s="61"/>
      <c r="I201" s="61"/>
      <c r="J201" s="61"/>
      <c r="K201" s="61"/>
      <c r="L201" s="61"/>
      <c r="M201" s="44"/>
      <c r="N201" s="44"/>
      <c r="O201" s="44"/>
      <c r="P201" s="44"/>
      <c r="Q201" s="64"/>
      <c r="R201" s="64"/>
      <c r="S201" s="49"/>
      <c r="T201" s="49"/>
      <c r="U201" s="49"/>
      <c r="W201" s="49"/>
      <c r="X201" s="49"/>
      <c r="Y201" s="49"/>
      <c r="Z201" s="49"/>
      <c r="AA201" s="49"/>
      <c r="AB201" s="49"/>
      <c r="AC201" s="49"/>
      <c r="AD201" s="49"/>
      <c r="AE201" s="49"/>
      <c r="AG201" s="49"/>
      <c r="AH201" s="49"/>
      <c r="AI201" s="49"/>
      <c r="AJ201" s="49"/>
      <c r="AK201" s="49"/>
      <c r="AL201" s="49"/>
      <c r="AM201" s="49"/>
      <c r="AN201" s="49"/>
      <c r="AO201" s="49"/>
      <c r="AQ201" s="49"/>
      <c r="AR201" s="49"/>
      <c r="AS201" s="49"/>
      <c r="AT201" s="49"/>
      <c r="AU201" s="49"/>
      <c r="AV201" s="49"/>
      <c r="AW201" s="49"/>
      <c r="AX201" s="49"/>
      <c r="AY201" s="49"/>
    </row>
    <row r="202" spans="1:51" s="207" customFormat="1" ht="15.75" x14ac:dyDescent="0.25">
      <c r="A202" s="49"/>
      <c r="B202" s="49"/>
      <c r="C202" s="48"/>
      <c r="D202" s="60"/>
      <c r="E202" s="60"/>
      <c r="F202" s="60"/>
      <c r="G202" s="50"/>
      <c r="H202" s="61"/>
      <c r="I202" s="61"/>
      <c r="J202" s="61"/>
      <c r="K202" s="61"/>
      <c r="L202" s="61"/>
      <c r="M202" s="44"/>
      <c r="N202" s="44"/>
      <c r="O202" s="44"/>
      <c r="P202" s="44"/>
      <c r="Q202" s="64"/>
      <c r="R202" s="64"/>
      <c r="S202" s="49"/>
      <c r="T202" s="49"/>
      <c r="U202" s="49"/>
      <c r="W202" s="49"/>
      <c r="X202" s="49"/>
      <c r="Y202" s="49"/>
      <c r="Z202" s="49"/>
      <c r="AA202" s="49"/>
      <c r="AB202" s="49"/>
      <c r="AC202" s="49"/>
      <c r="AD202" s="49"/>
      <c r="AE202" s="49"/>
      <c r="AG202" s="49"/>
      <c r="AH202" s="49"/>
      <c r="AI202" s="49"/>
      <c r="AJ202" s="49"/>
      <c r="AK202" s="49"/>
      <c r="AL202" s="49"/>
      <c r="AM202" s="49"/>
      <c r="AN202" s="49"/>
      <c r="AO202" s="49"/>
      <c r="AQ202" s="49"/>
      <c r="AR202" s="49"/>
      <c r="AS202" s="49"/>
      <c r="AT202" s="49"/>
      <c r="AU202" s="49"/>
      <c r="AV202" s="49"/>
      <c r="AW202" s="49"/>
      <c r="AX202" s="49"/>
      <c r="AY202" s="49"/>
    </row>
    <row r="203" spans="1:51" s="207" customFormat="1" ht="15.75" x14ac:dyDescent="0.25">
      <c r="A203" s="49"/>
      <c r="B203" s="49"/>
      <c r="C203" s="48"/>
      <c r="D203" s="60"/>
      <c r="E203" s="60"/>
      <c r="F203" s="60"/>
      <c r="G203" s="50"/>
      <c r="H203" s="61"/>
      <c r="I203" s="61"/>
      <c r="J203" s="61"/>
      <c r="K203" s="61"/>
      <c r="L203" s="61"/>
      <c r="M203" s="44"/>
      <c r="N203" s="44"/>
      <c r="O203" s="44"/>
      <c r="P203" s="44"/>
      <c r="Q203" s="64"/>
      <c r="R203" s="64"/>
      <c r="S203" s="49"/>
      <c r="T203" s="49"/>
      <c r="U203" s="49"/>
      <c r="W203" s="49"/>
      <c r="X203" s="49"/>
      <c r="Y203" s="49"/>
      <c r="Z203" s="49"/>
      <c r="AA203" s="49"/>
      <c r="AB203" s="49"/>
      <c r="AC203" s="49"/>
      <c r="AD203" s="49"/>
      <c r="AE203" s="49"/>
      <c r="AG203" s="49"/>
      <c r="AH203" s="49"/>
      <c r="AI203" s="49"/>
      <c r="AJ203" s="49"/>
      <c r="AK203" s="49"/>
      <c r="AL203" s="49"/>
      <c r="AM203" s="49"/>
      <c r="AN203" s="49"/>
      <c r="AO203" s="49"/>
      <c r="AQ203" s="49"/>
      <c r="AR203" s="49"/>
      <c r="AS203" s="49"/>
      <c r="AT203" s="49"/>
      <c r="AU203" s="49"/>
      <c r="AV203" s="49"/>
      <c r="AW203" s="49"/>
      <c r="AX203" s="49"/>
      <c r="AY203" s="49"/>
    </row>
    <row r="204" spans="1:51" s="207" customFormat="1" ht="15.75" x14ac:dyDescent="0.25">
      <c r="A204" s="49"/>
      <c r="B204" s="49"/>
      <c r="C204" s="48"/>
      <c r="D204" s="60"/>
      <c r="E204" s="60"/>
      <c r="F204" s="60"/>
      <c r="G204" s="50"/>
      <c r="H204" s="61"/>
      <c r="I204" s="61"/>
      <c r="J204" s="61"/>
      <c r="K204" s="61"/>
      <c r="L204" s="61"/>
      <c r="M204" s="44"/>
      <c r="N204" s="44"/>
      <c r="O204" s="44"/>
      <c r="P204" s="44"/>
      <c r="Q204" s="64"/>
      <c r="R204" s="64"/>
      <c r="S204" s="49"/>
      <c r="T204" s="49"/>
      <c r="U204" s="49"/>
      <c r="W204" s="49"/>
      <c r="X204" s="49"/>
      <c r="Y204" s="49"/>
      <c r="Z204" s="49"/>
      <c r="AA204" s="49"/>
      <c r="AB204" s="49"/>
      <c r="AC204" s="49"/>
      <c r="AD204" s="49"/>
      <c r="AE204" s="49"/>
      <c r="AG204" s="49"/>
      <c r="AH204" s="49"/>
      <c r="AI204" s="49"/>
      <c r="AJ204" s="49"/>
      <c r="AK204" s="49"/>
      <c r="AL204" s="49"/>
      <c r="AM204" s="49"/>
      <c r="AN204" s="49"/>
      <c r="AO204" s="49"/>
      <c r="AQ204" s="49"/>
      <c r="AR204" s="49"/>
      <c r="AS204" s="49"/>
      <c r="AT204" s="49"/>
      <c r="AU204" s="49"/>
      <c r="AV204" s="49"/>
      <c r="AW204" s="49"/>
      <c r="AX204" s="49"/>
      <c r="AY204" s="49"/>
    </row>
    <row r="205" spans="1:51" s="207" customFormat="1" ht="15.75" x14ac:dyDescent="0.25">
      <c r="A205" s="49"/>
      <c r="B205" s="49"/>
      <c r="C205" s="48"/>
      <c r="D205" s="60"/>
      <c r="E205" s="60"/>
      <c r="F205" s="60"/>
      <c r="G205" s="50"/>
      <c r="H205" s="61"/>
      <c r="I205" s="61"/>
      <c r="J205" s="61"/>
      <c r="K205" s="61"/>
      <c r="L205" s="61"/>
      <c r="M205" s="44"/>
      <c r="N205" s="44"/>
      <c r="O205" s="44"/>
      <c r="P205" s="44"/>
      <c r="Q205" s="64"/>
      <c r="R205" s="64"/>
      <c r="S205" s="49"/>
      <c r="T205" s="49"/>
      <c r="U205" s="49"/>
      <c r="W205" s="49"/>
      <c r="X205" s="49"/>
      <c r="Y205" s="49"/>
      <c r="Z205" s="49"/>
      <c r="AA205" s="49"/>
      <c r="AB205" s="49"/>
      <c r="AC205" s="49"/>
      <c r="AD205" s="49"/>
      <c r="AE205" s="49"/>
      <c r="AG205" s="49"/>
      <c r="AH205" s="49"/>
      <c r="AI205" s="49"/>
      <c r="AJ205" s="49"/>
      <c r="AK205" s="49"/>
      <c r="AL205" s="49"/>
      <c r="AM205" s="49"/>
      <c r="AN205" s="49"/>
      <c r="AO205" s="49"/>
      <c r="AQ205" s="49"/>
      <c r="AR205" s="49"/>
      <c r="AS205" s="49"/>
      <c r="AT205" s="49"/>
      <c r="AU205" s="49"/>
      <c r="AV205" s="49"/>
      <c r="AW205" s="49"/>
      <c r="AX205" s="49"/>
      <c r="AY205" s="49"/>
    </row>
    <row r="206" spans="1:51" s="207" customFormat="1" ht="15.75" x14ac:dyDescent="0.25">
      <c r="A206" s="49"/>
      <c r="B206" s="49"/>
      <c r="C206" s="48"/>
      <c r="D206" s="60"/>
      <c r="E206" s="60"/>
      <c r="F206" s="60"/>
      <c r="G206" s="50"/>
      <c r="H206" s="61"/>
      <c r="I206" s="61"/>
      <c r="J206" s="61"/>
      <c r="K206" s="61"/>
      <c r="L206" s="61"/>
      <c r="M206" s="44"/>
      <c r="N206" s="44"/>
      <c r="O206" s="44"/>
      <c r="P206" s="44"/>
      <c r="Q206" s="64"/>
      <c r="R206" s="64"/>
      <c r="S206" s="49"/>
      <c r="T206" s="49"/>
      <c r="U206" s="49"/>
      <c r="W206" s="49"/>
      <c r="X206" s="49"/>
      <c r="Y206" s="49"/>
      <c r="Z206" s="49"/>
      <c r="AA206" s="49"/>
      <c r="AB206" s="49"/>
      <c r="AC206" s="49"/>
      <c r="AD206" s="49"/>
      <c r="AE206" s="49"/>
      <c r="AG206" s="49"/>
      <c r="AH206" s="49"/>
      <c r="AI206" s="49"/>
      <c r="AJ206" s="49"/>
      <c r="AK206" s="49"/>
      <c r="AL206" s="49"/>
      <c r="AM206" s="49"/>
      <c r="AN206" s="49"/>
      <c r="AO206" s="49"/>
      <c r="AQ206" s="49"/>
      <c r="AR206" s="49"/>
      <c r="AS206" s="49"/>
      <c r="AT206" s="49"/>
      <c r="AU206" s="49"/>
      <c r="AV206" s="49"/>
      <c r="AW206" s="49"/>
      <c r="AX206" s="49"/>
      <c r="AY206" s="49"/>
    </row>
    <row r="207" spans="1:51" s="207" customFormat="1" ht="15.75" x14ac:dyDescent="0.25">
      <c r="A207" s="49"/>
      <c r="B207" s="49"/>
      <c r="C207" s="48"/>
      <c r="D207" s="60"/>
      <c r="E207" s="60"/>
      <c r="F207" s="60"/>
      <c r="G207" s="50"/>
      <c r="H207" s="61"/>
      <c r="I207" s="61"/>
      <c r="J207" s="61"/>
      <c r="K207" s="61"/>
      <c r="L207" s="61"/>
      <c r="M207" s="44"/>
      <c r="N207" s="44"/>
      <c r="O207" s="44"/>
      <c r="P207" s="44"/>
      <c r="Q207" s="64"/>
      <c r="R207" s="64"/>
      <c r="S207" s="49"/>
      <c r="T207" s="49"/>
      <c r="U207" s="49"/>
      <c r="W207" s="49"/>
      <c r="X207" s="49"/>
      <c r="Y207" s="49"/>
      <c r="Z207" s="49"/>
      <c r="AA207" s="49"/>
      <c r="AB207" s="49"/>
      <c r="AC207" s="49"/>
      <c r="AD207" s="49"/>
      <c r="AE207" s="49"/>
      <c r="AG207" s="49"/>
      <c r="AH207" s="49"/>
      <c r="AI207" s="49"/>
      <c r="AJ207" s="49"/>
      <c r="AK207" s="49"/>
      <c r="AL207" s="49"/>
      <c r="AM207" s="49"/>
      <c r="AN207" s="49"/>
      <c r="AO207" s="49"/>
      <c r="AQ207" s="49"/>
      <c r="AR207" s="49"/>
      <c r="AS207" s="49"/>
      <c r="AT207" s="49"/>
      <c r="AU207" s="49"/>
      <c r="AV207" s="49"/>
      <c r="AW207" s="49"/>
      <c r="AX207" s="49"/>
      <c r="AY207" s="49"/>
    </row>
    <row r="208" spans="1:51" s="207" customFormat="1" ht="15.75" x14ac:dyDescent="0.25">
      <c r="A208" s="49"/>
      <c r="B208" s="49"/>
      <c r="C208" s="48"/>
      <c r="D208" s="60"/>
      <c r="E208" s="60"/>
      <c r="F208" s="60"/>
      <c r="G208" s="50"/>
      <c r="H208" s="61"/>
      <c r="I208" s="61"/>
      <c r="J208" s="61"/>
      <c r="K208" s="61"/>
      <c r="L208" s="61"/>
      <c r="M208" s="44"/>
      <c r="N208" s="44"/>
      <c r="O208" s="44"/>
      <c r="P208" s="44"/>
      <c r="Q208" s="64"/>
      <c r="R208" s="64"/>
      <c r="S208" s="49"/>
      <c r="T208" s="49"/>
      <c r="U208" s="49"/>
      <c r="W208" s="49"/>
      <c r="X208" s="49"/>
      <c r="Y208" s="49"/>
      <c r="Z208" s="49"/>
      <c r="AA208" s="49"/>
      <c r="AB208" s="49"/>
      <c r="AC208" s="49"/>
      <c r="AD208" s="49"/>
      <c r="AE208" s="49"/>
      <c r="AG208" s="49"/>
      <c r="AH208" s="49"/>
      <c r="AI208" s="49"/>
      <c r="AJ208" s="49"/>
      <c r="AK208" s="49"/>
      <c r="AL208" s="49"/>
      <c r="AM208" s="49"/>
      <c r="AN208" s="49"/>
      <c r="AO208" s="49"/>
      <c r="AQ208" s="49"/>
      <c r="AR208" s="49"/>
      <c r="AS208" s="49"/>
      <c r="AT208" s="49"/>
      <c r="AU208" s="49"/>
      <c r="AV208" s="49"/>
      <c r="AW208" s="49"/>
      <c r="AX208" s="49"/>
      <c r="AY208" s="49"/>
    </row>
    <row r="209" spans="1:51" s="207" customFormat="1" ht="15.75" x14ac:dyDescent="0.25">
      <c r="A209" s="49"/>
      <c r="B209" s="49"/>
      <c r="C209" s="48"/>
      <c r="D209" s="60"/>
      <c r="E209" s="60"/>
      <c r="F209" s="60"/>
      <c r="G209" s="50"/>
      <c r="H209" s="61"/>
      <c r="I209" s="61"/>
      <c r="J209" s="61"/>
      <c r="K209" s="61"/>
      <c r="L209" s="61"/>
      <c r="M209" s="44"/>
      <c r="N209" s="44"/>
      <c r="O209" s="44"/>
      <c r="P209" s="44"/>
      <c r="Q209" s="64"/>
      <c r="R209" s="64"/>
      <c r="S209" s="49"/>
      <c r="T209" s="49"/>
      <c r="U209" s="49"/>
      <c r="W209" s="49"/>
      <c r="X209" s="49"/>
      <c r="Y209" s="49"/>
      <c r="Z209" s="49"/>
      <c r="AA209" s="49"/>
      <c r="AB209" s="49"/>
      <c r="AC209" s="49"/>
      <c r="AD209" s="49"/>
      <c r="AE209" s="49"/>
      <c r="AG209" s="49"/>
      <c r="AH209" s="49"/>
      <c r="AI209" s="49"/>
      <c r="AJ209" s="49"/>
      <c r="AK209" s="49"/>
      <c r="AL209" s="49"/>
      <c r="AM209" s="49"/>
      <c r="AN209" s="49"/>
      <c r="AO209" s="49"/>
      <c r="AQ209" s="49"/>
      <c r="AR209" s="49"/>
      <c r="AS209" s="49"/>
      <c r="AT209" s="49"/>
      <c r="AU209" s="49"/>
      <c r="AV209" s="49"/>
      <c r="AW209" s="49"/>
      <c r="AX209" s="49"/>
      <c r="AY209" s="49"/>
    </row>
    <row r="210" spans="1:51" s="207" customFormat="1" ht="15.75" x14ac:dyDescent="0.25">
      <c r="A210" s="49"/>
      <c r="B210" s="49"/>
      <c r="C210" s="48"/>
      <c r="D210" s="60"/>
      <c r="E210" s="60"/>
      <c r="F210" s="60"/>
      <c r="G210" s="50"/>
      <c r="H210" s="61"/>
      <c r="I210" s="61"/>
      <c r="J210" s="61"/>
      <c r="K210" s="61"/>
      <c r="L210" s="61"/>
      <c r="M210" s="44"/>
      <c r="N210" s="44"/>
      <c r="O210" s="44"/>
      <c r="P210" s="44"/>
      <c r="Q210" s="64"/>
      <c r="R210" s="64"/>
      <c r="S210" s="49"/>
      <c r="T210" s="49"/>
      <c r="U210" s="49"/>
      <c r="W210" s="49"/>
      <c r="X210" s="49"/>
      <c r="Y210" s="49"/>
      <c r="Z210" s="49"/>
      <c r="AA210" s="49"/>
      <c r="AB210" s="49"/>
      <c r="AC210" s="49"/>
      <c r="AD210" s="49"/>
      <c r="AE210" s="49"/>
      <c r="AG210" s="49"/>
      <c r="AH210" s="49"/>
      <c r="AI210" s="49"/>
      <c r="AJ210" s="49"/>
      <c r="AK210" s="49"/>
      <c r="AL210" s="49"/>
      <c r="AM210" s="49"/>
      <c r="AN210" s="49"/>
      <c r="AO210" s="49"/>
      <c r="AQ210" s="49"/>
      <c r="AR210" s="49"/>
      <c r="AS210" s="49"/>
      <c r="AT210" s="49"/>
      <c r="AU210" s="49"/>
      <c r="AV210" s="49"/>
      <c r="AW210" s="49"/>
      <c r="AX210" s="49"/>
      <c r="AY210" s="49"/>
    </row>
    <row r="211" spans="1:51" s="207" customFormat="1" ht="15.75" x14ac:dyDescent="0.25">
      <c r="A211" s="49"/>
      <c r="B211" s="49"/>
      <c r="C211" s="48"/>
      <c r="D211" s="60"/>
      <c r="E211" s="60"/>
      <c r="F211" s="60"/>
      <c r="G211" s="50"/>
      <c r="H211" s="61"/>
      <c r="I211" s="61"/>
      <c r="J211" s="61"/>
      <c r="K211" s="61"/>
      <c r="L211" s="61"/>
      <c r="M211" s="44"/>
      <c r="N211" s="44"/>
      <c r="O211" s="44"/>
      <c r="P211" s="44"/>
      <c r="Q211" s="64"/>
      <c r="R211" s="64"/>
      <c r="S211" s="49"/>
      <c r="T211" s="49"/>
      <c r="U211" s="49"/>
      <c r="W211" s="49"/>
      <c r="X211" s="49"/>
      <c r="Y211" s="49"/>
      <c r="Z211" s="49"/>
      <c r="AA211" s="49"/>
      <c r="AB211" s="49"/>
      <c r="AC211" s="49"/>
      <c r="AD211" s="49"/>
      <c r="AE211" s="49"/>
      <c r="AG211" s="49"/>
      <c r="AH211" s="49"/>
      <c r="AI211" s="49"/>
      <c r="AJ211" s="49"/>
      <c r="AK211" s="49"/>
      <c r="AL211" s="49"/>
      <c r="AM211" s="49"/>
      <c r="AN211" s="49"/>
      <c r="AO211" s="49"/>
      <c r="AQ211" s="49"/>
      <c r="AR211" s="49"/>
      <c r="AS211" s="49"/>
      <c r="AT211" s="49"/>
      <c r="AU211" s="49"/>
      <c r="AV211" s="49"/>
      <c r="AW211" s="49"/>
      <c r="AX211" s="49"/>
      <c r="AY211" s="49"/>
    </row>
    <row r="212" spans="1:51" s="207" customFormat="1" ht="15.75" x14ac:dyDescent="0.25">
      <c r="A212" s="49"/>
      <c r="B212" s="49"/>
      <c r="C212" s="48"/>
      <c r="D212" s="60"/>
      <c r="E212" s="60"/>
      <c r="F212" s="60"/>
      <c r="G212" s="50"/>
      <c r="H212" s="61"/>
      <c r="I212" s="61"/>
      <c r="J212" s="61"/>
      <c r="K212" s="61"/>
      <c r="L212" s="61"/>
      <c r="M212" s="44"/>
      <c r="N212" s="44"/>
      <c r="O212" s="44"/>
      <c r="P212" s="44"/>
      <c r="Q212" s="64"/>
      <c r="R212" s="64"/>
      <c r="S212" s="49"/>
      <c r="T212" s="49"/>
      <c r="U212" s="49"/>
      <c r="W212" s="49"/>
      <c r="X212" s="49"/>
      <c r="Y212" s="49"/>
      <c r="Z212" s="49"/>
      <c r="AA212" s="49"/>
      <c r="AB212" s="49"/>
      <c r="AC212" s="49"/>
      <c r="AD212" s="49"/>
      <c r="AE212" s="49"/>
      <c r="AG212" s="49"/>
      <c r="AH212" s="49"/>
      <c r="AI212" s="49"/>
      <c r="AJ212" s="49"/>
      <c r="AK212" s="49"/>
      <c r="AL212" s="49"/>
      <c r="AM212" s="49"/>
      <c r="AN212" s="49"/>
      <c r="AO212" s="49"/>
      <c r="AQ212" s="49"/>
      <c r="AR212" s="49"/>
      <c r="AS212" s="49"/>
      <c r="AT212" s="49"/>
      <c r="AU212" s="49"/>
      <c r="AV212" s="49"/>
      <c r="AW212" s="49"/>
      <c r="AX212" s="49"/>
      <c r="AY212" s="49"/>
    </row>
    <row r="213" spans="1:51" s="207" customFormat="1" ht="15.75" x14ac:dyDescent="0.25">
      <c r="A213" s="49"/>
      <c r="B213" s="49"/>
      <c r="C213" s="48"/>
      <c r="D213" s="60"/>
      <c r="E213" s="60"/>
      <c r="F213" s="60"/>
      <c r="G213" s="50"/>
      <c r="H213" s="61"/>
      <c r="I213" s="61"/>
      <c r="J213" s="61"/>
      <c r="K213" s="61"/>
      <c r="L213" s="61"/>
      <c r="M213" s="44"/>
      <c r="N213" s="44"/>
      <c r="O213" s="44"/>
      <c r="P213" s="44"/>
      <c r="Q213" s="64"/>
      <c r="R213" s="64"/>
      <c r="S213" s="49"/>
      <c r="T213" s="49"/>
      <c r="U213" s="49"/>
      <c r="W213" s="49"/>
      <c r="X213" s="49"/>
      <c r="Y213" s="49"/>
      <c r="Z213" s="49"/>
      <c r="AA213" s="49"/>
      <c r="AB213" s="49"/>
      <c r="AC213" s="49"/>
      <c r="AD213" s="49"/>
      <c r="AE213" s="49"/>
      <c r="AG213" s="49"/>
      <c r="AH213" s="49"/>
      <c r="AI213" s="49"/>
      <c r="AJ213" s="49"/>
      <c r="AK213" s="49"/>
      <c r="AL213" s="49"/>
      <c r="AM213" s="49"/>
      <c r="AN213" s="49"/>
      <c r="AO213" s="49"/>
      <c r="AQ213" s="49"/>
      <c r="AR213" s="49"/>
      <c r="AS213" s="49"/>
      <c r="AT213" s="49"/>
      <c r="AU213" s="49"/>
      <c r="AV213" s="49"/>
      <c r="AW213" s="49"/>
      <c r="AX213" s="49"/>
      <c r="AY213" s="49"/>
    </row>
    <row r="214" spans="1:51" s="207" customFormat="1" ht="15.75" x14ac:dyDescent="0.25">
      <c r="A214" s="49"/>
      <c r="B214" s="49"/>
      <c r="C214" s="48"/>
      <c r="D214" s="60"/>
      <c r="E214" s="60"/>
      <c r="F214" s="60"/>
      <c r="G214" s="50"/>
      <c r="H214" s="61"/>
      <c r="I214" s="61"/>
      <c r="J214" s="61"/>
      <c r="K214" s="61"/>
      <c r="L214" s="61"/>
      <c r="M214" s="44"/>
      <c r="N214" s="44"/>
      <c r="O214" s="44"/>
      <c r="P214" s="44"/>
      <c r="Q214" s="64"/>
      <c r="R214" s="64"/>
      <c r="S214" s="49"/>
      <c r="T214" s="49"/>
      <c r="U214" s="49"/>
      <c r="W214" s="49"/>
      <c r="X214" s="49"/>
      <c r="Y214" s="49"/>
      <c r="Z214" s="49"/>
      <c r="AA214" s="49"/>
      <c r="AB214" s="49"/>
      <c r="AC214" s="49"/>
      <c r="AD214" s="49"/>
      <c r="AE214" s="49"/>
      <c r="AG214" s="49"/>
      <c r="AH214" s="49"/>
      <c r="AI214" s="49"/>
      <c r="AJ214" s="49"/>
      <c r="AK214" s="49"/>
      <c r="AL214" s="49"/>
      <c r="AM214" s="49"/>
      <c r="AN214" s="49"/>
      <c r="AO214" s="49"/>
      <c r="AQ214" s="49"/>
      <c r="AR214" s="49"/>
      <c r="AS214" s="49"/>
      <c r="AT214" s="49"/>
      <c r="AU214" s="49"/>
      <c r="AV214" s="49"/>
      <c r="AW214" s="49"/>
      <c r="AX214" s="49"/>
      <c r="AY214" s="49"/>
    </row>
    <row r="215" spans="1:51" s="207" customFormat="1" ht="15.75" x14ac:dyDescent="0.25">
      <c r="A215" s="49"/>
      <c r="B215" s="49"/>
      <c r="C215" s="48"/>
      <c r="D215" s="60"/>
      <c r="E215" s="60"/>
      <c r="F215" s="60"/>
      <c r="G215" s="50"/>
      <c r="H215" s="61"/>
      <c r="I215" s="61"/>
      <c r="J215" s="61"/>
      <c r="K215" s="61"/>
      <c r="L215" s="61"/>
      <c r="M215" s="44"/>
      <c r="N215" s="44"/>
      <c r="O215" s="44"/>
      <c r="P215" s="44"/>
      <c r="Q215" s="64"/>
      <c r="R215" s="64"/>
      <c r="S215" s="49"/>
      <c r="T215" s="49"/>
      <c r="U215" s="49"/>
      <c r="W215" s="49"/>
      <c r="X215" s="49"/>
      <c r="Y215" s="49"/>
      <c r="Z215" s="49"/>
      <c r="AA215" s="49"/>
      <c r="AB215" s="49"/>
      <c r="AC215" s="49"/>
      <c r="AD215" s="49"/>
      <c r="AE215" s="49"/>
      <c r="AG215" s="49"/>
      <c r="AH215" s="49"/>
      <c r="AI215" s="49"/>
      <c r="AJ215" s="49"/>
      <c r="AK215" s="49"/>
      <c r="AL215" s="49"/>
      <c r="AM215" s="49"/>
      <c r="AN215" s="49"/>
      <c r="AO215" s="49"/>
      <c r="AQ215" s="49"/>
      <c r="AR215" s="49"/>
      <c r="AS215" s="49"/>
      <c r="AT215" s="49"/>
      <c r="AU215" s="49"/>
      <c r="AV215" s="49"/>
      <c r="AW215" s="49"/>
      <c r="AX215" s="49"/>
      <c r="AY215" s="49"/>
    </row>
    <row r="216" spans="1:51" s="207" customFormat="1" ht="15.75" x14ac:dyDescent="0.25">
      <c r="A216" s="49"/>
      <c r="B216" s="49"/>
      <c r="C216" s="48"/>
      <c r="D216" s="60"/>
      <c r="E216" s="60"/>
      <c r="F216" s="60"/>
      <c r="G216" s="50"/>
      <c r="H216" s="61"/>
      <c r="I216" s="61"/>
      <c r="J216" s="61"/>
      <c r="K216" s="61"/>
      <c r="L216" s="61"/>
      <c r="M216" s="44"/>
      <c r="N216" s="44"/>
      <c r="O216" s="44"/>
      <c r="P216" s="44"/>
      <c r="Q216" s="64"/>
      <c r="R216" s="64"/>
      <c r="S216" s="49"/>
      <c r="T216" s="49"/>
      <c r="U216" s="49"/>
      <c r="W216" s="49"/>
      <c r="X216" s="49"/>
      <c r="Y216" s="49"/>
      <c r="Z216" s="49"/>
      <c r="AA216" s="49"/>
      <c r="AB216" s="49"/>
      <c r="AC216" s="49"/>
      <c r="AD216" s="49"/>
      <c r="AE216" s="49"/>
      <c r="AG216" s="49"/>
      <c r="AH216" s="49"/>
      <c r="AI216" s="49"/>
      <c r="AJ216" s="49"/>
      <c r="AK216" s="49"/>
      <c r="AL216" s="49"/>
      <c r="AM216" s="49"/>
      <c r="AN216" s="49"/>
      <c r="AO216" s="49"/>
      <c r="AQ216" s="49"/>
      <c r="AR216" s="49"/>
      <c r="AS216" s="49"/>
      <c r="AT216" s="49"/>
      <c r="AU216" s="49"/>
      <c r="AV216" s="49"/>
      <c r="AW216" s="49"/>
      <c r="AX216" s="49"/>
      <c r="AY216" s="49"/>
    </row>
    <row r="217" spans="1:51" s="207" customFormat="1" ht="15.75" x14ac:dyDescent="0.25">
      <c r="A217" s="49"/>
      <c r="B217" s="49"/>
      <c r="C217" s="48"/>
      <c r="D217" s="60"/>
      <c r="E217" s="60"/>
      <c r="F217" s="60"/>
      <c r="G217" s="50"/>
      <c r="H217" s="61"/>
      <c r="I217" s="61"/>
      <c r="J217" s="61"/>
      <c r="K217" s="61"/>
      <c r="L217" s="61"/>
      <c r="M217" s="44"/>
      <c r="N217" s="44"/>
      <c r="O217" s="44"/>
      <c r="P217" s="44"/>
      <c r="Q217" s="64"/>
      <c r="R217" s="64"/>
      <c r="S217" s="49"/>
      <c r="T217" s="49"/>
      <c r="U217" s="49"/>
      <c r="W217" s="49"/>
      <c r="X217" s="49"/>
      <c r="Y217" s="49"/>
      <c r="Z217" s="49"/>
      <c r="AA217" s="49"/>
      <c r="AB217" s="49"/>
      <c r="AC217" s="49"/>
      <c r="AD217" s="49"/>
      <c r="AE217" s="49"/>
      <c r="AG217" s="49"/>
      <c r="AH217" s="49"/>
      <c r="AI217" s="49"/>
      <c r="AJ217" s="49"/>
      <c r="AK217" s="49"/>
      <c r="AL217" s="49"/>
      <c r="AM217" s="49"/>
      <c r="AN217" s="49"/>
      <c r="AO217" s="49"/>
      <c r="AQ217" s="49"/>
      <c r="AR217" s="49"/>
      <c r="AS217" s="49"/>
      <c r="AT217" s="49"/>
      <c r="AU217" s="49"/>
      <c r="AV217" s="49"/>
      <c r="AW217" s="49"/>
      <c r="AX217" s="49"/>
      <c r="AY217" s="49"/>
    </row>
    <row r="218" spans="1:51" s="207" customFormat="1" ht="15.75" x14ac:dyDescent="0.25">
      <c r="A218" s="49"/>
      <c r="B218" s="49"/>
      <c r="C218" s="48"/>
      <c r="D218" s="60"/>
      <c r="E218" s="60"/>
      <c r="F218" s="60"/>
      <c r="G218" s="50"/>
      <c r="H218" s="61"/>
      <c r="I218" s="61"/>
      <c r="J218" s="61"/>
      <c r="K218" s="61"/>
      <c r="L218" s="61"/>
      <c r="M218" s="44"/>
      <c r="N218" s="44"/>
      <c r="O218" s="44"/>
      <c r="P218" s="44"/>
      <c r="Q218" s="64"/>
      <c r="R218" s="64"/>
      <c r="S218" s="49"/>
      <c r="T218" s="49"/>
      <c r="U218" s="49"/>
      <c r="W218" s="49"/>
      <c r="X218" s="49"/>
      <c r="Y218" s="49"/>
      <c r="Z218" s="49"/>
      <c r="AA218" s="49"/>
      <c r="AB218" s="49"/>
      <c r="AC218" s="49"/>
      <c r="AD218" s="49"/>
      <c r="AE218" s="49"/>
      <c r="AG218" s="49"/>
      <c r="AH218" s="49"/>
      <c r="AI218" s="49"/>
      <c r="AJ218" s="49"/>
      <c r="AK218" s="49"/>
      <c r="AL218" s="49"/>
      <c r="AM218" s="49"/>
      <c r="AN218" s="49"/>
      <c r="AO218" s="49"/>
      <c r="AQ218" s="49"/>
      <c r="AR218" s="49"/>
      <c r="AS218" s="49"/>
      <c r="AT218" s="49"/>
      <c r="AU218" s="49"/>
      <c r="AV218" s="49"/>
      <c r="AW218" s="49"/>
      <c r="AX218" s="49"/>
      <c r="AY218" s="49"/>
    </row>
    <row r="219" spans="1:51" s="207" customFormat="1" ht="15.75" x14ac:dyDescent="0.25">
      <c r="A219" s="49"/>
      <c r="B219" s="49"/>
      <c r="C219" s="48"/>
      <c r="D219" s="60"/>
      <c r="E219" s="60"/>
      <c r="F219" s="60"/>
      <c r="G219" s="50"/>
      <c r="H219" s="61"/>
      <c r="I219" s="61"/>
      <c r="J219" s="61"/>
      <c r="K219" s="61"/>
      <c r="L219" s="61"/>
      <c r="M219" s="44"/>
      <c r="N219" s="44"/>
      <c r="O219" s="44"/>
      <c r="P219" s="44"/>
      <c r="Q219" s="64"/>
      <c r="R219" s="64"/>
      <c r="S219" s="49"/>
      <c r="T219" s="49"/>
      <c r="U219" s="49"/>
      <c r="W219" s="49"/>
      <c r="X219" s="49"/>
      <c r="Y219" s="49"/>
      <c r="Z219" s="49"/>
      <c r="AA219" s="49"/>
      <c r="AB219" s="49"/>
      <c r="AC219" s="49"/>
      <c r="AD219" s="49"/>
      <c r="AE219" s="49"/>
      <c r="AG219" s="49"/>
      <c r="AH219" s="49"/>
      <c r="AI219" s="49"/>
      <c r="AJ219" s="49"/>
      <c r="AK219" s="49"/>
      <c r="AL219" s="49"/>
      <c r="AM219" s="49"/>
      <c r="AN219" s="49"/>
      <c r="AO219" s="49"/>
      <c r="AQ219" s="49"/>
      <c r="AR219" s="49"/>
      <c r="AS219" s="49"/>
      <c r="AT219" s="49"/>
      <c r="AU219" s="49"/>
      <c r="AV219" s="49"/>
      <c r="AW219" s="49"/>
      <c r="AX219" s="49"/>
      <c r="AY219" s="49"/>
    </row>
    <row r="220" spans="1:51" s="207" customFormat="1" ht="15.75" x14ac:dyDescent="0.25">
      <c r="A220" s="49"/>
      <c r="B220" s="49"/>
      <c r="C220" s="48"/>
      <c r="D220" s="60"/>
      <c r="E220" s="60"/>
      <c r="F220" s="60"/>
      <c r="G220" s="50"/>
      <c r="H220" s="61"/>
      <c r="I220" s="61"/>
      <c r="J220" s="61"/>
      <c r="K220" s="61"/>
      <c r="L220" s="61"/>
      <c r="M220" s="44"/>
      <c r="N220" s="44"/>
      <c r="O220" s="44"/>
      <c r="P220" s="44"/>
      <c r="Q220" s="64"/>
      <c r="R220" s="64"/>
      <c r="S220" s="49"/>
      <c r="T220" s="49"/>
      <c r="U220" s="49"/>
      <c r="W220" s="49"/>
      <c r="X220" s="49"/>
      <c r="Y220" s="49"/>
      <c r="Z220" s="49"/>
      <c r="AA220" s="49"/>
      <c r="AB220" s="49"/>
      <c r="AC220" s="49"/>
      <c r="AD220" s="49"/>
      <c r="AE220" s="49"/>
      <c r="AG220" s="49"/>
      <c r="AH220" s="49"/>
      <c r="AI220" s="49"/>
      <c r="AJ220" s="49"/>
      <c r="AK220" s="49"/>
      <c r="AL220" s="49"/>
      <c r="AM220" s="49"/>
      <c r="AN220" s="49"/>
      <c r="AO220" s="49"/>
      <c r="AQ220" s="49"/>
      <c r="AR220" s="49"/>
      <c r="AS220" s="49"/>
      <c r="AT220" s="49"/>
      <c r="AU220" s="49"/>
      <c r="AV220" s="49"/>
      <c r="AW220" s="49"/>
      <c r="AX220" s="49"/>
      <c r="AY220" s="49"/>
    </row>
    <row r="221" spans="1:51" s="207" customFormat="1" ht="15.75" x14ac:dyDescent="0.25">
      <c r="A221" s="49"/>
      <c r="B221" s="49"/>
      <c r="C221" s="48"/>
      <c r="D221" s="60"/>
      <c r="E221" s="60"/>
      <c r="F221" s="60"/>
      <c r="G221" s="50"/>
      <c r="H221" s="61"/>
      <c r="I221" s="61"/>
      <c r="J221" s="61"/>
      <c r="K221" s="61"/>
      <c r="L221" s="61"/>
      <c r="M221" s="44"/>
      <c r="N221" s="44"/>
      <c r="O221" s="44"/>
      <c r="P221" s="44"/>
      <c r="Q221" s="64"/>
      <c r="R221" s="64"/>
      <c r="S221" s="49"/>
      <c r="T221" s="49"/>
      <c r="U221" s="49"/>
      <c r="W221" s="49"/>
      <c r="X221" s="49"/>
      <c r="Y221" s="49"/>
      <c r="Z221" s="49"/>
      <c r="AA221" s="49"/>
      <c r="AB221" s="49"/>
      <c r="AC221" s="49"/>
      <c r="AD221" s="49"/>
      <c r="AE221" s="49"/>
      <c r="AG221" s="49"/>
      <c r="AH221" s="49"/>
      <c r="AI221" s="49"/>
      <c r="AJ221" s="49"/>
      <c r="AK221" s="49"/>
      <c r="AL221" s="49"/>
      <c r="AM221" s="49"/>
      <c r="AN221" s="49"/>
      <c r="AO221" s="49"/>
      <c r="AQ221" s="49"/>
      <c r="AR221" s="49"/>
      <c r="AS221" s="49"/>
      <c r="AT221" s="49"/>
      <c r="AU221" s="49"/>
      <c r="AV221" s="49"/>
      <c r="AW221" s="49"/>
      <c r="AX221" s="49"/>
      <c r="AY221" s="49"/>
    </row>
    <row r="222" spans="1:51" s="207" customFormat="1" ht="15.75" x14ac:dyDescent="0.25">
      <c r="A222" s="49"/>
      <c r="B222" s="49"/>
      <c r="C222" s="48"/>
      <c r="D222" s="60"/>
      <c r="E222" s="60"/>
      <c r="F222" s="60"/>
      <c r="G222" s="50"/>
      <c r="H222" s="61"/>
      <c r="I222" s="61"/>
      <c r="J222" s="61"/>
      <c r="K222" s="61"/>
      <c r="L222" s="61"/>
      <c r="M222" s="44"/>
      <c r="N222" s="44"/>
      <c r="O222" s="44"/>
      <c r="P222" s="44"/>
      <c r="Q222" s="64"/>
      <c r="R222" s="64"/>
      <c r="S222" s="49"/>
      <c r="T222" s="49"/>
      <c r="U222" s="49"/>
      <c r="W222" s="49"/>
      <c r="X222" s="49"/>
      <c r="Y222" s="49"/>
      <c r="Z222" s="49"/>
      <c r="AA222" s="49"/>
      <c r="AB222" s="49"/>
      <c r="AC222" s="49"/>
      <c r="AD222" s="49"/>
      <c r="AE222" s="49"/>
      <c r="AG222" s="49"/>
      <c r="AH222" s="49"/>
      <c r="AI222" s="49"/>
      <c r="AJ222" s="49"/>
      <c r="AK222" s="49"/>
      <c r="AL222" s="49"/>
      <c r="AM222" s="49"/>
      <c r="AN222" s="49"/>
      <c r="AO222" s="49"/>
      <c r="AQ222" s="49"/>
      <c r="AR222" s="49"/>
      <c r="AS222" s="49"/>
      <c r="AT222" s="49"/>
      <c r="AU222" s="49"/>
      <c r="AV222" s="49"/>
      <c r="AW222" s="49"/>
      <c r="AX222" s="49"/>
      <c r="AY222" s="49"/>
    </row>
    <row r="223" spans="1:51" s="207" customFormat="1" ht="15.75" x14ac:dyDescent="0.25">
      <c r="A223" s="49"/>
      <c r="B223" s="49"/>
      <c r="C223" s="48"/>
      <c r="D223" s="60"/>
      <c r="E223" s="60"/>
      <c r="F223" s="60"/>
      <c r="G223" s="50"/>
      <c r="H223" s="61"/>
      <c r="I223" s="61"/>
      <c r="J223" s="61"/>
      <c r="K223" s="61"/>
      <c r="L223" s="61"/>
      <c r="M223" s="44"/>
      <c r="N223" s="44"/>
      <c r="O223" s="44"/>
      <c r="P223" s="44"/>
      <c r="Q223" s="64"/>
      <c r="R223" s="64"/>
      <c r="S223" s="49"/>
      <c r="T223" s="49"/>
      <c r="U223" s="49"/>
      <c r="W223" s="49"/>
      <c r="X223" s="49"/>
      <c r="Y223" s="49"/>
      <c r="Z223" s="49"/>
      <c r="AA223" s="49"/>
      <c r="AB223" s="49"/>
      <c r="AC223" s="49"/>
      <c r="AD223" s="49"/>
      <c r="AE223" s="49"/>
      <c r="AG223" s="49"/>
      <c r="AH223" s="49"/>
      <c r="AI223" s="49"/>
      <c r="AJ223" s="49"/>
      <c r="AK223" s="49"/>
      <c r="AL223" s="49"/>
      <c r="AM223" s="49"/>
      <c r="AN223" s="49"/>
      <c r="AO223" s="49"/>
      <c r="AQ223" s="49"/>
      <c r="AR223" s="49"/>
      <c r="AS223" s="49"/>
      <c r="AT223" s="49"/>
      <c r="AU223" s="49"/>
      <c r="AV223" s="49"/>
      <c r="AW223" s="49"/>
      <c r="AX223" s="49"/>
      <c r="AY223" s="49"/>
    </row>
    <row r="224" spans="1:51" s="207" customFormat="1" ht="15.75" x14ac:dyDescent="0.25">
      <c r="A224" s="49"/>
      <c r="B224" s="49"/>
      <c r="C224" s="48"/>
      <c r="D224" s="60"/>
      <c r="E224" s="60"/>
      <c r="F224" s="60"/>
      <c r="G224" s="50"/>
      <c r="H224" s="61"/>
      <c r="I224" s="61"/>
      <c r="J224" s="61"/>
      <c r="K224" s="61"/>
      <c r="L224" s="61"/>
      <c r="M224" s="44"/>
      <c r="N224" s="44"/>
      <c r="O224" s="44"/>
      <c r="P224" s="44"/>
      <c r="Q224" s="64"/>
      <c r="R224" s="64"/>
      <c r="S224" s="49"/>
      <c r="T224" s="49"/>
      <c r="U224" s="49"/>
      <c r="W224" s="49"/>
      <c r="X224" s="49"/>
      <c r="Y224" s="49"/>
      <c r="Z224" s="49"/>
      <c r="AA224" s="49"/>
      <c r="AB224" s="49"/>
      <c r="AC224" s="49"/>
      <c r="AD224" s="49"/>
      <c r="AE224" s="49"/>
      <c r="AG224" s="49"/>
      <c r="AH224" s="49"/>
      <c r="AI224" s="49"/>
      <c r="AJ224" s="49"/>
      <c r="AK224" s="49"/>
      <c r="AL224" s="49"/>
      <c r="AM224" s="49"/>
      <c r="AN224" s="49"/>
      <c r="AO224" s="49"/>
      <c r="AQ224" s="49"/>
      <c r="AR224" s="49"/>
      <c r="AS224" s="49"/>
      <c r="AT224" s="49"/>
      <c r="AU224" s="49"/>
      <c r="AV224" s="49"/>
      <c r="AW224" s="49"/>
      <c r="AX224" s="49"/>
      <c r="AY224" s="49"/>
    </row>
    <row r="225" spans="1:51" s="207" customFormat="1" ht="15.75" x14ac:dyDescent="0.25">
      <c r="A225" s="49"/>
      <c r="B225" s="49"/>
      <c r="C225" s="48"/>
      <c r="D225" s="60"/>
      <c r="E225" s="60"/>
      <c r="F225" s="60"/>
      <c r="G225" s="50"/>
      <c r="H225" s="61"/>
      <c r="I225" s="61"/>
      <c r="J225" s="61"/>
      <c r="K225" s="61"/>
      <c r="L225" s="61"/>
      <c r="M225" s="44"/>
      <c r="N225" s="44"/>
      <c r="O225" s="44"/>
      <c r="P225" s="44"/>
      <c r="Q225" s="64"/>
      <c r="R225" s="64"/>
      <c r="S225" s="49"/>
      <c r="T225" s="49"/>
      <c r="U225" s="49"/>
      <c r="W225" s="49"/>
      <c r="X225" s="49"/>
      <c r="Y225" s="49"/>
      <c r="Z225" s="49"/>
      <c r="AA225" s="49"/>
      <c r="AB225" s="49"/>
      <c r="AC225" s="49"/>
      <c r="AD225" s="49"/>
      <c r="AE225" s="49"/>
      <c r="AG225" s="49"/>
      <c r="AH225" s="49"/>
      <c r="AI225" s="49"/>
      <c r="AJ225" s="49"/>
      <c r="AK225" s="49"/>
      <c r="AL225" s="49"/>
      <c r="AM225" s="49"/>
      <c r="AN225" s="49"/>
      <c r="AO225" s="49"/>
      <c r="AQ225" s="49"/>
      <c r="AR225" s="49"/>
      <c r="AS225" s="49"/>
      <c r="AT225" s="49"/>
      <c r="AU225" s="49"/>
      <c r="AV225" s="49"/>
      <c r="AW225" s="49"/>
      <c r="AX225" s="49"/>
      <c r="AY225" s="49"/>
    </row>
    <row r="226" spans="1:51" s="207" customFormat="1" ht="15.75" x14ac:dyDescent="0.25">
      <c r="A226" s="49"/>
      <c r="B226" s="49"/>
      <c r="C226" s="48"/>
      <c r="D226" s="60"/>
      <c r="E226" s="60"/>
      <c r="F226" s="60"/>
      <c r="G226" s="50"/>
      <c r="H226" s="61"/>
      <c r="I226" s="61"/>
      <c r="J226" s="61"/>
      <c r="K226" s="61"/>
      <c r="L226" s="61"/>
      <c r="M226" s="44"/>
      <c r="N226" s="44"/>
      <c r="O226" s="44"/>
      <c r="P226" s="44"/>
      <c r="Q226" s="64"/>
      <c r="R226" s="64"/>
      <c r="S226" s="49"/>
      <c r="T226" s="49"/>
      <c r="U226" s="49"/>
      <c r="W226" s="49"/>
      <c r="X226" s="49"/>
      <c r="Y226" s="49"/>
      <c r="Z226" s="49"/>
      <c r="AA226" s="49"/>
      <c r="AB226" s="49"/>
      <c r="AC226" s="49"/>
      <c r="AD226" s="49"/>
      <c r="AE226" s="49"/>
      <c r="AG226" s="49"/>
      <c r="AH226" s="49"/>
      <c r="AI226" s="49"/>
      <c r="AJ226" s="49"/>
      <c r="AK226" s="49"/>
      <c r="AL226" s="49"/>
      <c r="AM226" s="49"/>
      <c r="AN226" s="49"/>
      <c r="AO226" s="49"/>
      <c r="AQ226" s="49"/>
      <c r="AR226" s="49"/>
      <c r="AS226" s="49"/>
      <c r="AT226" s="49"/>
      <c r="AU226" s="49"/>
      <c r="AV226" s="49"/>
      <c r="AW226" s="49"/>
      <c r="AX226" s="49"/>
      <c r="AY226" s="49"/>
    </row>
    <row r="227" spans="1:51" s="207" customFormat="1" ht="15.75" x14ac:dyDescent="0.25">
      <c r="A227" s="49"/>
      <c r="B227" s="49"/>
      <c r="C227" s="48"/>
      <c r="D227" s="60"/>
      <c r="E227" s="60"/>
      <c r="F227" s="60"/>
      <c r="G227" s="50"/>
      <c r="H227" s="61"/>
      <c r="I227" s="61"/>
      <c r="J227" s="61"/>
      <c r="K227" s="61"/>
      <c r="L227" s="61"/>
      <c r="M227" s="44"/>
      <c r="N227" s="44"/>
      <c r="O227" s="44"/>
      <c r="P227" s="44"/>
      <c r="Q227" s="64"/>
      <c r="R227" s="64"/>
      <c r="S227" s="49"/>
      <c r="T227" s="49"/>
      <c r="U227" s="49"/>
      <c r="W227" s="49"/>
      <c r="X227" s="49"/>
      <c r="Y227" s="49"/>
      <c r="Z227" s="49"/>
      <c r="AA227" s="49"/>
      <c r="AB227" s="49"/>
      <c r="AC227" s="49"/>
      <c r="AD227" s="49"/>
      <c r="AE227" s="49"/>
      <c r="AG227" s="49"/>
      <c r="AH227" s="49"/>
      <c r="AI227" s="49"/>
      <c r="AJ227" s="49"/>
      <c r="AK227" s="49"/>
      <c r="AL227" s="49"/>
      <c r="AM227" s="49"/>
      <c r="AN227" s="49"/>
      <c r="AO227" s="49"/>
      <c r="AQ227" s="49"/>
      <c r="AR227" s="49"/>
      <c r="AS227" s="49"/>
      <c r="AT227" s="49"/>
      <c r="AU227" s="49"/>
      <c r="AV227" s="49"/>
      <c r="AW227" s="49"/>
      <c r="AX227" s="49"/>
      <c r="AY227" s="49"/>
    </row>
    <row r="228" spans="1:51" s="207" customFormat="1" ht="15.75" x14ac:dyDescent="0.25">
      <c r="A228" s="49"/>
      <c r="B228" s="49"/>
      <c r="C228" s="48"/>
      <c r="D228" s="60"/>
      <c r="E228" s="60"/>
      <c r="F228" s="60"/>
      <c r="G228" s="50"/>
      <c r="H228" s="61"/>
      <c r="I228" s="61"/>
      <c r="J228" s="61"/>
      <c r="K228" s="61"/>
      <c r="L228" s="61"/>
      <c r="M228" s="44"/>
      <c r="N228" s="44"/>
      <c r="O228" s="44"/>
      <c r="P228" s="44"/>
      <c r="Q228" s="64"/>
      <c r="R228" s="64"/>
      <c r="S228" s="49"/>
      <c r="T228" s="49"/>
      <c r="U228" s="49"/>
      <c r="W228" s="49"/>
      <c r="X228" s="49"/>
      <c r="Y228" s="49"/>
      <c r="Z228" s="49"/>
      <c r="AA228" s="49"/>
      <c r="AB228" s="49"/>
      <c r="AC228" s="49"/>
      <c r="AD228" s="49"/>
      <c r="AE228" s="49"/>
      <c r="AG228" s="49"/>
      <c r="AH228" s="49"/>
      <c r="AI228" s="49"/>
      <c r="AJ228" s="49"/>
      <c r="AK228" s="49"/>
      <c r="AL228" s="49"/>
      <c r="AM228" s="49"/>
      <c r="AN228" s="49"/>
      <c r="AO228" s="49"/>
      <c r="AQ228" s="49"/>
      <c r="AR228" s="49"/>
      <c r="AS228" s="49"/>
      <c r="AT228" s="49"/>
      <c r="AU228" s="49"/>
      <c r="AV228" s="49"/>
      <c r="AW228" s="49"/>
      <c r="AX228" s="49"/>
      <c r="AY228" s="49"/>
    </row>
    <row r="229" spans="1:51" s="207" customFormat="1" ht="15.75" x14ac:dyDescent="0.25">
      <c r="A229" s="49"/>
      <c r="B229" s="49"/>
      <c r="C229" s="48"/>
      <c r="D229" s="60"/>
      <c r="E229" s="60"/>
      <c r="F229" s="60"/>
      <c r="G229" s="50"/>
      <c r="H229" s="61"/>
      <c r="I229" s="61"/>
      <c r="J229" s="61"/>
      <c r="K229" s="61"/>
      <c r="L229" s="61"/>
      <c r="M229" s="44"/>
      <c r="N229" s="44"/>
      <c r="O229" s="44"/>
      <c r="P229" s="44"/>
      <c r="Q229" s="64"/>
      <c r="R229" s="64"/>
      <c r="S229" s="49"/>
      <c r="T229" s="49"/>
      <c r="U229" s="49"/>
      <c r="W229" s="49"/>
      <c r="X229" s="49"/>
      <c r="Y229" s="49"/>
      <c r="Z229" s="49"/>
      <c r="AA229" s="49"/>
      <c r="AB229" s="49"/>
      <c r="AC229" s="49"/>
      <c r="AD229" s="49"/>
      <c r="AE229" s="49"/>
      <c r="AG229" s="49"/>
      <c r="AH229" s="49"/>
      <c r="AI229" s="49"/>
      <c r="AJ229" s="49"/>
      <c r="AK229" s="49"/>
      <c r="AL229" s="49"/>
      <c r="AM229" s="49"/>
      <c r="AN229" s="49"/>
      <c r="AO229" s="49"/>
      <c r="AQ229" s="49"/>
      <c r="AR229" s="49"/>
      <c r="AS229" s="49"/>
      <c r="AT229" s="49"/>
      <c r="AU229" s="49"/>
      <c r="AV229" s="49"/>
      <c r="AW229" s="49"/>
      <c r="AX229" s="49"/>
      <c r="AY229" s="49"/>
    </row>
    <row r="230" spans="1:51" s="207" customFormat="1" ht="15.75" x14ac:dyDescent="0.25">
      <c r="A230" s="49"/>
      <c r="B230" s="49"/>
      <c r="C230" s="48"/>
      <c r="D230" s="60"/>
      <c r="E230" s="60"/>
      <c r="F230" s="60"/>
      <c r="G230" s="50"/>
      <c r="H230" s="61"/>
      <c r="I230" s="61"/>
      <c r="J230" s="61"/>
      <c r="K230" s="61"/>
      <c r="L230" s="61"/>
      <c r="M230" s="44"/>
      <c r="N230" s="44"/>
      <c r="O230" s="44"/>
      <c r="P230" s="44"/>
      <c r="Q230" s="64"/>
      <c r="R230" s="64"/>
      <c r="S230" s="49"/>
      <c r="T230" s="49"/>
      <c r="U230" s="49"/>
      <c r="W230" s="49"/>
      <c r="X230" s="49"/>
      <c r="Y230" s="49"/>
      <c r="Z230" s="49"/>
      <c r="AA230" s="49"/>
      <c r="AB230" s="49"/>
      <c r="AC230" s="49"/>
      <c r="AD230" s="49"/>
      <c r="AE230" s="49"/>
      <c r="AG230" s="49"/>
      <c r="AH230" s="49"/>
      <c r="AI230" s="49"/>
      <c r="AJ230" s="49"/>
      <c r="AK230" s="49"/>
      <c r="AL230" s="49"/>
      <c r="AM230" s="49"/>
      <c r="AN230" s="49"/>
      <c r="AO230" s="49"/>
      <c r="AQ230" s="49"/>
      <c r="AR230" s="49"/>
      <c r="AS230" s="49"/>
      <c r="AT230" s="49"/>
      <c r="AU230" s="49"/>
      <c r="AV230" s="49"/>
      <c r="AW230" s="49"/>
      <c r="AX230" s="49"/>
      <c r="AY230" s="49"/>
    </row>
    <row r="231" spans="1:51" s="207" customFormat="1" ht="15.75" x14ac:dyDescent="0.25">
      <c r="A231" s="49"/>
      <c r="B231" s="49"/>
      <c r="C231" s="48"/>
      <c r="D231" s="60"/>
      <c r="E231" s="60"/>
      <c r="F231" s="60"/>
      <c r="G231" s="50"/>
      <c r="H231" s="61"/>
      <c r="I231" s="61"/>
      <c r="J231" s="61"/>
      <c r="K231" s="61"/>
      <c r="L231" s="61"/>
      <c r="M231" s="44"/>
      <c r="N231" s="44"/>
      <c r="O231" s="44"/>
      <c r="P231" s="44"/>
      <c r="Q231" s="64"/>
      <c r="R231" s="64"/>
      <c r="S231" s="49"/>
      <c r="T231" s="49"/>
      <c r="U231" s="49"/>
      <c r="W231" s="49"/>
      <c r="X231" s="49"/>
      <c r="Y231" s="49"/>
      <c r="Z231" s="49"/>
      <c r="AA231" s="49"/>
      <c r="AB231" s="49"/>
      <c r="AC231" s="49"/>
      <c r="AD231" s="49"/>
      <c r="AE231" s="49"/>
      <c r="AG231" s="49"/>
      <c r="AH231" s="49"/>
      <c r="AI231" s="49"/>
      <c r="AJ231" s="49"/>
      <c r="AK231" s="49"/>
      <c r="AL231" s="49"/>
      <c r="AM231" s="49"/>
      <c r="AN231" s="49"/>
      <c r="AO231" s="49"/>
      <c r="AQ231" s="49"/>
      <c r="AR231" s="49"/>
      <c r="AS231" s="49"/>
      <c r="AT231" s="49"/>
      <c r="AU231" s="49"/>
      <c r="AV231" s="49"/>
      <c r="AW231" s="49"/>
      <c r="AX231" s="49"/>
      <c r="AY231" s="49"/>
    </row>
    <row r="232" spans="1:51" s="207" customFormat="1" ht="15.75" x14ac:dyDescent="0.25">
      <c r="A232" s="49"/>
      <c r="B232" s="49"/>
      <c r="C232" s="48"/>
      <c r="D232" s="60"/>
      <c r="E232" s="60"/>
      <c r="F232" s="60"/>
      <c r="G232" s="50"/>
      <c r="H232" s="61"/>
      <c r="I232" s="61"/>
      <c r="J232" s="61"/>
      <c r="K232" s="61"/>
      <c r="L232" s="61"/>
      <c r="M232" s="44"/>
      <c r="N232" s="44"/>
      <c r="O232" s="44"/>
      <c r="P232" s="44"/>
      <c r="Q232" s="64"/>
      <c r="R232" s="64"/>
      <c r="S232" s="49"/>
      <c r="T232" s="49"/>
      <c r="U232" s="49"/>
      <c r="W232" s="49"/>
      <c r="X232" s="49"/>
      <c r="Y232" s="49"/>
      <c r="Z232" s="49"/>
      <c r="AA232" s="49"/>
      <c r="AB232" s="49"/>
      <c r="AC232" s="49"/>
      <c r="AD232" s="49"/>
      <c r="AE232" s="49"/>
      <c r="AG232" s="49"/>
      <c r="AH232" s="49"/>
      <c r="AI232" s="49"/>
      <c r="AJ232" s="49"/>
      <c r="AK232" s="49"/>
      <c r="AL232" s="49"/>
      <c r="AM232" s="49"/>
      <c r="AN232" s="49"/>
      <c r="AO232" s="49"/>
      <c r="AQ232" s="49"/>
      <c r="AR232" s="49"/>
      <c r="AS232" s="49"/>
      <c r="AT232" s="49"/>
      <c r="AU232" s="49"/>
      <c r="AV232" s="49"/>
      <c r="AW232" s="49"/>
      <c r="AX232" s="49"/>
      <c r="AY232" s="49"/>
    </row>
    <row r="233" spans="1:51" s="207" customFormat="1" ht="15.75" x14ac:dyDescent="0.25">
      <c r="A233" s="49"/>
      <c r="B233" s="49"/>
      <c r="C233" s="48"/>
      <c r="D233" s="60"/>
      <c r="E233" s="60"/>
      <c r="F233" s="60"/>
      <c r="G233" s="50"/>
      <c r="H233" s="61"/>
      <c r="I233" s="61"/>
      <c r="J233" s="61"/>
      <c r="K233" s="61"/>
      <c r="L233" s="61"/>
      <c r="M233" s="44"/>
      <c r="N233" s="44"/>
      <c r="O233" s="44"/>
      <c r="P233" s="44"/>
      <c r="Q233" s="64"/>
      <c r="R233" s="64"/>
      <c r="S233" s="49"/>
      <c r="T233" s="49"/>
      <c r="U233" s="49"/>
      <c r="W233" s="49"/>
      <c r="X233" s="49"/>
      <c r="Y233" s="49"/>
      <c r="Z233" s="49"/>
      <c r="AA233" s="49"/>
      <c r="AB233" s="49"/>
      <c r="AC233" s="49"/>
      <c r="AD233" s="49"/>
      <c r="AE233" s="49"/>
      <c r="AG233" s="49"/>
      <c r="AH233" s="49"/>
      <c r="AI233" s="49"/>
      <c r="AJ233" s="49"/>
      <c r="AK233" s="49"/>
      <c r="AL233" s="49"/>
      <c r="AM233" s="49"/>
      <c r="AN233" s="49"/>
      <c r="AO233" s="49"/>
      <c r="AQ233" s="49"/>
      <c r="AR233" s="49"/>
      <c r="AS233" s="49"/>
      <c r="AT233" s="49"/>
      <c r="AU233" s="49"/>
      <c r="AV233" s="49"/>
      <c r="AW233" s="49"/>
      <c r="AX233" s="49"/>
      <c r="AY233" s="49"/>
    </row>
    <row r="234" spans="1:51" s="207" customFormat="1" ht="15.75" x14ac:dyDescent="0.25">
      <c r="A234" s="49"/>
      <c r="B234" s="49"/>
      <c r="C234" s="48"/>
      <c r="D234" s="60"/>
      <c r="E234" s="60"/>
      <c r="F234" s="60"/>
      <c r="G234" s="50"/>
      <c r="H234" s="61"/>
      <c r="I234" s="61"/>
      <c r="J234" s="61"/>
      <c r="K234" s="61"/>
      <c r="L234" s="61"/>
      <c r="M234" s="44"/>
      <c r="N234" s="44"/>
      <c r="O234" s="44"/>
      <c r="P234" s="44"/>
      <c r="Q234" s="64"/>
      <c r="R234" s="64"/>
      <c r="S234" s="49"/>
      <c r="T234" s="49"/>
      <c r="U234" s="49"/>
      <c r="W234" s="49"/>
      <c r="X234" s="49"/>
      <c r="Y234" s="49"/>
      <c r="Z234" s="49"/>
      <c r="AA234" s="49"/>
      <c r="AB234" s="49"/>
      <c r="AC234" s="49"/>
      <c r="AD234" s="49"/>
      <c r="AE234" s="49"/>
      <c r="AG234" s="49"/>
      <c r="AH234" s="49"/>
      <c r="AI234" s="49"/>
      <c r="AJ234" s="49"/>
      <c r="AK234" s="49"/>
      <c r="AL234" s="49"/>
      <c r="AM234" s="49"/>
      <c r="AN234" s="49"/>
      <c r="AO234" s="49"/>
      <c r="AQ234" s="49"/>
      <c r="AR234" s="49"/>
      <c r="AS234" s="49"/>
      <c r="AT234" s="49"/>
      <c r="AU234" s="49"/>
      <c r="AV234" s="49"/>
      <c r="AW234" s="49"/>
      <c r="AX234" s="49"/>
      <c r="AY234" s="49"/>
    </row>
    <row r="235" spans="1:51" s="207" customFormat="1" ht="15.75" x14ac:dyDescent="0.25">
      <c r="A235" s="49"/>
      <c r="B235" s="49"/>
      <c r="C235" s="48"/>
      <c r="D235" s="60"/>
      <c r="E235" s="60"/>
      <c r="F235" s="60"/>
      <c r="G235" s="50"/>
      <c r="H235" s="61"/>
      <c r="I235" s="61"/>
      <c r="J235" s="61"/>
      <c r="K235" s="61"/>
      <c r="L235" s="61"/>
      <c r="M235" s="44"/>
      <c r="N235" s="44"/>
      <c r="O235" s="44"/>
      <c r="P235" s="44"/>
      <c r="Q235" s="64"/>
      <c r="R235" s="64"/>
      <c r="S235" s="49"/>
      <c r="T235" s="49"/>
      <c r="U235" s="49"/>
      <c r="W235" s="49"/>
      <c r="X235" s="49"/>
      <c r="Y235" s="49"/>
      <c r="Z235" s="49"/>
      <c r="AA235" s="49"/>
      <c r="AB235" s="49"/>
      <c r="AC235" s="49"/>
      <c r="AD235" s="49"/>
      <c r="AE235" s="49"/>
      <c r="AG235" s="49"/>
      <c r="AH235" s="49"/>
      <c r="AI235" s="49"/>
      <c r="AJ235" s="49"/>
      <c r="AK235" s="49"/>
      <c r="AL235" s="49"/>
      <c r="AM235" s="49"/>
      <c r="AN235" s="49"/>
      <c r="AO235" s="49"/>
      <c r="AQ235" s="49"/>
      <c r="AR235" s="49"/>
      <c r="AS235" s="49"/>
      <c r="AT235" s="49"/>
      <c r="AU235" s="49"/>
      <c r="AV235" s="49"/>
      <c r="AW235" s="49"/>
      <c r="AX235" s="49"/>
      <c r="AY235" s="49"/>
    </row>
    <row r="236" spans="1:51" s="207" customFormat="1" ht="15.75" x14ac:dyDescent="0.25">
      <c r="A236" s="49"/>
      <c r="B236" s="49"/>
      <c r="C236" s="48"/>
      <c r="D236" s="60"/>
      <c r="E236" s="60"/>
      <c r="F236" s="60"/>
      <c r="G236" s="50"/>
      <c r="H236" s="61"/>
      <c r="I236" s="61"/>
      <c r="J236" s="61"/>
      <c r="K236" s="61"/>
      <c r="L236" s="61"/>
      <c r="M236" s="44"/>
      <c r="N236" s="44"/>
      <c r="O236" s="44"/>
      <c r="P236" s="44"/>
      <c r="Q236" s="64"/>
      <c r="R236" s="64"/>
      <c r="S236" s="49"/>
      <c r="T236" s="49"/>
      <c r="U236" s="49"/>
      <c r="W236" s="49"/>
      <c r="X236" s="49"/>
      <c r="Y236" s="49"/>
      <c r="Z236" s="49"/>
      <c r="AA236" s="49"/>
      <c r="AB236" s="49"/>
      <c r="AC236" s="49"/>
      <c r="AD236" s="49"/>
      <c r="AE236" s="49"/>
      <c r="AG236" s="49"/>
      <c r="AH236" s="49"/>
      <c r="AI236" s="49"/>
      <c r="AJ236" s="49"/>
      <c r="AK236" s="49"/>
      <c r="AL236" s="49"/>
      <c r="AM236" s="49"/>
      <c r="AN236" s="49"/>
      <c r="AO236" s="49"/>
      <c r="AQ236" s="49"/>
      <c r="AR236" s="49"/>
      <c r="AS236" s="49"/>
      <c r="AT236" s="49"/>
      <c r="AU236" s="49"/>
      <c r="AV236" s="49"/>
      <c r="AW236" s="49"/>
      <c r="AX236" s="49"/>
      <c r="AY236" s="49"/>
    </row>
    <row r="237" spans="1:51" s="207" customFormat="1" ht="15.75" x14ac:dyDescent="0.25">
      <c r="A237" s="49"/>
      <c r="B237" s="49"/>
      <c r="C237" s="48"/>
      <c r="D237" s="60"/>
      <c r="E237" s="60"/>
      <c r="F237" s="60"/>
      <c r="G237" s="50"/>
      <c r="H237" s="61"/>
      <c r="I237" s="61"/>
      <c r="J237" s="61"/>
      <c r="K237" s="61"/>
      <c r="L237" s="61"/>
      <c r="M237" s="44"/>
      <c r="N237" s="44"/>
      <c r="O237" s="44"/>
      <c r="P237" s="44"/>
      <c r="Q237" s="64"/>
      <c r="R237" s="64"/>
      <c r="S237" s="49"/>
      <c r="T237" s="49"/>
      <c r="U237" s="49"/>
      <c r="W237" s="49"/>
      <c r="X237" s="49"/>
      <c r="Y237" s="49"/>
      <c r="Z237" s="49"/>
      <c r="AA237" s="49"/>
      <c r="AB237" s="49"/>
      <c r="AC237" s="49"/>
      <c r="AD237" s="49"/>
      <c r="AE237" s="49"/>
      <c r="AG237" s="49"/>
      <c r="AH237" s="49"/>
      <c r="AI237" s="49"/>
      <c r="AJ237" s="49"/>
      <c r="AK237" s="49"/>
      <c r="AL237" s="49"/>
      <c r="AM237" s="49"/>
      <c r="AN237" s="49"/>
      <c r="AO237" s="49"/>
      <c r="AQ237" s="49"/>
      <c r="AR237" s="49"/>
      <c r="AS237" s="49"/>
      <c r="AT237" s="49"/>
      <c r="AU237" s="49"/>
      <c r="AV237" s="49"/>
      <c r="AW237" s="49"/>
      <c r="AX237" s="49"/>
      <c r="AY237" s="49"/>
    </row>
    <row r="238" spans="1:51" s="207" customFormat="1" ht="15.75" x14ac:dyDescent="0.25">
      <c r="A238" s="49"/>
      <c r="B238" s="49"/>
      <c r="C238" s="48"/>
      <c r="D238" s="60"/>
      <c r="E238" s="60"/>
      <c r="F238" s="60"/>
      <c r="G238" s="50"/>
      <c r="H238" s="61"/>
      <c r="I238" s="61"/>
      <c r="J238" s="61"/>
      <c r="K238" s="61"/>
      <c r="L238" s="61"/>
      <c r="M238" s="44"/>
      <c r="N238" s="44"/>
      <c r="O238" s="44"/>
      <c r="P238" s="44"/>
      <c r="Q238" s="64"/>
      <c r="R238" s="64"/>
      <c r="S238" s="49"/>
      <c r="T238" s="49"/>
      <c r="U238" s="49"/>
      <c r="W238" s="49"/>
      <c r="X238" s="49"/>
      <c r="Y238" s="49"/>
      <c r="Z238" s="49"/>
      <c r="AA238" s="49"/>
      <c r="AB238" s="49"/>
      <c r="AC238" s="49"/>
      <c r="AD238" s="49"/>
      <c r="AE238" s="49"/>
      <c r="AG238" s="49"/>
      <c r="AH238" s="49"/>
      <c r="AI238" s="49"/>
      <c r="AJ238" s="49"/>
      <c r="AK238" s="49"/>
      <c r="AL238" s="49"/>
      <c r="AM238" s="49"/>
      <c r="AN238" s="49"/>
      <c r="AO238" s="49"/>
      <c r="AQ238" s="49"/>
      <c r="AR238" s="49"/>
      <c r="AS238" s="49"/>
      <c r="AT238" s="49"/>
      <c r="AU238" s="49"/>
      <c r="AV238" s="49"/>
      <c r="AW238" s="49"/>
      <c r="AX238" s="49"/>
      <c r="AY238" s="49"/>
    </row>
    <row r="239" spans="1:51" s="207" customFormat="1" ht="15.75" x14ac:dyDescent="0.25">
      <c r="A239" s="49"/>
      <c r="B239" s="49"/>
      <c r="C239" s="48"/>
      <c r="D239" s="60"/>
      <c r="E239" s="60"/>
      <c r="F239" s="60"/>
      <c r="G239" s="50"/>
      <c r="H239" s="61"/>
      <c r="I239" s="61"/>
      <c r="J239" s="61"/>
      <c r="K239" s="61"/>
      <c r="L239" s="61"/>
      <c r="M239" s="44"/>
      <c r="N239" s="44"/>
      <c r="O239" s="44"/>
      <c r="P239" s="44"/>
      <c r="Q239" s="64"/>
      <c r="R239" s="64"/>
      <c r="S239" s="49"/>
      <c r="T239" s="49"/>
      <c r="U239" s="49"/>
      <c r="W239" s="49"/>
      <c r="X239" s="49"/>
      <c r="Y239" s="49"/>
      <c r="Z239" s="49"/>
      <c r="AA239" s="49"/>
      <c r="AB239" s="49"/>
      <c r="AC239" s="49"/>
      <c r="AD239" s="49"/>
      <c r="AE239" s="49"/>
      <c r="AG239" s="49"/>
      <c r="AH239" s="49"/>
      <c r="AI239" s="49"/>
      <c r="AJ239" s="49"/>
      <c r="AK239" s="49"/>
      <c r="AL239" s="49"/>
      <c r="AM239" s="49"/>
      <c r="AN239" s="49"/>
      <c r="AO239" s="49"/>
      <c r="AQ239" s="49"/>
      <c r="AR239" s="49"/>
      <c r="AS239" s="49"/>
      <c r="AT239" s="49"/>
      <c r="AU239" s="49"/>
      <c r="AV239" s="49"/>
      <c r="AW239" s="49"/>
      <c r="AX239" s="49"/>
      <c r="AY239" s="49"/>
    </row>
    <row r="240" spans="1:51" s="207" customFormat="1" ht="15.75" x14ac:dyDescent="0.25">
      <c r="A240" s="49"/>
      <c r="B240" s="49"/>
      <c r="C240" s="48"/>
      <c r="D240" s="60"/>
      <c r="E240" s="60"/>
      <c r="F240" s="60"/>
      <c r="G240" s="50"/>
      <c r="H240" s="61"/>
      <c r="I240" s="61"/>
      <c r="J240" s="61"/>
      <c r="K240" s="61"/>
      <c r="L240" s="61"/>
      <c r="M240" s="44"/>
      <c r="N240" s="44"/>
      <c r="O240" s="44"/>
      <c r="P240" s="44"/>
      <c r="Q240" s="64"/>
      <c r="R240" s="64"/>
      <c r="S240" s="49"/>
      <c r="T240" s="49"/>
      <c r="U240" s="49"/>
      <c r="W240" s="49"/>
      <c r="X240" s="49"/>
      <c r="Y240" s="49"/>
      <c r="Z240" s="49"/>
      <c r="AA240" s="49"/>
      <c r="AB240" s="49"/>
      <c r="AC240" s="49"/>
      <c r="AD240" s="49"/>
      <c r="AE240" s="49"/>
      <c r="AG240" s="49"/>
      <c r="AH240" s="49"/>
      <c r="AI240" s="49"/>
      <c r="AJ240" s="49"/>
      <c r="AK240" s="49"/>
      <c r="AL240" s="49"/>
      <c r="AM240" s="49"/>
      <c r="AN240" s="49"/>
      <c r="AO240" s="49"/>
      <c r="AQ240" s="49"/>
      <c r="AR240" s="49"/>
      <c r="AS240" s="49"/>
      <c r="AT240" s="49"/>
      <c r="AU240" s="49"/>
      <c r="AV240" s="49"/>
      <c r="AW240" s="49"/>
      <c r="AX240" s="49"/>
      <c r="AY240" s="49"/>
    </row>
    <row r="241" spans="1:51" s="207" customFormat="1" ht="15.75" x14ac:dyDescent="0.25">
      <c r="A241" s="49"/>
      <c r="B241" s="49"/>
      <c r="C241" s="48"/>
      <c r="D241" s="60"/>
      <c r="E241" s="60"/>
      <c r="F241" s="60"/>
      <c r="G241" s="50"/>
      <c r="H241" s="61"/>
      <c r="I241" s="61"/>
      <c r="J241" s="61"/>
      <c r="K241" s="61"/>
      <c r="L241" s="61"/>
      <c r="M241" s="44"/>
      <c r="N241" s="44"/>
      <c r="O241" s="44"/>
      <c r="P241" s="44"/>
      <c r="Q241" s="64"/>
      <c r="R241" s="64"/>
      <c r="S241" s="49"/>
      <c r="T241" s="49"/>
      <c r="U241" s="49"/>
      <c r="W241" s="49"/>
      <c r="X241" s="49"/>
      <c r="Y241" s="49"/>
      <c r="Z241" s="49"/>
      <c r="AA241" s="49"/>
      <c r="AB241" s="49"/>
      <c r="AC241" s="49"/>
      <c r="AD241" s="49"/>
      <c r="AE241" s="49"/>
      <c r="AG241" s="49"/>
      <c r="AH241" s="49"/>
      <c r="AI241" s="49"/>
      <c r="AJ241" s="49"/>
      <c r="AK241" s="49"/>
      <c r="AL241" s="49"/>
      <c r="AM241" s="49"/>
      <c r="AN241" s="49"/>
      <c r="AO241" s="49"/>
      <c r="AQ241" s="49"/>
      <c r="AR241" s="49"/>
      <c r="AS241" s="49"/>
      <c r="AT241" s="49"/>
      <c r="AU241" s="49"/>
      <c r="AV241" s="49"/>
      <c r="AW241" s="49"/>
      <c r="AX241" s="49"/>
      <c r="AY241" s="49"/>
    </row>
    <row r="242" spans="1:51" s="207" customFormat="1" ht="15.75" x14ac:dyDescent="0.25">
      <c r="A242" s="49"/>
      <c r="B242" s="49"/>
      <c r="C242" s="48"/>
      <c r="D242" s="60"/>
      <c r="E242" s="60"/>
      <c r="F242" s="60"/>
      <c r="G242" s="50"/>
      <c r="H242" s="61"/>
      <c r="I242" s="61"/>
      <c r="J242" s="61"/>
      <c r="K242" s="61"/>
      <c r="L242" s="61"/>
      <c r="M242" s="44"/>
      <c r="N242" s="44"/>
      <c r="O242" s="44"/>
      <c r="P242" s="44"/>
      <c r="Q242" s="64"/>
      <c r="R242" s="64"/>
      <c r="S242" s="49"/>
      <c r="T242" s="49"/>
      <c r="U242" s="49"/>
      <c r="W242" s="49"/>
      <c r="X242" s="49"/>
      <c r="Y242" s="49"/>
      <c r="Z242" s="49"/>
      <c r="AA242" s="49"/>
      <c r="AB242" s="49"/>
      <c r="AC242" s="49"/>
      <c r="AD242" s="49"/>
      <c r="AE242" s="49"/>
      <c r="AG242" s="49"/>
      <c r="AH242" s="49"/>
      <c r="AI242" s="49"/>
      <c r="AJ242" s="49"/>
      <c r="AK242" s="49"/>
      <c r="AL242" s="49"/>
      <c r="AM242" s="49"/>
      <c r="AN242" s="49"/>
      <c r="AO242" s="49"/>
      <c r="AQ242" s="49"/>
      <c r="AR242" s="49"/>
      <c r="AS242" s="49"/>
      <c r="AT242" s="49"/>
      <c r="AU242" s="49"/>
      <c r="AV242" s="49"/>
      <c r="AW242" s="49"/>
      <c r="AX242" s="49"/>
      <c r="AY242" s="49"/>
    </row>
    <row r="243" spans="1:51" s="207" customFormat="1" ht="15.75" x14ac:dyDescent="0.25">
      <c r="A243" s="49"/>
      <c r="B243" s="49"/>
      <c r="C243" s="48"/>
      <c r="D243" s="60"/>
      <c r="E243" s="60"/>
      <c r="F243" s="60"/>
      <c r="G243" s="50"/>
      <c r="H243" s="61"/>
      <c r="I243" s="61"/>
      <c r="J243" s="61"/>
      <c r="K243" s="61"/>
      <c r="L243" s="61"/>
      <c r="M243" s="44"/>
      <c r="N243" s="44"/>
      <c r="O243" s="44"/>
      <c r="P243" s="44"/>
      <c r="Q243" s="64"/>
      <c r="R243" s="64"/>
      <c r="S243" s="49"/>
      <c r="T243" s="49"/>
      <c r="U243" s="49"/>
      <c r="W243" s="49"/>
      <c r="X243" s="49"/>
      <c r="Y243" s="49"/>
      <c r="Z243" s="49"/>
      <c r="AA243" s="49"/>
      <c r="AB243" s="49"/>
      <c r="AC243" s="49"/>
      <c r="AD243" s="49"/>
      <c r="AE243" s="49"/>
      <c r="AG243" s="49"/>
      <c r="AH243" s="49"/>
      <c r="AI243" s="49"/>
      <c r="AJ243" s="49"/>
      <c r="AK243" s="49"/>
      <c r="AL243" s="49"/>
      <c r="AM243" s="49"/>
      <c r="AN243" s="49"/>
      <c r="AO243" s="49"/>
      <c r="AQ243" s="49"/>
      <c r="AR243" s="49"/>
      <c r="AS243" s="49"/>
      <c r="AT243" s="49"/>
      <c r="AU243" s="49"/>
      <c r="AV243" s="49"/>
      <c r="AW243" s="49"/>
      <c r="AX243" s="49"/>
      <c r="AY243" s="49"/>
    </row>
    <row r="244" spans="1:51" s="207" customFormat="1" ht="15.75" x14ac:dyDescent="0.25">
      <c r="A244" s="49"/>
      <c r="B244" s="49"/>
      <c r="C244" s="48"/>
      <c r="D244" s="60"/>
      <c r="E244" s="60"/>
      <c r="F244" s="60"/>
      <c r="G244" s="50"/>
      <c r="H244" s="61"/>
      <c r="I244" s="61"/>
      <c r="J244" s="61"/>
      <c r="K244" s="61"/>
      <c r="L244" s="61"/>
      <c r="M244" s="44"/>
      <c r="N244" s="44"/>
      <c r="O244" s="44"/>
      <c r="P244" s="44"/>
      <c r="Q244" s="64"/>
      <c r="R244" s="64"/>
      <c r="S244" s="49"/>
      <c r="T244" s="49"/>
      <c r="U244" s="49"/>
      <c r="W244" s="49"/>
      <c r="X244" s="49"/>
      <c r="Y244" s="49"/>
      <c r="Z244" s="49"/>
      <c r="AA244" s="49"/>
      <c r="AB244" s="49"/>
      <c r="AC244" s="49"/>
      <c r="AD244" s="49"/>
      <c r="AE244" s="49"/>
      <c r="AG244" s="49"/>
      <c r="AH244" s="49"/>
      <c r="AI244" s="49"/>
      <c r="AJ244" s="49"/>
      <c r="AK244" s="49"/>
      <c r="AL244" s="49"/>
      <c r="AM244" s="49"/>
      <c r="AN244" s="49"/>
      <c r="AO244" s="49"/>
      <c r="AQ244" s="49"/>
      <c r="AR244" s="49"/>
      <c r="AS244" s="49"/>
      <c r="AT244" s="49"/>
      <c r="AU244" s="49"/>
      <c r="AV244" s="49"/>
      <c r="AW244" s="49"/>
      <c r="AX244" s="49"/>
      <c r="AY244" s="49"/>
    </row>
    <row r="245" spans="1:51" s="207" customFormat="1" ht="15.75" x14ac:dyDescent="0.25">
      <c r="A245" s="49"/>
      <c r="B245" s="49"/>
      <c r="C245" s="48"/>
      <c r="D245" s="60"/>
      <c r="E245" s="60"/>
      <c r="F245" s="60"/>
      <c r="G245" s="50"/>
      <c r="H245" s="61"/>
      <c r="I245" s="61"/>
      <c r="J245" s="61"/>
      <c r="K245" s="61"/>
      <c r="L245" s="61"/>
      <c r="M245" s="44"/>
      <c r="N245" s="44"/>
      <c r="O245" s="44"/>
      <c r="P245" s="44"/>
      <c r="Q245" s="64"/>
      <c r="R245" s="64"/>
      <c r="S245" s="49"/>
      <c r="T245" s="49"/>
      <c r="U245" s="49"/>
      <c r="W245" s="49"/>
      <c r="X245" s="49"/>
      <c r="Y245" s="49"/>
      <c r="Z245" s="49"/>
      <c r="AA245" s="49"/>
      <c r="AB245" s="49"/>
      <c r="AC245" s="49"/>
      <c r="AD245" s="49"/>
      <c r="AE245" s="49"/>
      <c r="AG245" s="49"/>
      <c r="AH245" s="49"/>
      <c r="AI245" s="49"/>
      <c r="AJ245" s="49"/>
      <c r="AK245" s="49"/>
      <c r="AL245" s="49"/>
      <c r="AM245" s="49"/>
      <c r="AN245" s="49"/>
      <c r="AO245" s="49"/>
      <c r="AQ245" s="49"/>
      <c r="AR245" s="49"/>
      <c r="AS245" s="49"/>
      <c r="AT245" s="49"/>
      <c r="AU245" s="49"/>
      <c r="AV245" s="49"/>
      <c r="AW245" s="49"/>
      <c r="AX245" s="49"/>
      <c r="AY245" s="49"/>
    </row>
    <row r="246" spans="1:51" s="207" customFormat="1" ht="15.75" x14ac:dyDescent="0.25">
      <c r="A246" s="49"/>
      <c r="B246" s="49"/>
      <c r="C246" s="48"/>
      <c r="D246" s="60"/>
      <c r="E246" s="60"/>
      <c r="F246" s="60"/>
      <c r="G246" s="50"/>
      <c r="H246" s="61"/>
      <c r="I246" s="61"/>
      <c r="J246" s="61"/>
      <c r="K246" s="61"/>
      <c r="L246" s="61"/>
      <c r="M246" s="44"/>
      <c r="N246" s="44"/>
      <c r="O246" s="44"/>
      <c r="P246" s="44"/>
      <c r="Q246" s="64"/>
      <c r="R246" s="64"/>
      <c r="S246" s="49"/>
      <c r="T246" s="49"/>
      <c r="U246" s="49"/>
      <c r="W246" s="49"/>
      <c r="X246" s="49"/>
      <c r="Y246" s="49"/>
      <c r="Z246" s="49"/>
      <c r="AA246" s="49"/>
      <c r="AB246" s="49"/>
      <c r="AC246" s="49"/>
      <c r="AD246" s="49"/>
      <c r="AE246" s="49"/>
      <c r="AG246" s="49"/>
      <c r="AH246" s="49"/>
      <c r="AI246" s="49"/>
      <c r="AJ246" s="49"/>
      <c r="AK246" s="49"/>
      <c r="AL246" s="49"/>
      <c r="AM246" s="49"/>
      <c r="AN246" s="49"/>
      <c r="AO246" s="49"/>
      <c r="AQ246" s="49"/>
      <c r="AR246" s="49"/>
      <c r="AS246" s="49"/>
      <c r="AT246" s="49"/>
      <c r="AU246" s="49"/>
      <c r="AV246" s="49"/>
      <c r="AW246" s="49"/>
      <c r="AX246" s="49"/>
      <c r="AY246" s="49"/>
    </row>
    <row r="247" spans="1:51" s="207" customFormat="1" ht="15.75" x14ac:dyDescent="0.25">
      <c r="A247" s="49"/>
      <c r="B247" s="49"/>
      <c r="C247" s="48"/>
      <c r="D247" s="60"/>
      <c r="E247" s="60"/>
      <c r="F247" s="60"/>
      <c r="G247" s="50"/>
      <c r="H247" s="61"/>
      <c r="I247" s="61"/>
      <c r="J247" s="61"/>
      <c r="K247" s="61"/>
      <c r="L247" s="61"/>
      <c r="M247" s="44"/>
      <c r="N247" s="44"/>
      <c r="O247" s="44"/>
      <c r="P247" s="44"/>
      <c r="Q247" s="64"/>
      <c r="R247" s="64"/>
      <c r="S247" s="49"/>
      <c r="T247" s="49"/>
      <c r="U247" s="49"/>
      <c r="W247" s="49"/>
      <c r="X247" s="49"/>
      <c r="Y247" s="49"/>
      <c r="Z247" s="49"/>
      <c r="AA247" s="49"/>
      <c r="AB247" s="49"/>
      <c r="AC247" s="49"/>
      <c r="AD247" s="49"/>
      <c r="AE247" s="49"/>
      <c r="AG247" s="49"/>
      <c r="AH247" s="49"/>
      <c r="AI247" s="49"/>
      <c r="AJ247" s="49"/>
      <c r="AK247" s="49"/>
      <c r="AL247" s="49"/>
      <c r="AM247" s="49"/>
      <c r="AN247" s="49"/>
      <c r="AO247" s="49"/>
      <c r="AQ247" s="49"/>
      <c r="AR247" s="49"/>
      <c r="AS247" s="49"/>
      <c r="AT247" s="49"/>
      <c r="AU247" s="49"/>
      <c r="AV247" s="49"/>
      <c r="AW247" s="49"/>
      <c r="AX247" s="49"/>
      <c r="AY247" s="49"/>
    </row>
    <row r="248" spans="1:51" s="207" customFormat="1" ht="15.75" x14ac:dyDescent="0.25">
      <c r="A248" s="49"/>
      <c r="B248" s="49"/>
      <c r="C248" s="48"/>
      <c r="D248" s="60"/>
      <c r="E248" s="60"/>
      <c r="F248" s="60"/>
      <c r="G248" s="50"/>
      <c r="H248" s="61"/>
      <c r="I248" s="61"/>
      <c r="J248" s="61"/>
      <c r="K248" s="61"/>
      <c r="L248" s="61"/>
      <c r="M248" s="44"/>
      <c r="N248" s="44"/>
      <c r="O248" s="44"/>
      <c r="P248" s="44"/>
      <c r="Q248" s="64"/>
      <c r="R248" s="64"/>
      <c r="S248" s="49"/>
      <c r="T248" s="49"/>
      <c r="U248" s="49"/>
      <c r="W248" s="49"/>
      <c r="X248" s="49"/>
      <c r="Y248" s="49"/>
      <c r="Z248" s="49"/>
      <c r="AA248" s="49"/>
      <c r="AB248" s="49"/>
      <c r="AC248" s="49"/>
      <c r="AD248" s="49"/>
      <c r="AE248" s="49"/>
      <c r="AG248" s="49"/>
      <c r="AH248" s="49"/>
      <c r="AI248" s="49"/>
      <c r="AJ248" s="49"/>
      <c r="AK248" s="49"/>
      <c r="AL248" s="49"/>
      <c r="AM248" s="49"/>
      <c r="AN248" s="49"/>
      <c r="AO248" s="49"/>
      <c r="AQ248" s="49"/>
      <c r="AR248" s="49"/>
      <c r="AS248" s="49"/>
      <c r="AT248" s="49"/>
      <c r="AU248" s="49"/>
      <c r="AV248" s="49"/>
      <c r="AW248" s="49"/>
      <c r="AX248" s="49"/>
      <c r="AY248" s="49"/>
    </row>
    <row r="249" spans="1:51" s="207" customFormat="1" ht="15.75" x14ac:dyDescent="0.25">
      <c r="A249" s="49"/>
      <c r="B249" s="49"/>
      <c r="C249" s="48"/>
      <c r="D249" s="60"/>
      <c r="E249" s="60"/>
      <c r="F249" s="60"/>
      <c r="G249" s="50"/>
      <c r="H249" s="61"/>
      <c r="I249" s="61"/>
      <c r="J249" s="61"/>
      <c r="K249" s="61"/>
      <c r="L249" s="61"/>
      <c r="M249" s="44"/>
      <c r="N249" s="44"/>
      <c r="O249" s="44"/>
      <c r="P249" s="44"/>
      <c r="Q249" s="64"/>
      <c r="R249" s="64"/>
      <c r="S249" s="49"/>
      <c r="T249" s="49"/>
      <c r="U249" s="49"/>
      <c r="W249" s="49"/>
      <c r="X249" s="49"/>
      <c r="Y249" s="49"/>
      <c r="Z249" s="49"/>
      <c r="AA249" s="49"/>
      <c r="AB249" s="49"/>
      <c r="AC249" s="49"/>
      <c r="AD249" s="49"/>
      <c r="AE249" s="49"/>
      <c r="AG249" s="49"/>
      <c r="AH249" s="49"/>
      <c r="AI249" s="49"/>
      <c r="AJ249" s="49"/>
      <c r="AK249" s="49"/>
      <c r="AL249" s="49"/>
      <c r="AM249" s="49"/>
      <c r="AN249" s="49"/>
      <c r="AO249" s="49"/>
      <c r="AQ249" s="49"/>
      <c r="AR249" s="49"/>
      <c r="AS249" s="49"/>
      <c r="AT249" s="49"/>
      <c r="AU249" s="49"/>
      <c r="AV249" s="49"/>
      <c r="AW249" s="49"/>
      <c r="AX249" s="49"/>
      <c r="AY249" s="49"/>
    </row>
    <row r="250" spans="1:51" s="207" customFormat="1" ht="15.75" x14ac:dyDescent="0.25">
      <c r="A250" s="49"/>
      <c r="B250" s="49"/>
      <c r="C250" s="48"/>
      <c r="D250" s="60"/>
      <c r="E250" s="60"/>
      <c r="F250" s="60"/>
      <c r="G250" s="50"/>
      <c r="H250" s="61"/>
      <c r="I250" s="61"/>
      <c r="J250" s="61"/>
      <c r="K250" s="61"/>
      <c r="L250" s="61"/>
      <c r="M250" s="44"/>
      <c r="N250" s="44"/>
      <c r="O250" s="44"/>
      <c r="P250" s="44"/>
      <c r="Q250" s="64"/>
      <c r="R250" s="64"/>
      <c r="S250" s="49"/>
      <c r="T250" s="49"/>
      <c r="U250" s="49"/>
      <c r="W250" s="49"/>
      <c r="X250" s="49"/>
      <c r="Y250" s="49"/>
      <c r="Z250" s="49"/>
      <c r="AA250" s="49"/>
      <c r="AB250" s="49"/>
      <c r="AC250" s="49"/>
      <c r="AD250" s="49"/>
      <c r="AE250" s="49"/>
      <c r="AG250" s="49"/>
      <c r="AH250" s="49"/>
      <c r="AI250" s="49"/>
      <c r="AJ250" s="49"/>
      <c r="AK250" s="49"/>
      <c r="AL250" s="49"/>
      <c r="AM250" s="49"/>
      <c r="AN250" s="49"/>
      <c r="AO250" s="49"/>
      <c r="AQ250" s="49"/>
      <c r="AR250" s="49"/>
      <c r="AS250" s="49"/>
      <c r="AT250" s="49"/>
      <c r="AU250" s="49"/>
      <c r="AV250" s="49"/>
      <c r="AW250" s="49"/>
      <c r="AX250" s="49"/>
      <c r="AY250" s="49"/>
    </row>
    <row r="251" spans="1:51" s="207" customFormat="1" ht="15.75" x14ac:dyDescent="0.25">
      <c r="A251" s="49"/>
      <c r="B251" s="49"/>
      <c r="C251" s="48"/>
      <c r="D251" s="60"/>
      <c r="E251" s="60"/>
      <c r="F251" s="60"/>
      <c r="G251" s="50"/>
      <c r="H251" s="61"/>
      <c r="I251" s="61"/>
      <c r="J251" s="61"/>
      <c r="K251" s="61"/>
      <c r="L251" s="61"/>
      <c r="M251" s="44"/>
      <c r="N251" s="44"/>
      <c r="O251" s="44"/>
      <c r="P251" s="44"/>
      <c r="Q251" s="64"/>
      <c r="R251" s="64"/>
      <c r="S251" s="49"/>
      <c r="T251" s="49"/>
      <c r="U251" s="49"/>
      <c r="W251" s="49"/>
      <c r="X251" s="49"/>
      <c r="Y251" s="49"/>
      <c r="Z251" s="49"/>
      <c r="AA251" s="49"/>
      <c r="AB251" s="49"/>
      <c r="AC251" s="49"/>
      <c r="AD251" s="49"/>
      <c r="AE251" s="49"/>
      <c r="AG251" s="49"/>
      <c r="AH251" s="49"/>
      <c r="AI251" s="49"/>
      <c r="AJ251" s="49"/>
      <c r="AK251" s="49"/>
      <c r="AL251" s="49"/>
      <c r="AM251" s="49"/>
      <c r="AN251" s="49"/>
      <c r="AO251" s="49"/>
      <c r="AQ251" s="49"/>
      <c r="AR251" s="49"/>
      <c r="AS251" s="49"/>
      <c r="AT251" s="49"/>
      <c r="AU251" s="49"/>
      <c r="AV251" s="49"/>
      <c r="AW251" s="49"/>
      <c r="AX251" s="49"/>
      <c r="AY251" s="49"/>
    </row>
    <row r="252" spans="1:51" s="207" customFormat="1" ht="15.75" x14ac:dyDescent="0.25">
      <c r="A252" s="49"/>
      <c r="B252" s="49"/>
      <c r="C252" s="48"/>
      <c r="D252" s="60"/>
      <c r="E252" s="60"/>
      <c r="F252" s="60"/>
      <c r="G252" s="50"/>
      <c r="H252" s="61"/>
      <c r="I252" s="61"/>
      <c r="J252" s="61"/>
      <c r="K252" s="61"/>
      <c r="L252" s="61"/>
      <c r="M252" s="44"/>
      <c r="N252" s="44"/>
      <c r="O252" s="44"/>
      <c r="P252" s="44"/>
      <c r="Q252" s="64"/>
      <c r="R252" s="64"/>
      <c r="S252" s="49"/>
      <c r="T252" s="49"/>
      <c r="U252" s="49"/>
      <c r="W252" s="49"/>
      <c r="X252" s="49"/>
      <c r="Y252" s="49"/>
      <c r="Z252" s="49"/>
      <c r="AA252" s="49"/>
      <c r="AB252" s="49"/>
      <c r="AC252" s="49"/>
      <c r="AD252" s="49"/>
      <c r="AE252" s="49"/>
      <c r="AG252" s="49"/>
      <c r="AH252" s="49"/>
      <c r="AI252" s="49"/>
      <c r="AJ252" s="49"/>
      <c r="AK252" s="49"/>
      <c r="AL252" s="49"/>
      <c r="AM252" s="49"/>
      <c r="AN252" s="49"/>
      <c r="AO252" s="49"/>
      <c r="AQ252" s="49"/>
      <c r="AR252" s="49"/>
      <c r="AS252" s="49"/>
      <c r="AT252" s="49"/>
      <c r="AU252" s="49"/>
      <c r="AV252" s="49"/>
      <c r="AW252" s="49"/>
      <c r="AX252" s="49"/>
      <c r="AY252" s="49"/>
    </row>
    <row r="253" spans="1:51" s="207" customFormat="1" ht="15.75" x14ac:dyDescent="0.25">
      <c r="A253" s="49"/>
      <c r="B253" s="49"/>
      <c r="C253" s="48"/>
      <c r="D253" s="60"/>
      <c r="E253" s="60"/>
      <c r="F253" s="60"/>
      <c r="G253" s="50"/>
      <c r="H253" s="61"/>
      <c r="I253" s="61"/>
      <c r="J253" s="61"/>
      <c r="K253" s="61"/>
      <c r="L253" s="61"/>
      <c r="M253" s="44"/>
      <c r="N253" s="44"/>
      <c r="O253" s="44"/>
      <c r="P253" s="44"/>
      <c r="Q253" s="64"/>
      <c r="R253" s="64"/>
      <c r="S253" s="49"/>
      <c r="T253" s="49"/>
      <c r="U253" s="49"/>
      <c r="W253" s="49"/>
      <c r="X253" s="49"/>
      <c r="Y253" s="49"/>
      <c r="Z253" s="49"/>
      <c r="AA253" s="49"/>
      <c r="AB253" s="49"/>
      <c r="AC253" s="49"/>
      <c r="AD253" s="49"/>
      <c r="AE253" s="49"/>
      <c r="AG253" s="49"/>
      <c r="AH253" s="49"/>
      <c r="AI253" s="49"/>
      <c r="AJ253" s="49"/>
      <c r="AK253" s="49"/>
      <c r="AL253" s="49"/>
      <c r="AM253" s="49"/>
      <c r="AN253" s="49"/>
      <c r="AO253" s="49"/>
      <c r="AQ253" s="49"/>
      <c r="AR253" s="49"/>
      <c r="AS253" s="49"/>
      <c r="AT253" s="49"/>
      <c r="AU253" s="49"/>
      <c r="AV253" s="49"/>
      <c r="AW253" s="49"/>
      <c r="AX253" s="49"/>
      <c r="AY253" s="49"/>
    </row>
    <row r="254" spans="1:51" s="207" customFormat="1" ht="15.75" x14ac:dyDescent="0.25">
      <c r="A254" s="49"/>
      <c r="B254" s="49"/>
      <c r="C254" s="48"/>
      <c r="D254" s="60"/>
      <c r="E254" s="60"/>
      <c r="F254" s="60"/>
      <c r="G254" s="50"/>
      <c r="H254" s="61"/>
      <c r="I254" s="61"/>
      <c r="J254" s="61"/>
      <c r="K254" s="61"/>
      <c r="L254" s="61"/>
      <c r="M254" s="44"/>
      <c r="N254" s="44"/>
      <c r="O254" s="44"/>
      <c r="P254" s="44"/>
      <c r="Q254" s="64"/>
      <c r="R254" s="64"/>
      <c r="S254" s="49"/>
      <c r="T254" s="49"/>
      <c r="U254" s="49"/>
      <c r="W254" s="49"/>
      <c r="X254" s="49"/>
      <c r="Y254" s="49"/>
      <c r="Z254" s="49"/>
      <c r="AA254" s="49"/>
      <c r="AB254" s="49"/>
      <c r="AC254" s="49"/>
      <c r="AD254" s="49"/>
      <c r="AE254" s="49"/>
      <c r="AG254" s="49"/>
      <c r="AH254" s="49"/>
      <c r="AI254" s="49"/>
      <c r="AJ254" s="49"/>
      <c r="AK254" s="49"/>
      <c r="AL254" s="49"/>
      <c r="AM254" s="49"/>
      <c r="AN254" s="49"/>
      <c r="AO254" s="49"/>
      <c r="AQ254" s="49"/>
      <c r="AR254" s="49"/>
      <c r="AS254" s="49"/>
      <c r="AT254" s="49"/>
      <c r="AU254" s="49"/>
      <c r="AV254" s="49"/>
      <c r="AW254" s="49"/>
      <c r="AX254" s="49"/>
      <c r="AY254" s="49"/>
    </row>
    <row r="255" spans="1:51" s="207" customFormat="1" ht="15.75" x14ac:dyDescent="0.25">
      <c r="A255" s="49"/>
      <c r="B255" s="49"/>
      <c r="C255" s="48"/>
      <c r="D255" s="60"/>
      <c r="E255" s="60"/>
      <c r="F255" s="60"/>
      <c r="G255" s="50"/>
      <c r="H255" s="61"/>
      <c r="I255" s="61"/>
      <c r="J255" s="61"/>
      <c r="K255" s="61"/>
      <c r="L255" s="61"/>
      <c r="M255" s="44"/>
      <c r="N255" s="44"/>
      <c r="O255" s="44"/>
      <c r="P255" s="44"/>
      <c r="Q255" s="64"/>
      <c r="R255" s="64"/>
      <c r="S255" s="49"/>
      <c r="T255" s="49"/>
      <c r="U255" s="49"/>
      <c r="W255" s="49"/>
      <c r="X255" s="49"/>
      <c r="Y255" s="49"/>
      <c r="Z255" s="49"/>
      <c r="AA255" s="49"/>
      <c r="AB255" s="49"/>
      <c r="AC255" s="49"/>
      <c r="AD255" s="49"/>
      <c r="AE255" s="49"/>
      <c r="AG255" s="49"/>
      <c r="AH255" s="49"/>
      <c r="AI255" s="49"/>
      <c r="AJ255" s="49"/>
      <c r="AK255" s="49"/>
      <c r="AL255" s="49"/>
      <c r="AM255" s="49"/>
      <c r="AN255" s="49"/>
      <c r="AO255" s="49"/>
      <c r="AQ255" s="49"/>
      <c r="AR255" s="49"/>
      <c r="AS255" s="49"/>
      <c r="AT255" s="49"/>
      <c r="AU255" s="49"/>
      <c r="AV255" s="49"/>
      <c r="AW255" s="49"/>
      <c r="AX255" s="49"/>
      <c r="AY255" s="49"/>
    </row>
    <row r="256" spans="1:51" s="207" customFormat="1" ht="15.75" x14ac:dyDescent="0.25">
      <c r="A256" s="49"/>
      <c r="B256" s="49"/>
      <c r="C256" s="48"/>
      <c r="D256" s="60"/>
      <c r="E256" s="60"/>
      <c r="F256" s="60"/>
      <c r="G256" s="50"/>
      <c r="H256" s="61"/>
      <c r="I256" s="61"/>
      <c r="J256" s="61"/>
      <c r="K256" s="61"/>
      <c r="L256" s="61"/>
      <c r="M256" s="44"/>
      <c r="N256" s="44"/>
      <c r="O256" s="44"/>
      <c r="P256" s="44"/>
      <c r="Q256" s="64"/>
      <c r="R256" s="64"/>
      <c r="S256" s="49"/>
      <c r="T256" s="49"/>
      <c r="U256" s="49"/>
      <c r="W256" s="49"/>
      <c r="X256" s="49"/>
      <c r="Y256" s="49"/>
      <c r="Z256" s="49"/>
      <c r="AA256" s="49"/>
      <c r="AB256" s="49"/>
      <c r="AC256" s="49"/>
      <c r="AD256" s="49"/>
      <c r="AE256" s="49"/>
      <c r="AG256" s="49"/>
      <c r="AH256" s="49"/>
      <c r="AI256" s="49"/>
      <c r="AJ256" s="49"/>
      <c r="AK256" s="49"/>
      <c r="AL256" s="49"/>
      <c r="AM256" s="49"/>
      <c r="AN256" s="49"/>
      <c r="AO256" s="49"/>
      <c r="AQ256" s="49"/>
      <c r="AR256" s="49"/>
      <c r="AS256" s="49"/>
      <c r="AT256" s="49"/>
      <c r="AU256" s="49"/>
      <c r="AV256" s="49"/>
      <c r="AW256" s="49"/>
      <c r="AX256" s="49"/>
      <c r="AY256" s="49"/>
    </row>
    <row r="257" spans="1:51" s="207" customFormat="1" ht="15.75" x14ac:dyDescent="0.25">
      <c r="A257" s="49"/>
      <c r="B257" s="49"/>
      <c r="C257" s="48"/>
      <c r="D257" s="60"/>
      <c r="E257" s="60"/>
      <c r="F257" s="60"/>
      <c r="G257" s="50"/>
      <c r="H257" s="61"/>
      <c r="I257" s="61"/>
      <c r="J257" s="61"/>
      <c r="K257" s="61"/>
      <c r="L257" s="61"/>
      <c r="M257" s="44"/>
      <c r="N257" s="44"/>
      <c r="O257" s="44"/>
      <c r="P257" s="44"/>
      <c r="Q257" s="64"/>
      <c r="R257" s="64"/>
      <c r="S257" s="49"/>
      <c r="T257" s="49"/>
      <c r="U257" s="49"/>
      <c r="W257" s="49"/>
      <c r="X257" s="49"/>
      <c r="Y257" s="49"/>
      <c r="Z257" s="49"/>
      <c r="AA257" s="49"/>
      <c r="AB257" s="49"/>
      <c r="AC257" s="49"/>
      <c r="AD257" s="49"/>
      <c r="AE257" s="49"/>
      <c r="AG257" s="49"/>
      <c r="AH257" s="49"/>
      <c r="AI257" s="49"/>
      <c r="AJ257" s="49"/>
      <c r="AK257" s="49"/>
      <c r="AL257" s="49"/>
      <c r="AM257" s="49"/>
      <c r="AN257" s="49"/>
      <c r="AO257" s="49"/>
      <c r="AQ257" s="49"/>
      <c r="AR257" s="49"/>
      <c r="AS257" s="49"/>
      <c r="AT257" s="49"/>
      <c r="AU257" s="49"/>
      <c r="AV257" s="49"/>
      <c r="AW257" s="49"/>
      <c r="AX257" s="49"/>
      <c r="AY257" s="49"/>
    </row>
    <row r="258" spans="1:51" s="207" customFormat="1" ht="15.75" x14ac:dyDescent="0.25">
      <c r="A258" s="49"/>
      <c r="B258" s="49"/>
      <c r="C258" s="48"/>
      <c r="D258" s="60"/>
      <c r="E258" s="60"/>
      <c r="F258" s="60"/>
      <c r="G258" s="50"/>
      <c r="H258" s="61"/>
      <c r="I258" s="61"/>
      <c r="J258" s="61"/>
      <c r="K258" s="61"/>
      <c r="L258" s="61"/>
      <c r="M258" s="44"/>
      <c r="N258" s="44"/>
      <c r="O258" s="44"/>
      <c r="P258" s="44"/>
      <c r="Q258" s="64"/>
      <c r="R258" s="64"/>
      <c r="S258" s="49"/>
      <c r="T258" s="49"/>
      <c r="U258" s="49"/>
      <c r="W258" s="49"/>
      <c r="X258" s="49"/>
      <c r="Y258" s="49"/>
      <c r="Z258" s="49"/>
      <c r="AA258" s="49"/>
      <c r="AB258" s="49"/>
      <c r="AC258" s="49"/>
      <c r="AD258" s="49"/>
      <c r="AE258" s="49"/>
      <c r="AG258" s="49"/>
      <c r="AH258" s="49"/>
      <c r="AI258" s="49"/>
      <c r="AJ258" s="49"/>
      <c r="AK258" s="49"/>
      <c r="AL258" s="49"/>
      <c r="AM258" s="49"/>
      <c r="AN258" s="49"/>
      <c r="AO258" s="49"/>
      <c r="AQ258" s="49"/>
      <c r="AR258" s="49"/>
      <c r="AS258" s="49"/>
      <c r="AT258" s="49"/>
      <c r="AU258" s="49"/>
      <c r="AV258" s="49"/>
      <c r="AW258" s="49"/>
      <c r="AX258" s="49"/>
      <c r="AY258" s="49"/>
    </row>
    <row r="259" spans="1:51" s="207" customFormat="1" ht="15.75" x14ac:dyDescent="0.25">
      <c r="A259" s="49"/>
      <c r="B259" s="49"/>
      <c r="C259" s="48"/>
      <c r="D259" s="60"/>
      <c r="E259" s="60"/>
      <c r="F259" s="60"/>
      <c r="G259" s="50"/>
      <c r="H259" s="61"/>
      <c r="I259" s="61"/>
      <c r="J259" s="61"/>
      <c r="K259" s="61"/>
      <c r="L259" s="61"/>
      <c r="M259" s="44"/>
      <c r="N259" s="44"/>
      <c r="O259" s="44"/>
      <c r="P259" s="44"/>
      <c r="Q259" s="64"/>
      <c r="R259" s="64"/>
      <c r="S259" s="49"/>
      <c r="T259" s="49"/>
      <c r="U259" s="49"/>
      <c r="W259" s="49"/>
      <c r="X259" s="49"/>
      <c r="Y259" s="49"/>
      <c r="Z259" s="49"/>
      <c r="AA259" s="49"/>
      <c r="AB259" s="49"/>
      <c r="AC259" s="49"/>
      <c r="AD259" s="49"/>
      <c r="AE259" s="49"/>
      <c r="AG259" s="49"/>
      <c r="AH259" s="49"/>
      <c r="AI259" s="49"/>
      <c r="AJ259" s="49"/>
      <c r="AK259" s="49"/>
      <c r="AL259" s="49"/>
      <c r="AM259" s="49"/>
      <c r="AN259" s="49"/>
      <c r="AO259" s="49"/>
      <c r="AQ259" s="49"/>
      <c r="AR259" s="49"/>
      <c r="AS259" s="49"/>
      <c r="AT259" s="49"/>
      <c r="AU259" s="49"/>
      <c r="AV259" s="49"/>
      <c r="AW259" s="49"/>
      <c r="AX259" s="49"/>
      <c r="AY259" s="49"/>
    </row>
    <row r="260" spans="1:51" s="207" customFormat="1" ht="15.75" x14ac:dyDescent="0.25">
      <c r="A260" s="49"/>
      <c r="B260" s="49"/>
      <c r="C260" s="48"/>
      <c r="D260" s="60"/>
      <c r="E260" s="60"/>
      <c r="F260" s="60"/>
      <c r="G260" s="50"/>
      <c r="H260" s="61"/>
      <c r="I260" s="61"/>
      <c r="J260" s="61"/>
      <c r="K260" s="61"/>
      <c r="L260" s="61"/>
      <c r="M260" s="44"/>
      <c r="N260" s="44"/>
      <c r="O260" s="44"/>
      <c r="P260" s="44"/>
      <c r="Q260" s="64"/>
      <c r="R260" s="64"/>
      <c r="S260" s="49"/>
      <c r="T260" s="49"/>
      <c r="U260" s="49"/>
      <c r="W260" s="49"/>
      <c r="X260" s="49"/>
      <c r="Y260" s="49"/>
      <c r="Z260" s="49"/>
      <c r="AA260" s="49"/>
      <c r="AB260" s="49"/>
      <c r="AC260" s="49"/>
      <c r="AD260" s="49"/>
      <c r="AE260" s="49"/>
      <c r="AG260" s="49"/>
      <c r="AH260" s="49"/>
      <c r="AI260" s="49"/>
      <c r="AJ260" s="49"/>
      <c r="AK260" s="49"/>
      <c r="AL260" s="49"/>
      <c r="AM260" s="49"/>
      <c r="AN260" s="49"/>
      <c r="AO260" s="49"/>
      <c r="AQ260" s="49"/>
      <c r="AR260" s="49"/>
      <c r="AS260" s="49"/>
      <c r="AT260" s="49"/>
      <c r="AU260" s="49"/>
      <c r="AV260" s="49"/>
      <c r="AW260" s="49"/>
      <c r="AX260" s="49"/>
      <c r="AY260" s="49"/>
    </row>
    <row r="261" spans="1:51" s="207" customFormat="1" ht="15.75" x14ac:dyDescent="0.25">
      <c r="A261" s="49"/>
      <c r="B261" s="49"/>
      <c r="C261" s="48"/>
      <c r="D261" s="60"/>
      <c r="E261" s="60"/>
      <c r="F261" s="60"/>
      <c r="G261" s="50"/>
      <c r="H261" s="61"/>
      <c r="I261" s="61"/>
      <c r="J261" s="61"/>
      <c r="K261" s="61"/>
      <c r="L261" s="61"/>
      <c r="M261" s="44"/>
      <c r="N261" s="44"/>
      <c r="O261" s="44"/>
      <c r="P261" s="44"/>
      <c r="Q261" s="64"/>
      <c r="R261" s="64"/>
      <c r="S261" s="49"/>
      <c r="T261" s="49"/>
      <c r="U261" s="49"/>
      <c r="W261" s="49"/>
      <c r="X261" s="49"/>
      <c r="Y261" s="49"/>
      <c r="Z261" s="49"/>
      <c r="AA261" s="49"/>
      <c r="AB261" s="49"/>
      <c r="AC261" s="49"/>
      <c r="AD261" s="49"/>
      <c r="AE261" s="49"/>
      <c r="AG261" s="49"/>
      <c r="AH261" s="49"/>
      <c r="AI261" s="49"/>
      <c r="AJ261" s="49"/>
      <c r="AK261" s="49"/>
      <c r="AL261" s="49"/>
      <c r="AM261" s="49"/>
      <c r="AN261" s="49"/>
      <c r="AO261" s="49"/>
      <c r="AQ261" s="49"/>
      <c r="AR261" s="49"/>
      <c r="AS261" s="49"/>
      <c r="AT261" s="49"/>
      <c r="AU261" s="49"/>
      <c r="AV261" s="49"/>
      <c r="AW261" s="49"/>
      <c r="AX261" s="49"/>
      <c r="AY261" s="49"/>
    </row>
    <row r="262" spans="1:51" s="207" customFormat="1" ht="15.75" x14ac:dyDescent="0.25">
      <c r="A262" s="49"/>
      <c r="B262" s="49"/>
      <c r="C262" s="48"/>
      <c r="D262" s="60"/>
      <c r="E262" s="60"/>
      <c r="F262" s="60"/>
      <c r="G262" s="50"/>
      <c r="H262" s="61"/>
      <c r="I262" s="61"/>
      <c r="J262" s="61"/>
      <c r="K262" s="61"/>
      <c r="L262" s="61"/>
      <c r="M262" s="44"/>
      <c r="N262" s="44"/>
      <c r="O262" s="44"/>
      <c r="P262" s="44"/>
      <c r="Q262" s="64"/>
      <c r="R262" s="64"/>
      <c r="S262" s="49"/>
      <c r="T262" s="49"/>
      <c r="U262" s="49"/>
      <c r="W262" s="49"/>
      <c r="X262" s="49"/>
      <c r="Y262" s="49"/>
      <c r="Z262" s="49"/>
      <c r="AA262" s="49"/>
      <c r="AB262" s="49"/>
      <c r="AC262" s="49"/>
      <c r="AD262" s="49"/>
      <c r="AE262" s="49"/>
      <c r="AG262" s="49"/>
      <c r="AH262" s="49"/>
      <c r="AI262" s="49"/>
      <c r="AJ262" s="49"/>
      <c r="AK262" s="49"/>
      <c r="AL262" s="49"/>
      <c r="AM262" s="49"/>
      <c r="AN262" s="49"/>
      <c r="AO262" s="49"/>
      <c r="AQ262" s="49"/>
      <c r="AR262" s="49"/>
      <c r="AS262" s="49"/>
      <c r="AT262" s="49"/>
      <c r="AU262" s="49"/>
      <c r="AV262" s="49"/>
      <c r="AW262" s="49"/>
      <c r="AX262" s="49"/>
      <c r="AY262" s="49"/>
    </row>
    <row r="263" spans="1:51" s="207" customFormat="1" ht="15.75" x14ac:dyDescent="0.25">
      <c r="A263" s="49"/>
      <c r="B263" s="49"/>
      <c r="C263" s="48"/>
      <c r="D263" s="60"/>
      <c r="E263" s="60"/>
      <c r="F263" s="60"/>
      <c r="G263" s="50"/>
      <c r="H263" s="61"/>
      <c r="I263" s="61"/>
      <c r="J263" s="61"/>
      <c r="K263" s="61"/>
      <c r="L263" s="61"/>
      <c r="M263" s="44"/>
      <c r="N263" s="44"/>
      <c r="O263" s="44"/>
      <c r="P263" s="44"/>
      <c r="Q263" s="64"/>
      <c r="R263" s="64"/>
      <c r="S263" s="49"/>
      <c r="T263" s="49"/>
      <c r="U263" s="49"/>
      <c r="W263" s="49"/>
      <c r="X263" s="49"/>
      <c r="Y263" s="49"/>
      <c r="Z263" s="49"/>
      <c r="AA263" s="49"/>
      <c r="AB263" s="49"/>
      <c r="AC263" s="49"/>
      <c r="AD263" s="49"/>
      <c r="AE263" s="49"/>
      <c r="AG263" s="49"/>
      <c r="AH263" s="49"/>
      <c r="AI263" s="49"/>
      <c r="AJ263" s="49"/>
      <c r="AK263" s="49"/>
      <c r="AL263" s="49"/>
      <c r="AM263" s="49"/>
      <c r="AN263" s="49"/>
      <c r="AO263" s="49"/>
      <c r="AQ263" s="49"/>
      <c r="AR263" s="49"/>
      <c r="AS263" s="49"/>
      <c r="AT263" s="49"/>
      <c r="AU263" s="49"/>
      <c r="AV263" s="49"/>
      <c r="AW263" s="49"/>
      <c r="AX263" s="49"/>
      <c r="AY263" s="49"/>
    </row>
    <row r="264" spans="1:51" s="207" customFormat="1" ht="15.75" x14ac:dyDescent="0.25">
      <c r="A264" s="49"/>
      <c r="B264" s="49"/>
      <c r="C264" s="48"/>
      <c r="D264" s="60"/>
      <c r="E264" s="60"/>
      <c r="F264" s="60"/>
      <c r="G264" s="50"/>
      <c r="H264" s="61"/>
      <c r="I264" s="61"/>
      <c r="J264" s="61"/>
      <c r="K264" s="61"/>
      <c r="L264" s="61"/>
      <c r="M264" s="44"/>
      <c r="N264" s="44"/>
      <c r="O264" s="44"/>
      <c r="P264" s="44"/>
      <c r="Q264" s="64"/>
      <c r="R264" s="64"/>
      <c r="S264" s="49"/>
      <c r="T264" s="49"/>
      <c r="U264" s="49"/>
      <c r="W264" s="49"/>
      <c r="X264" s="49"/>
      <c r="Y264" s="49"/>
      <c r="Z264" s="49"/>
      <c r="AA264" s="49"/>
      <c r="AB264" s="49"/>
      <c r="AC264" s="49"/>
      <c r="AD264" s="49"/>
      <c r="AE264" s="49"/>
      <c r="AG264" s="49"/>
      <c r="AH264" s="49"/>
      <c r="AI264" s="49"/>
      <c r="AJ264" s="49"/>
      <c r="AK264" s="49"/>
      <c r="AL264" s="49"/>
      <c r="AM264" s="49"/>
      <c r="AN264" s="49"/>
      <c r="AO264" s="49"/>
      <c r="AQ264" s="49"/>
      <c r="AR264" s="49"/>
      <c r="AS264" s="49"/>
      <c r="AT264" s="49"/>
      <c r="AU264" s="49"/>
      <c r="AV264" s="49"/>
      <c r="AW264" s="49"/>
      <c r="AX264" s="49"/>
      <c r="AY264" s="49"/>
    </row>
    <row r="265" spans="1:51" s="207" customFormat="1" ht="15.75" x14ac:dyDescent="0.25">
      <c r="A265" s="49"/>
      <c r="B265" s="49"/>
      <c r="C265" s="48"/>
      <c r="D265" s="60"/>
      <c r="E265" s="60"/>
      <c r="F265" s="60"/>
      <c r="G265" s="50"/>
      <c r="H265" s="61"/>
      <c r="I265" s="61"/>
      <c r="J265" s="61"/>
      <c r="K265" s="61"/>
      <c r="L265" s="61"/>
      <c r="M265" s="44"/>
      <c r="N265" s="44"/>
      <c r="O265" s="44"/>
      <c r="P265" s="44"/>
      <c r="Q265" s="64"/>
      <c r="R265" s="64"/>
      <c r="S265" s="49"/>
      <c r="T265" s="49"/>
      <c r="U265" s="49"/>
      <c r="W265" s="49"/>
      <c r="X265" s="49"/>
      <c r="Y265" s="49"/>
      <c r="Z265" s="49"/>
      <c r="AA265" s="49"/>
      <c r="AB265" s="49"/>
      <c r="AC265" s="49"/>
      <c r="AD265" s="49"/>
      <c r="AE265" s="49"/>
      <c r="AG265" s="49"/>
      <c r="AH265" s="49"/>
      <c r="AI265" s="49"/>
      <c r="AJ265" s="49"/>
      <c r="AK265" s="49"/>
      <c r="AL265" s="49"/>
      <c r="AM265" s="49"/>
      <c r="AN265" s="49"/>
      <c r="AO265" s="49"/>
      <c r="AQ265" s="49"/>
      <c r="AR265" s="49"/>
      <c r="AS265" s="49"/>
      <c r="AT265" s="49"/>
      <c r="AU265" s="49"/>
      <c r="AV265" s="49"/>
      <c r="AW265" s="49"/>
      <c r="AX265" s="49"/>
      <c r="AY265" s="49"/>
    </row>
    <row r="266" spans="1:51" s="207" customFormat="1" ht="15.75" x14ac:dyDescent="0.25">
      <c r="A266" s="49"/>
      <c r="B266" s="49"/>
      <c r="C266" s="48"/>
      <c r="D266" s="60"/>
      <c r="E266" s="60"/>
      <c r="F266" s="60"/>
      <c r="G266" s="50"/>
      <c r="H266" s="61"/>
      <c r="I266" s="61"/>
      <c r="J266" s="61"/>
      <c r="K266" s="61"/>
      <c r="L266" s="61"/>
      <c r="M266" s="44"/>
      <c r="N266" s="44"/>
      <c r="O266" s="44"/>
      <c r="P266" s="44"/>
      <c r="Q266" s="64"/>
      <c r="R266" s="64"/>
      <c r="S266" s="49"/>
      <c r="T266" s="49"/>
      <c r="U266" s="49"/>
      <c r="W266" s="49"/>
      <c r="X266" s="49"/>
      <c r="Y266" s="49"/>
      <c r="Z266" s="49"/>
      <c r="AA266" s="49"/>
      <c r="AB266" s="49"/>
      <c r="AC266" s="49"/>
      <c r="AD266" s="49"/>
      <c r="AE266" s="49"/>
      <c r="AG266" s="49"/>
      <c r="AH266" s="49"/>
      <c r="AI266" s="49"/>
      <c r="AJ266" s="49"/>
      <c r="AK266" s="49"/>
      <c r="AL266" s="49"/>
      <c r="AM266" s="49"/>
      <c r="AN266" s="49"/>
      <c r="AO266" s="49"/>
      <c r="AQ266" s="49"/>
      <c r="AR266" s="49"/>
      <c r="AS266" s="49"/>
      <c r="AT266" s="49"/>
      <c r="AU266" s="49"/>
      <c r="AV266" s="49"/>
      <c r="AW266" s="49"/>
      <c r="AX266" s="49"/>
      <c r="AY266" s="49"/>
    </row>
    <row r="267" spans="1:51" s="207" customFormat="1" ht="15.75" x14ac:dyDescent="0.25">
      <c r="A267" s="49"/>
      <c r="B267" s="49"/>
      <c r="C267" s="48"/>
      <c r="D267" s="60"/>
      <c r="E267" s="60"/>
      <c r="F267" s="60"/>
      <c r="G267" s="50"/>
      <c r="H267" s="61"/>
      <c r="I267" s="61"/>
      <c r="J267" s="61"/>
      <c r="K267" s="61"/>
      <c r="L267" s="61"/>
      <c r="M267" s="44"/>
      <c r="N267" s="44"/>
      <c r="O267" s="44"/>
      <c r="P267" s="44"/>
      <c r="Q267" s="64"/>
      <c r="R267" s="64"/>
      <c r="S267" s="49"/>
      <c r="T267" s="49"/>
      <c r="U267" s="49"/>
      <c r="W267" s="49"/>
      <c r="X267" s="49"/>
      <c r="Y267" s="49"/>
      <c r="Z267" s="49"/>
      <c r="AA267" s="49"/>
      <c r="AB267" s="49"/>
      <c r="AC267" s="49"/>
      <c r="AD267" s="49"/>
      <c r="AE267" s="49"/>
      <c r="AG267" s="49"/>
      <c r="AH267" s="49"/>
      <c r="AI267" s="49"/>
      <c r="AJ267" s="49"/>
      <c r="AK267" s="49"/>
      <c r="AL267" s="49"/>
      <c r="AM267" s="49"/>
      <c r="AN267" s="49"/>
      <c r="AO267" s="49"/>
      <c r="AQ267" s="49"/>
      <c r="AR267" s="49"/>
      <c r="AS267" s="49"/>
      <c r="AT267" s="49"/>
      <c r="AU267" s="49"/>
      <c r="AV267" s="49"/>
      <c r="AW267" s="49"/>
      <c r="AX267" s="49"/>
      <c r="AY267" s="49"/>
    </row>
    <row r="268" spans="1:51" s="207" customFormat="1" ht="15.75" x14ac:dyDescent="0.25">
      <c r="A268" s="49"/>
      <c r="B268" s="49"/>
      <c r="C268" s="48"/>
      <c r="D268" s="60"/>
      <c r="E268" s="60"/>
      <c r="F268" s="60"/>
      <c r="G268" s="50"/>
      <c r="H268" s="61"/>
      <c r="I268" s="61"/>
      <c r="J268" s="61"/>
      <c r="K268" s="61"/>
      <c r="L268" s="61"/>
      <c r="M268" s="44"/>
      <c r="N268" s="44"/>
      <c r="O268" s="44"/>
      <c r="P268" s="44"/>
      <c r="Q268" s="64"/>
      <c r="R268" s="64"/>
      <c r="S268" s="49"/>
      <c r="T268" s="49"/>
      <c r="U268" s="49"/>
      <c r="W268" s="49"/>
      <c r="X268" s="49"/>
      <c r="Y268" s="49"/>
      <c r="Z268" s="49"/>
      <c r="AA268" s="49"/>
      <c r="AB268" s="49"/>
      <c r="AC268" s="49"/>
      <c r="AD268" s="49"/>
      <c r="AE268" s="49"/>
      <c r="AG268" s="49"/>
      <c r="AH268" s="49"/>
      <c r="AI268" s="49"/>
      <c r="AJ268" s="49"/>
      <c r="AK268" s="49"/>
      <c r="AL268" s="49"/>
      <c r="AM268" s="49"/>
      <c r="AN268" s="49"/>
      <c r="AO268" s="49"/>
      <c r="AQ268" s="49"/>
      <c r="AR268" s="49"/>
      <c r="AS268" s="49"/>
      <c r="AT268" s="49"/>
      <c r="AU268" s="49"/>
      <c r="AV268" s="49"/>
      <c r="AW268" s="49"/>
      <c r="AX268" s="49"/>
      <c r="AY268" s="49"/>
    </row>
    <row r="269" spans="1:51" s="207" customFormat="1" ht="15.75" x14ac:dyDescent="0.25">
      <c r="A269" s="49"/>
      <c r="B269" s="49"/>
      <c r="C269" s="48"/>
      <c r="D269" s="60"/>
      <c r="E269" s="60"/>
      <c r="F269" s="60"/>
      <c r="G269" s="50"/>
      <c r="H269" s="61"/>
      <c r="I269" s="61"/>
      <c r="J269" s="61"/>
      <c r="K269" s="61"/>
      <c r="L269" s="61"/>
      <c r="M269" s="44"/>
      <c r="N269" s="44"/>
      <c r="O269" s="44"/>
      <c r="P269" s="44"/>
      <c r="Q269" s="64"/>
      <c r="R269" s="64"/>
      <c r="S269" s="49"/>
      <c r="T269" s="49"/>
      <c r="U269" s="49"/>
      <c r="W269" s="49"/>
      <c r="X269" s="49"/>
      <c r="Y269" s="49"/>
      <c r="Z269" s="49"/>
      <c r="AA269" s="49"/>
      <c r="AB269" s="49"/>
      <c r="AC269" s="49"/>
      <c r="AD269" s="49"/>
      <c r="AE269" s="49"/>
      <c r="AG269" s="49"/>
      <c r="AH269" s="49"/>
      <c r="AI269" s="49"/>
      <c r="AJ269" s="49"/>
      <c r="AK269" s="49"/>
      <c r="AL269" s="49"/>
      <c r="AM269" s="49"/>
      <c r="AN269" s="49"/>
      <c r="AO269" s="49"/>
      <c r="AQ269" s="49"/>
      <c r="AR269" s="49"/>
      <c r="AS269" s="49"/>
      <c r="AT269" s="49"/>
      <c r="AU269" s="49"/>
      <c r="AV269" s="49"/>
      <c r="AW269" s="49"/>
      <c r="AX269" s="49"/>
      <c r="AY269" s="49"/>
    </row>
    <row r="270" spans="1:51" s="207" customFormat="1" ht="15.75" x14ac:dyDescent="0.25">
      <c r="A270" s="49"/>
      <c r="B270" s="49"/>
      <c r="C270" s="48"/>
      <c r="D270" s="60"/>
      <c r="E270" s="60"/>
      <c r="F270" s="60"/>
      <c r="G270" s="50"/>
      <c r="H270" s="61"/>
      <c r="I270" s="61"/>
      <c r="J270" s="61"/>
      <c r="K270" s="61"/>
      <c r="L270" s="61"/>
      <c r="M270" s="44"/>
      <c r="N270" s="44"/>
      <c r="O270" s="44"/>
      <c r="P270" s="44"/>
      <c r="Q270" s="64"/>
      <c r="R270" s="64"/>
      <c r="S270" s="49"/>
      <c r="T270" s="49"/>
      <c r="U270" s="49"/>
      <c r="W270" s="49"/>
      <c r="X270" s="49"/>
      <c r="Y270" s="49"/>
      <c r="Z270" s="49"/>
      <c r="AA270" s="49"/>
      <c r="AB270" s="49"/>
      <c r="AC270" s="49"/>
      <c r="AD270" s="49"/>
      <c r="AE270" s="49"/>
      <c r="AG270" s="49"/>
      <c r="AH270" s="49"/>
      <c r="AI270" s="49"/>
      <c r="AJ270" s="49"/>
      <c r="AK270" s="49"/>
      <c r="AL270" s="49"/>
      <c r="AM270" s="49"/>
      <c r="AN270" s="49"/>
      <c r="AO270" s="49"/>
      <c r="AQ270" s="49"/>
      <c r="AR270" s="49"/>
      <c r="AS270" s="49"/>
      <c r="AT270" s="49"/>
      <c r="AU270" s="49"/>
      <c r="AV270" s="49"/>
      <c r="AW270" s="49"/>
      <c r="AX270" s="49"/>
      <c r="AY270" s="49"/>
    </row>
    <row r="271" spans="1:51" s="207" customFormat="1" ht="15.75" x14ac:dyDescent="0.25">
      <c r="A271" s="49"/>
      <c r="B271" s="49"/>
      <c r="C271" s="48"/>
      <c r="D271" s="60"/>
      <c r="E271" s="60"/>
      <c r="F271" s="60"/>
      <c r="G271" s="50"/>
      <c r="H271" s="61"/>
      <c r="I271" s="61"/>
      <c r="J271" s="61"/>
      <c r="K271" s="61"/>
      <c r="L271" s="61"/>
      <c r="M271" s="44"/>
      <c r="N271" s="44"/>
      <c r="O271" s="44"/>
      <c r="P271" s="44"/>
      <c r="Q271" s="64"/>
      <c r="R271" s="64"/>
      <c r="S271" s="49"/>
      <c r="T271" s="49"/>
      <c r="U271" s="49"/>
      <c r="W271" s="49"/>
      <c r="X271" s="49"/>
      <c r="Y271" s="49"/>
      <c r="Z271" s="49"/>
      <c r="AA271" s="49"/>
      <c r="AB271" s="49"/>
      <c r="AC271" s="49"/>
      <c r="AD271" s="49"/>
      <c r="AE271" s="49"/>
      <c r="AG271" s="49"/>
      <c r="AH271" s="49"/>
      <c r="AI271" s="49"/>
      <c r="AJ271" s="49"/>
      <c r="AK271" s="49"/>
      <c r="AL271" s="49"/>
      <c r="AM271" s="49"/>
      <c r="AN271" s="49"/>
      <c r="AO271" s="49"/>
      <c r="AQ271" s="49"/>
      <c r="AR271" s="49"/>
      <c r="AS271" s="49"/>
      <c r="AT271" s="49"/>
      <c r="AU271" s="49"/>
      <c r="AV271" s="49"/>
      <c r="AW271" s="49"/>
      <c r="AX271" s="49"/>
      <c r="AY271" s="49"/>
    </row>
    <row r="272" spans="1:51" s="207" customFormat="1" ht="15.75" x14ac:dyDescent="0.25">
      <c r="A272" s="49"/>
      <c r="B272" s="49"/>
      <c r="C272" s="48"/>
      <c r="D272" s="60"/>
      <c r="E272" s="60"/>
      <c r="F272" s="60"/>
      <c r="G272" s="50"/>
      <c r="H272" s="61"/>
      <c r="I272" s="61"/>
      <c r="J272" s="61"/>
      <c r="K272" s="61"/>
      <c r="L272" s="61"/>
      <c r="M272" s="44"/>
      <c r="N272" s="44"/>
      <c r="O272" s="44"/>
      <c r="P272" s="44"/>
      <c r="Q272" s="64"/>
      <c r="R272" s="64"/>
      <c r="S272" s="49"/>
      <c r="T272" s="49"/>
      <c r="U272" s="49"/>
      <c r="W272" s="49"/>
      <c r="X272" s="49"/>
      <c r="Y272" s="49"/>
      <c r="Z272" s="49"/>
      <c r="AA272" s="49"/>
      <c r="AB272" s="49"/>
      <c r="AC272" s="49"/>
      <c r="AD272" s="49"/>
      <c r="AE272" s="49"/>
      <c r="AG272" s="49"/>
      <c r="AH272" s="49"/>
      <c r="AI272" s="49"/>
      <c r="AJ272" s="49"/>
      <c r="AK272" s="49"/>
      <c r="AL272" s="49"/>
      <c r="AM272" s="49"/>
      <c r="AN272" s="49"/>
      <c r="AO272" s="49"/>
      <c r="AQ272" s="49"/>
      <c r="AR272" s="49"/>
      <c r="AS272" s="49"/>
      <c r="AT272" s="49"/>
      <c r="AU272" s="49"/>
      <c r="AV272" s="49"/>
      <c r="AW272" s="49"/>
      <c r="AX272" s="49"/>
      <c r="AY272" s="49"/>
    </row>
    <row r="273" spans="1:51" s="207" customFormat="1" ht="15.75" x14ac:dyDescent="0.25">
      <c r="A273" s="49"/>
      <c r="B273" s="49"/>
      <c r="C273" s="48"/>
      <c r="D273" s="60"/>
      <c r="E273" s="60"/>
      <c r="F273" s="60"/>
      <c r="G273" s="50"/>
      <c r="H273" s="61"/>
      <c r="I273" s="61"/>
      <c r="J273" s="61"/>
      <c r="K273" s="61"/>
      <c r="L273" s="61"/>
      <c r="M273" s="44"/>
      <c r="N273" s="44"/>
      <c r="O273" s="44"/>
      <c r="P273" s="44"/>
      <c r="Q273" s="64"/>
      <c r="R273" s="64"/>
      <c r="S273" s="49"/>
      <c r="T273" s="49"/>
      <c r="U273" s="49"/>
      <c r="W273" s="49"/>
      <c r="X273" s="49"/>
      <c r="Y273" s="49"/>
      <c r="Z273" s="49"/>
      <c r="AA273" s="49"/>
      <c r="AB273" s="49"/>
      <c r="AC273" s="49"/>
      <c r="AD273" s="49"/>
      <c r="AE273" s="49"/>
      <c r="AG273" s="49"/>
      <c r="AH273" s="49"/>
      <c r="AI273" s="49"/>
      <c r="AJ273" s="49"/>
      <c r="AK273" s="49"/>
      <c r="AL273" s="49"/>
      <c r="AM273" s="49"/>
      <c r="AN273" s="49"/>
      <c r="AO273" s="49"/>
      <c r="AQ273" s="49"/>
      <c r="AR273" s="49"/>
      <c r="AS273" s="49"/>
      <c r="AT273" s="49"/>
      <c r="AU273" s="49"/>
      <c r="AV273" s="49"/>
      <c r="AW273" s="49"/>
      <c r="AX273" s="49"/>
      <c r="AY273" s="49"/>
    </row>
    <row r="274" spans="1:51" s="207" customFormat="1" ht="15.75" x14ac:dyDescent="0.25">
      <c r="A274" s="49"/>
      <c r="B274" s="49"/>
      <c r="C274" s="48"/>
      <c r="D274" s="60"/>
      <c r="E274" s="60"/>
      <c r="F274" s="60"/>
      <c r="G274" s="50"/>
      <c r="H274" s="61"/>
      <c r="I274" s="61"/>
      <c r="J274" s="61"/>
      <c r="K274" s="61"/>
      <c r="L274" s="61"/>
      <c r="M274" s="44"/>
      <c r="N274" s="44"/>
      <c r="O274" s="44"/>
      <c r="P274" s="44"/>
      <c r="Q274" s="64"/>
      <c r="R274" s="64"/>
      <c r="S274" s="49"/>
      <c r="T274" s="49"/>
      <c r="U274" s="49"/>
      <c r="W274" s="49"/>
      <c r="X274" s="49"/>
      <c r="Y274" s="49"/>
      <c r="Z274" s="49"/>
      <c r="AA274" s="49"/>
      <c r="AB274" s="49"/>
      <c r="AC274" s="49"/>
      <c r="AD274" s="49"/>
      <c r="AE274" s="49"/>
      <c r="AG274" s="49"/>
      <c r="AH274" s="49"/>
      <c r="AI274" s="49"/>
      <c r="AJ274" s="49"/>
      <c r="AK274" s="49"/>
      <c r="AL274" s="49"/>
      <c r="AM274" s="49"/>
      <c r="AN274" s="49"/>
      <c r="AO274" s="49"/>
      <c r="AQ274" s="49"/>
      <c r="AR274" s="49"/>
      <c r="AS274" s="49"/>
      <c r="AT274" s="49"/>
      <c r="AU274" s="49"/>
      <c r="AV274" s="49"/>
      <c r="AW274" s="49"/>
      <c r="AX274" s="49"/>
      <c r="AY274" s="49"/>
    </row>
    <row r="275" spans="1:51" s="207" customFormat="1" ht="15.75" x14ac:dyDescent="0.25">
      <c r="A275" s="49"/>
      <c r="B275" s="49"/>
      <c r="C275" s="48"/>
      <c r="D275" s="60"/>
      <c r="E275" s="60"/>
      <c r="F275" s="60"/>
      <c r="G275" s="50"/>
      <c r="H275" s="61"/>
      <c r="I275" s="61"/>
      <c r="J275" s="61"/>
      <c r="K275" s="61"/>
      <c r="L275" s="61"/>
      <c r="M275" s="44"/>
      <c r="N275" s="44"/>
      <c r="O275" s="44"/>
      <c r="P275" s="44"/>
      <c r="Q275" s="64"/>
      <c r="R275" s="64"/>
      <c r="S275" s="49"/>
      <c r="T275" s="49"/>
      <c r="U275" s="49"/>
      <c r="W275" s="49"/>
      <c r="X275" s="49"/>
      <c r="Y275" s="49"/>
      <c r="Z275" s="49"/>
      <c r="AA275" s="49"/>
      <c r="AB275" s="49"/>
      <c r="AC275" s="49"/>
      <c r="AD275" s="49"/>
      <c r="AE275" s="49"/>
      <c r="AG275" s="49"/>
      <c r="AH275" s="49"/>
      <c r="AI275" s="49"/>
      <c r="AJ275" s="49"/>
      <c r="AK275" s="49"/>
      <c r="AL275" s="49"/>
      <c r="AM275" s="49"/>
      <c r="AN275" s="49"/>
      <c r="AO275" s="49"/>
      <c r="AQ275" s="49"/>
      <c r="AR275" s="49"/>
      <c r="AS275" s="49"/>
      <c r="AT275" s="49"/>
      <c r="AU275" s="49"/>
      <c r="AV275" s="49"/>
      <c r="AW275" s="49"/>
      <c r="AX275" s="49"/>
      <c r="AY275" s="49"/>
    </row>
    <row r="276" spans="1:51" s="207" customFormat="1" ht="15.75" x14ac:dyDescent="0.25">
      <c r="A276" s="49"/>
      <c r="B276" s="49"/>
      <c r="C276" s="48"/>
      <c r="D276" s="60"/>
      <c r="E276" s="60"/>
      <c r="F276" s="60"/>
      <c r="G276" s="50"/>
      <c r="H276" s="61"/>
      <c r="I276" s="61"/>
      <c r="J276" s="61"/>
      <c r="K276" s="61"/>
      <c r="L276" s="61"/>
      <c r="M276" s="44"/>
      <c r="N276" s="44"/>
      <c r="O276" s="44"/>
      <c r="P276" s="44"/>
      <c r="Q276" s="64"/>
      <c r="R276" s="64"/>
      <c r="S276" s="49"/>
      <c r="T276" s="49"/>
      <c r="U276" s="49"/>
      <c r="W276" s="49"/>
      <c r="X276" s="49"/>
      <c r="Y276" s="49"/>
      <c r="Z276" s="49"/>
      <c r="AA276" s="49"/>
      <c r="AB276" s="49"/>
      <c r="AC276" s="49"/>
      <c r="AD276" s="49"/>
      <c r="AE276" s="49"/>
      <c r="AG276" s="49"/>
      <c r="AH276" s="49"/>
      <c r="AI276" s="49"/>
      <c r="AJ276" s="49"/>
      <c r="AK276" s="49"/>
      <c r="AL276" s="49"/>
      <c r="AM276" s="49"/>
      <c r="AN276" s="49"/>
      <c r="AO276" s="49"/>
      <c r="AQ276" s="49"/>
      <c r="AR276" s="49"/>
      <c r="AS276" s="49"/>
      <c r="AT276" s="49"/>
      <c r="AU276" s="49"/>
      <c r="AV276" s="49"/>
      <c r="AW276" s="49"/>
      <c r="AX276" s="49"/>
      <c r="AY276" s="49"/>
    </row>
    <row r="277" spans="1:51" s="207" customFormat="1" ht="15.75" x14ac:dyDescent="0.25">
      <c r="A277" s="49"/>
      <c r="B277" s="49"/>
      <c r="C277" s="48"/>
      <c r="D277" s="60"/>
      <c r="E277" s="60"/>
      <c r="F277" s="60"/>
      <c r="G277" s="50"/>
      <c r="H277" s="61"/>
      <c r="I277" s="61"/>
      <c r="J277" s="61"/>
      <c r="K277" s="61"/>
      <c r="L277" s="61"/>
      <c r="M277" s="44"/>
      <c r="N277" s="44"/>
      <c r="O277" s="44"/>
      <c r="P277" s="44"/>
      <c r="Q277" s="64"/>
      <c r="R277" s="64"/>
      <c r="S277" s="49"/>
      <c r="T277" s="49"/>
      <c r="U277" s="49"/>
      <c r="W277" s="49"/>
      <c r="X277" s="49"/>
      <c r="Y277" s="49"/>
      <c r="Z277" s="49"/>
      <c r="AA277" s="49"/>
      <c r="AB277" s="49"/>
      <c r="AC277" s="49"/>
      <c r="AD277" s="49"/>
      <c r="AE277" s="49"/>
      <c r="AG277" s="49"/>
      <c r="AH277" s="49"/>
      <c r="AI277" s="49"/>
      <c r="AJ277" s="49"/>
      <c r="AK277" s="49"/>
      <c r="AL277" s="49"/>
      <c r="AM277" s="49"/>
      <c r="AN277" s="49"/>
      <c r="AO277" s="49"/>
      <c r="AQ277" s="49"/>
      <c r="AR277" s="49"/>
      <c r="AS277" s="49"/>
      <c r="AT277" s="49"/>
      <c r="AU277" s="49"/>
      <c r="AV277" s="49"/>
      <c r="AW277" s="49"/>
      <c r="AX277" s="49"/>
      <c r="AY277" s="49"/>
    </row>
    <row r="278" spans="1:51" s="207" customFormat="1" ht="15.75" x14ac:dyDescent="0.25">
      <c r="A278" s="49"/>
      <c r="B278" s="49"/>
      <c r="C278" s="48"/>
      <c r="D278" s="60"/>
      <c r="E278" s="60"/>
      <c r="F278" s="60"/>
      <c r="G278" s="50"/>
      <c r="H278" s="61"/>
      <c r="I278" s="61"/>
      <c r="J278" s="61"/>
      <c r="K278" s="61"/>
      <c r="L278" s="61"/>
      <c r="M278" s="44"/>
      <c r="N278" s="44"/>
      <c r="O278" s="44"/>
      <c r="P278" s="44"/>
      <c r="Q278" s="64"/>
      <c r="R278" s="64"/>
      <c r="S278" s="49"/>
      <c r="T278" s="49"/>
      <c r="U278" s="49"/>
      <c r="W278" s="49"/>
      <c r="X278" s="49"/>
      <c r="Y278" s="49"/>
      <c r="Z278" s="49"/>
      <c r="AA278" s="49"/>
      <c r="AB278" s="49"/>
      <c r="AC278" s="49"/>
      <c r="AD278" s="49"/>
      <c r="AE278" s="49"/>
      <c r="AG278" s="49"/>
      <c r="AH278" s="49"/>
      <c r="AI278" s="49"/>
      <c r="AJ278" s="49"/>
      <c r="AK278" s="49"/>
      <c r="AL278" s="49"/>
      <c r="AM278" s="49"/>
      <c r="AN278" s="49"/>
      <c r="AO278" s="49"/>
      <c r="AQ278" s="49"/>
      <c r="AR278" s="49"/>
      <c r="AS278" s="49"/>
      <c r="AT278" s="49"/>
      <c r="AU278" s="49"/>
      <c r="AV278" s="49"/>
      <c r="AW278" s="49"/>
      <c r="AX278" s="49"/>
      <c r="AY278" s="49"/>
    </row>
    <row r="279" spans="1:51" s="207" customFormat="1" ht="15.75" x14ac:dyDescent="0.25">
      <c r="A279" s="49"/>
      <c r="B279" s="49"/>
      <c r="C279" s="48"/>
      <c r="D279" s="60"/>
      <c r="E279" s="60"/>
      <c r="F279" s="60"/>
      <c r="G279" s="50"/>
      <c r="H279" s="61"/>
      <c r="I279" s="61"/>
      <c r="J279" s="61"/>
      <c r="K279" s="61"/>
      <c r="L279" s="61"/>
      <c r="M279" s="44"/>
      <c r="N279" s="44"/>
      <c r="O279" s="44"/>
      <c r="P279" s="44"/>
      <c r="Q279" s="64"/>
      <c r="R279" s="64"/>
      <c r="S279" s="49"/>
      <c r="T279" s="49"/>
      <c r="U279" s="49"/>
      <c r="W279" s="49"/>
      <c r="X279" s="49"/>
      <c r="Y279" s="49"/>
      <c r="Z279" s="49"/>
      <c r="AA279" s="49"/>
      <c r="AB279" s="49"/>
      <c r="AC279" s="49"/>
      <c r="AD279" s="49"/>
      <c r="AE279" s="49"/>
      <c r="AG279" s="49"/>
      <c r="AH279" s="49"/>
      <c r="AI279" s="49"/>
      <c r="AJ279" s="49"/>
      <c r="AK279" s="49"/>
      <c r="AL279" s="49"/>
      <c r="AM279" s="49"/>
      <c r="AN279" s="49"/>
      <c r="AO279" s="49"/>
      <c r="AQ279" s="49"/>
      <c r="AR279" s="49"/>
      <c r="AS279" s="49"/>
      <c r="AT279" s="49"/>
      <c r="AU279" s="49"/>
      <c r="AV279" s="49"/>
      <c r="AW279" s="49"/>
      <c r="AX279" s="49"/>
      <c r="AY279" s="49"/>
    </row>
    <row r="280" spans="1:51" s="207" customFormat="1" ht="15.75" x14ac:dyDescent="0.25">
      <c r="A280" s="49"/>
      <c r="B280" s="49"/>
      <c r="C280" s="48"/>
      <c r="D280" s="60"/>
      <c r="E280" s="60"/>
      <c r="F280" s="60"/>
      <c r="G280" s="50"/>
      <c r="H280" s="61"/>
      <c r="I280" s="61"/>
      <c r="J280" s="61"/>
      <c r="K280" s="61"/>
      <c r="L280" s="61"/>
      <c r="M280" s="44"/>
      <c r="N280" s="44"/>
      <c r="O280" s="44"/>
      <c r="P280" s="44"/>
      <c r="Q280" s="64"/>
      <c r="R280" s="64"/>
      <c r="S280" s="49"/>
      <c r="T280" s="49"/>
      <c r="U280" s="49"/>
      <c r="W280" s="49"/>
      <c r="X280" s="49"/>
      <c r="Y280" s="49"/>
      <c r="Z280" s="49"/>
      <c r="AA280" s="49"/>
      <c r="AB280" s="49"/>
      <c r="AC280" s="49"/>
      <c r="AD280" s="49"/>
      <c r="AE280" s="49"/>
      <c r="AG280" s="49"/>
      <c r="AH280" s="49"/>
      <c r="AI280" s="49"/>
      <c r="AJ280" s="49"/>
      <c r="AK280" s="49"/>
      <c r="AL280" s="49"/>
      <c r="AM280" s="49"/>
      <c r="AN280" s="49"/>
      <c r="AO280" s="49"/>
      <c r="AQ280" s="49"/>
      <c r="AR280" s="49"/>
      <c r="AS280" s="49"/>
      <c r="AT280" s="49"/>
      <c r="AU280" s="49"/>
      <c r="AV280" s="49"/>
      <c r="AW280" s="49"/>
      <c r="AX280" s="49"/>
      <c r="AY280" s="49"/>
    </row>
    <row r="281" spans="1:51" s="207" customFormat="1" ht="15.75" x14ac:dyDescent="0.25">
      <c r="A281" s="49"/>
      <c r="B281" s="49"/>
      <c r="C281" s="48"/>
      <c r="D281" s="60"/>
      <c r="E281" s="60"/>
      <c r="F281" s="60"/>
      <c r="G281" s="50"/>
      <c r="H281" s="61"/>
      <c r="I281" s="61"/>
      <c r="J281" s="61"/>
      <c r="K281" s="61"/>
      <c r="L281" s="61"/>
      <c r="M281" s="44"/>
      <c r="N281" s="44"/>
      <c r="O281" s="44"/>
      <c r="P281" s="44"/>
      <c r="Q281" s="64"/>
      <c r="R281" s="64"/>
      <c r="S281" s="49"/>
      <c r="T281" s="49"/>
      <c r="U281" s="49"/>
      <c r="W281" s="49"/>
      <c r="X281" s="49"/>
      <c r="Y281" s="49"/>
      <c r="Z281" s="49"/>
      <c r="AA281" s="49"/>
      <c r="AB281" s="49"/>
      <c r="AC281" s="49"/>
      <c r="AD281" s="49"/>
      <c r="AE281" s="49"/>
      <c r="AG281" s="49"/>
      <c r="AH281" s="49"/>
      <c r="AI281" s="49"/>
      <c r="AJ281" s="49"/>
      <c r="AK281" s="49"/>
      <c r="AL281" s="49"/>
      <c r="AM281" s="49"/>
      <c r="AN281" s="49"/>
      <c r="AO281" s="49"/>
      <c r="AQ281" s="49"/>
      <c r="AR281" s="49"/>
      <c r="AS281" s="49"/>
      <c r="AT281" s="49"/>
      <c r="AU281" s="49"/>
      <c r="AV281" s="49"/>
      <c r="AW281" s="49"/>
      <c r="AX281" s="49"/>
      <c r="AY281" s="49"/>
    </row>
    <row r="282" spans="1:51" s="207" customFormat="1" ht="15.75" x14ac:dyDescent="0.25">
      <c r="A282" s="49"/>
      <c r="B282" s="49"/>
      <c r="C282" s="48"/>
      <c r="D282" s="60"/>
      <c r="E282" s="60"/>
      <c r="F282" s="60"/>
      <c r="G282" s="50"/>
      <c r="H282" s="61"/>
      <c r="I282" s="61"/>
      <c r="J282" s="61"/>
      <c r="K282" s="61"/>
      <c r="L282" s="61"/>
      <c r="M282" s="44"/>
      <c r="N282" s="44"/>
      <c r="O282" s="44"/>
      <c r="P282" s="44"/>
      <c r="Q282" s="64"/>
      <c r="R282" s="64"/>
      <c r="S282" s="49"/>
      <c r="T282" s="49"/>
      <c r="U282" s="49"/>
      <c r="W282" s="49"/>
      <c r="X282" s="49"/>
      <c r="Y282" s="49"/>
      <c r="Z282" s="49"/>
      <c r="AA282" s="49"/>
      <c r="AB282" s="49"/>
      <c r="AC282" s="49"/>
      <c r="AD282" s="49"/>
      <c r="AE282" s="49"/>
      <c r="AG282" s="49"/>
      <c r="AH282" s="49"/>
      <c r="AI282" s="49"/>
      <c r="AJ282" s="49"/>
      <c r="AK282" s="49"/>
      <c r="AL282" s="49"/>
      <c r="AM282" s="49"/>
      <c r="AN282" s="49"/>
      <c r="AO282" s="49"/>
      <c r="AQ282" s="49"/>
      <c r="AR282" s="49"/>
      <c r="AS282" s="49"/>
      <c r="AT282" s="49"/>
      <c r="AU282" s="49"/>
      <c r="AV282" s="49"/>
      <c r="AW282" s="49"/>
      <c r="AX282" s="49"/>
      <c r="AY282" s="49"/>
    </row>
    <row r="283" spans="1:51" s="207" customFormat="1" ht="15.75" x14ac:dyDescent="0.25">
      <c r="A283" s="49"/>
      <c r="B283" s="49"/>
      <c r="C283" s="48"/>
      <c r="D283" s="60"/>
      <c r="E283" s="60"/>
      <c r="F283" s="60"/>
      <c r="G283" s="50"/>
      <c r="H283" s="61"/>
      <c r="I283" s="61"/>
      <c r="J283" s="61"/>
      <c r="K283" s="61"/>
      <c r="L283" s="61"/>
      <c r="M283" s="44"/>
      <c r="N283" s="44"/>
      <c r="O283" s="44"/>
      <c r="P283" s="44"/>
      <c r="Q283" s="64"/>
      <c r="R283" s="64"/>
      <c r="S283" s="49"/>
      <c r="T283" s="49"/>
      <c r="U283" s="49"/>
      <c r="W283" s="49"/>
      <c r="X283" s="49"/>
      <c r="Y283" s="49"/>
      <c r="Z283" s="49"/>
      <c r="AA283" s="49"/>
      <c r="AB283" s="49"/>
      <c r="AC283" s="49"/>
      <c r="AD283" s="49"/>
      <c r="AE283" s="49"/>
      <c r="AG283" s="49"/>
      <c r="AH283" s="49"/>
      <c r="AI283" s="49"/>
      <c r="AJ283" s="49"/>
      <c r="AK283" s="49"/>
      <c r="AL283" s="49"/>
      <c r="AM283" s="49"/>
      <c r="AN283" s="49"/>
      <c r="AO283" s="49"/>
      <c r="AQ283" s="49"/>
      <c r="AR283" s="49"/>
      <c r="AS283" s="49"/>
      <c r="AT283" s="49"/>
      <c r="AU283" s="49"/>
      <c r="AV283" s="49"/>
      <c r="AW283" s="49"/>
      <c r="AX283" s="49"/>
      <c r="AY283" s="49"/>
    </row>
    <row r="284" spans="1:51" s="207" customFormat="1" ht="15.75" x14ac:dyDescent="0.25">
      <c r="A284" s="49"/>
      <c r="B284" s="49"/>
      <c r="C284" s="48"/>
      <c r="D284" s="60"/>
      <c r="E284" s="60"/>
      <c r="F284" s="60"/>
      <c r="G284" s="50"/>
      <c r="H284" s="61"/>
      <c r="I284" s="61"/>
      <c r="J284" s="61"/>
      <c r="K284" s="61"/>
      <c r="L284" s="61"/>
      <c r="M284" s="44"/>
      <c r="N284" s="44"/>
      <c r="O284" s="44"/>
      <c r="P284" s="44"/>
      <c r="Q284" s="64"/>
      <c r="R284" s="64"/>
      <c r="S284" s="49"/>
      <c r="T284" s="49"/>
      <c r="U284" s="49"/>
      <c r="W284" s="49"/>
      <c r="X284" s="49"/>
      <c r="Y284" s="49"/>
      <c r="Z284" s="49"/>
      <c r="AA284" s="49"/>
      <c r="AB284" s="49"/>
      <c r="AC284" s="49"/>
      <c r="AD284" s="49"/>
      <c r="AE284" s="49"/>
      <c r="AG284" s="49"/>
      <c r="AH284" s="49"/>
      <c r="AI284" s="49"/>
      <c r="AJ284" s="49"/>
      <c r="AK284" s="49"/>
      <c r="AL284" s="49"/>
      <c r="AM284" s="49"/>
      <c r="AN284" s="49"/>
      <c r="AO284" s="49"/>
      <c r="AQ284" s="49"/>
      <c r="AR284" s="49"/>
      <c r="AS284" s="49"/>
      <c r="AT284" s="49"/>
      <c r="AU284" s="49"/>
      <c r="AV284" s="49"/>
      <c r="AW284" s="49"/>
      <c r="AX284" s="49"/>
      <c r="AY284" s="49"/>
    </row>
    <row r="285" spans="1:51" s="207" customFormat="1" ht="15.75" x14ac:dyDescent="0.25">
      <c r="A285" s="49"/>
      <c r="B285" s="49"/>
      <c r="C285" s="48"/>
      <c r="D285" s="60"/>
      <c r="E285" s="60"/>
      <c r="F285" s="60"/>
      <c r="G285" s="50"/>
      <c r="H285" s="61"/>
      <c r="I285" s="61"/>
      <c r="J285" s="61"/>
      <c r="K285" s="61"/>
      <c r="L285" s="61"/>
      <c r="M285" s="44"/>
      <c r="N285" s="44"/>
      <c r="O285" s="44"/>
      <c r="P285" s="44"/>
      <c r="Q285" s="64"/>
      <c r="R285" s="64"/>
      <c r="S285" s="49"/>
      <c r="T285" s="49"/>
      <c r="U285" s="49"/>
      <c r="W285" s="49"/>
      <c r="X285" s="49"/>
      <c r="Y285" s="49"/>
      <c r="Z285" s="49"/>
      <c r="AA285" s="49"/>
      <c r="AB285" s="49"/>
      <c r="AC285" s="49"/>
      <c r="AD285" s="49"/>
      <c r="AE285" s="49"/>
      <c r="AG285" s="49"/>
      <c r="AH285" s="49"/>
      <c r="AI285" s="49"/>
      <c r="AJ285" s="49"/>
      <c r="AK285" s="49"/>
      <c r="AL285" s="49"/>
      <c r="AM285" s="49"/>
      <c r="AN285" s="49"/>
      <c r="AO285" s="49"/>
      <c r="AQ285" s="49"/>
      <c r="AR285" s="49"/>
      <c r="AS285" s="49"/>
      <c r="AT285" s="49"/>
      <c r="AU285" s="49"/>
      <c r="AV285" s="49"/>
      <c r="AW285" s="49"/>
      <c r="AX285" s="49"/>
      <c r="AY285" s="49"/>
    </row>
    <row r="286" spans="1:51" s="207" customFormat="1" ht="15.75" x14ac:dyDescent="0.25">
      <c r="A286" s="49"/>
      <c r="B286" s="49"/>
      <c r="C286" s="48"/>
      <c r="D286" s="60"/>
      <c r="E286" s="60"/>
      <c r="F286" s="60"/>
      <c r="G286" s="50"/>
      <c r="H286" s="61"/>
      <c r="I286" s="61"/>
      <c r="J286" s="61"/>
      <c r="K286" s="61"/>
      <c r="L286" s="61"/>
      <c r="M286" s="44"/>
      <c r="N286" s="44"/>
      <c r="O286" s="44"/>
      <c r="P286" s="44"/>
      <c r="Q286" s="64"/>
      <c r="R286" s="64"/>
      <c r="S286" s="49"/>
      <c r="T286" s="49"/>
      <c r="U286" s="49"/>
      <c r="W286" s="49"/>
      <c r="X286" s="49"/>
      <c r="Y286" s="49"/>
      <c r="Z286" s="49"/>
      <c r="AA286" s="49"/>
      <c r="AB286" s="49"/>
      <c r="AC286" s="49"/>
      <c r="AD286" s="49"/>
      <c r="AE286" s="49"/>
      <c r="AG286" s="49"/>
      <c r="AH286" s="49"/>
      <c r="AI286" s="49"/>
      <c r="AJ286" s="49"/>
      <c r="AK286" s="49"/>
      <c r="AL286" s="49"/>
      <c r="AM286" s="49"/>
      <c r="AN286" s="49"/>
      <c r="AO286" s="49"/>
      <c r="AQ286" s="49"/>
      <c r="AR286" s="49"/>
      <c r="AS286" s="49"/>
      <c r="AT286" s="49"/>
      <c r="AU286" s="49"/>
      <c r="AV286" s="49"/>
      <c r="AW286" s="49"/>
      <c r="AX286" s="49"/>
      <c r="AY286" s="49"/>
    </row>
    <row r="287" spans="1:51" s="207" customFormat="1" ht="15.75" x14ac:dyDescent="0.25">
      <c r="A287" s="49"/>
      <c r="B287" s="49"/>
      <c r="C287" s="48"/>
      <c r="D287" s="60"/>
      <c r="E287" s="60"/>
      <c r="F287" s="60"/>
      <c r="G287" s="50"/>
      <c r="H287" s="61"/>
      <c r="I287" s="61"/>
      <c r="J287" s="61"/>
      <c r="K287" s="61"/>
      <c r="L287" s="61"/>
      <c r="M287" s="44"/>
      <c r="N287" s="44"/>
      <c r="O287" s="44"/>
      <c r="P287" s="44"/>
      <c r="Q287" s="64"/>
      <c r="R287" s="64"/>
      <c r="S287" s="49"/>
      <c r="T287" s="49"/>
      <c r="U287" s="49"/>
      <c r="W287" s="49"/>
      <c r="X287" s="49"/>
      <c r="Y287" s="49"/>
      <c r="Z287" s="49"/>
      <c r="AA287" s="49"/>
      <c r="AB287" s="49"/>
      <c r="AC287" s="49"/>
      <c r="AD287" s="49"/>
      <c r="AE287" s="49"/>
      <c r="AG287" s="49"/>
      <c r="AH287" s="49"/>
      <c r="AI287" s="49"/>
      <c r="AJ287" s="49"/>
      <c r="AK287" s="49"/>
      <c r="AL287" s="49"/>
      <c r="AM287" s="49"/>
      <c r="AN287" s="49"/>
      <c r="AO287" s="49"/>
      <c r="AQ287" s="49"/>
      <c r="AR287" s="49"/>
      <c r="AS287" s="49"/>
      <c r="AT287" s="49"/>
      <c r="AU287" s="49"/>
      <c r="AV287" s="49"/>
      <c r="AW287" s="49"/>
      <c r="AX287" s="49"/>
      <c r="AY287" s="49"/>
    </row>
    <row r="288" spans="1:51" s="207" customFormat="1" ht="15.75" x14ac:dyDescent="0.25">
      <c r="A288" s="49"/>
      <c r="B288" s="49"/>
      <c r="C288" s="48"/>
      <c r="D288" s="60"/>
      <c r="E288" s="60"/>
      <c r="F288" s="60"/>
      <c r="G288" s="50"/>
      <c r="H288" s="61"/>
      <c r="I288" s="61"/>
      <c r="J288" s="61"/>
      <c r="K288" s="61"/>
      <c r="L288" s="61"/>
      <c r="M288" s="44"/>
      <c r="N288" s="44"/>
      <c r="O288" s="44"/>
      <c r="P288" s="44"/>
      <c r="Q288" s="64"/>
      <c r="R288" s="64"/>
      <c r="S288" s="49"/>
      <c r="T288" s="49"/>
      <c r="U288" s="49"/>
      <c r="W288" s="49"/>
      <c r="X288" s="49"/>
      <c r="Y288" s="49"/>
      <c r="Z288" s="49"/>
      <c r="AA288" s="49"/>
      <c r="AB288" s="49"/>
      <c r="AC288" s="49"/>
      <c r="AD288" s="49"/>
      <c r="AE288" s="49"/>
      <c r="AG288" s="49"/>
      <c r="AH288" s="49"/>
      <c r="AI288" s="49"/>
      <c r="AJ288" s="49"/>
      <c r="AK288" s="49"/>
      <c r="AL288" s="49"/>
      <c r="AM288" s="49"/>
      <c r="AN288" s="49"/>
      <c r="AO288" s="49"/>
      <c r="AQ288" s="49"/>
      <c r="AR288" s="49"/>
      <c r="AS288" s="49"/>
      <c r="AT288" s="49"/>
      <c r="AU288" s="49"/>
      <c r="AV288" s="49"/>
      <c r="AW288" s="49"/>
      <c r="AX288" s="49"/>
      <c r="AY288" s="49"/>
    </row>
    <row r="289" spans="1:51" s="207" customFormat="1" ht="15.75" x14ac:dyDescent="0.25">
      <c r="A289" s="49"/>
      <c r="B289" s="49"/>
      <c r="C289" s="48"/>
      <c r="D289" s="60"/>
      <c r="E289" s="60"/>
      <c r="F289" s="60"/>
      <c r="G289" s="50"/>
      <c r="H289" s="61"/>
      <c r="I289" s="61"/>
      <c r="J289" s="61"/>
      <c r="K289" s="61"/>
      <c r="L289" s="61"/>
      <c r="M289" s="44"/>
      <c r="N289" s="44"/>
      <c r="O289" s="44"/>
      <c r="P289" s="44"/>
      <c r="Q289" s="64"/>
      <c r="R289" s="64"/>
      <c r="S289" s="49"/>
      <c r="T289" s="49"/>
      <c r="U289" s="49"/>
      <c r="W289" s="49"/>
      <c r="X289" s="49"/>
      <c r="Y289" s="49"/>
      <c r="Z289" s="49"/>
      <c r="AA289" s="49"/>
      <c r="AB289" s="49"/>
      <c r="AC289" s="49"/>
      <c r="AD289" s="49"/>
      <c r="AE289" s="49"/>
      <c r="AG289" s="49"/>
      <c r="AH289" s="49"/>
      <c r="AI289" s="49"/>
      <c r="AJ289" s="49"/>
      <c r="AK289" s="49"/>
      <c r="AL289" s="49"/>
      <c r="AM289" s="49"/>
      <c r="AN289" s="49"/>
      <c r="AO289" s="49"/>
      <c r="AQ289" s="49"/>
      <c r="AR289" s="49"/>
      <c r="AS289" s="49"/>
      <c r="AT289" s="49"/>
      <c r="AU289" s="49"/>
      <c r="AV289" s="49"/>
      <c r="AW289" s="49"/>
      <c r="AX289" s="49"/>
      <c r="AY289" s="49"/>
    </row>
    <row r="290" spans="1:51" s="207" customFormat="1" ht="15.75" x14ac:dyDescent="0.25">
      <c r="A290" s="49"/>
      <c r="B290" s="49"/>
      <c r="C290" s="48"/>
      <c r="D290" s="60"/>
      <c r="E290" s="60"/>
      <c r="F290" s="60"/>
      <c r="G290" s="50"/>
      <c r="H290" s="61"/>
      <c r="I290" s="61"/>
      <c r="J290" s="61"/>
      <c r="K290" s="61"/>
      <c r="L290" s="61"/>
      <c r="M290" s="44"/>
      <c r="N290" s="44"/>
      <c r="O290" s="44"/>
      <c r="P290" s="44"/>
      <c r="Q290" s="64"/>
      <c r="R290" s="64"/>
      <c r="S290" s="49"/>
      <c r="T290" s="49"/>
      <c r="U290" s="49"/>
      <c r="W290" s="49"/>
      <c r="X290" s="49"/>
      <c r="Y290" s="49"/>
      <c r="Z290" s="49"/>
      <c r="AA290" s="49"/>
      <c r="AB290" s="49"/>
      <c r="AC290" s="49"/>
      <c r="AD290" s="49"/>
      <c r="AE290" s="49"/>
      <c r="AG290" s="49"/>
      <c r="AH290" s="49"/>
      <c r="AI290" s="49"/>
      <c r="AJ290" s="49"/>
      <c r="AK290" s="49"/>
      <c r="AL290" s="49"/>
      <c r="AM290" s="49"/>
      <c r="AN290" s="49"/>
      <c r="AO290" s="49"/>
      <c r="AQ290" s="49"/>
      <c r="AR290" s="49"/>
      <c r="AS290" s="49"/>
      <c r="AT290" s="49"/>
      <c r="AU290" s="49"/>
      <c r="AV290" s="49"/>
      <c r="AW290" s="49"/>
      <c r="AX290" s="49"/>
      <c r="AY290" s="49"/>
    </row>
    <row r="291" spans="1:51" s="207" customFormat="1" ht="15.75" x14ac:dyDescent="0.25">
      <c r="A291" s="49"/>
      <c r="B291" s="49"/>
      <c r="C291" s="48"/>
      <c r="D291" s="60"/>
      <c r="E291" s="60"/>
      <c r="F291" s="60"/>
      <c r="G291" s="50"/>
      <c r="H291" s="61"/>
      <c r="I291" s="61"/>
      <c r="J291" s="61"/>
      <c r="K291" s="61"/>
      <c r="L291" s="61"/>
      <c r="M291" s="44"/>
      <c r="N291" s="44"/>
      <c r="O291" s="44"/>
      <c r="P291" s="44"/>
      <c r="Q291" s="64"/>
      <c r="R291" s="64"/>
      <c r="S291" s="49"/>
      <c r="T291" s="49"/>
      <c r="U291" s="49"/>
      <c r="W291" s="49"/>
      <c r="X291" s="49"/>
      <c r="Y291" s="49"/>
      <c r="Z291" s="49"/>
      <c r="AA291" s="49"/>
      <c r="AB291" s="49"/>
      <c r="AC291" s="49"/>
      <c r="AD291" s="49"/>
      <c r="AE291" s="49"/>
      <c r="AG291" s="49"/>
      <c r="AH291" s="49"/>
      <c r="AI291" s="49"/>
      <c r="AJ291" s="49"/>
      <c r="AK291" s="49"/>
      <c r="AL291" s="49"/>
      <c r="AM291" s="49"/>
      <c r="AN291" s="49"/>
      <c r="AO291" s="49"/>
      <c r="AQ291" s="49"/>
      <c r="AR291" s="49"/>
      <c r="AS291" s="49"/>
      <c r="AT291" s="49"/>
      <c r="AU291" s="49"/>
      <c r="AV291" s="49"/>
      <c r="AW291" s="49"/>
      <c r="AX291" s="49"/>
      <c r="AY291" s="49"/>
    </row>
    <row r="292" spans="1:51" s="207" customFormat="1" ht="15.75" x14ac:dyDescent="0.25">
      <c r="A292" s="49"/>
      <c r="B292" s="49"/>
      <c r="C292" s="48"/>
      <c r="D292" s="60"/>
      <c r="E292" s="60"/>
      <c r="F292" s="60"/>
      <c r="G292" s="50"/>
      <c r="H292" s="61"/>
      <c r="I292" s="61"/>
      <c r="J292" s="61"/>
      <c r="K292" s="61"/>
      <c r="L292" s="61"/>
      <c r="M292" s="44"/>
      <c r="N292" s="44"/>
      <c r="O292" s="44"/>
      <c r="P292" s="44"/>
      <c r="Q292" s="64"/>
      <c r="R292" s="64"/>
      <c r="S292" s="49"/>
      <c r="T292" s="49"/>
      <c r="U292" s="49"/>
      <c r="W292" s="49"/>
      <c r="X292" s="49"/>
      <c r="Y292" s="49"/>
      <c r="Z292" s="49"/>
      <c r="AA292" s="49"/>
      <c r="AB292" s="49"/>
      <c r="AC292" s="49"/>
      <c r="AD292" s="49"/>
      <c r="AE292" s="49"/>
      <c r="AG292" s="49"/>
      <c r="AH292" s="49"/>
      <c r="AI292" s="49"/>
      <c r="AJ292" s="49"/>
      <c r="AK292" s="49"/>
      <c r="AL292" s="49"/>
      <c r="AM292" s="49"/>
      <c r="AN292" s="49"/>
      <c r="AO292" s="49"/>
      <c r="AQ292" s="49"/>
      <c r="AR292" s="49"/>
      <c r="AS292" s="49"/>
      <c r="AT292" s="49"/>
      <c r="AU292" s="49"/>
      <c r="AV292" s="49"/>
      <c r="AW292" s="49"/>
      <c r="AX292" s="49"/>
      <c r="AY292" s="49"/>
    </row>
    <row r="293" spans="1:51" s="207" customFormat="1" ht="15.75" x14ac:dyDescent="0.25">
      <c r="A293" s="49"/>
      <c r="B293" s="49"/>
      <c r="C293" s="48"/>
      <c r="D293" s="60"/>
      <c r="E293" s="60"/>
      <c r="F293" s="60"/>
      <c r="G293" s="50"/>
      <c r="H293" s="61"/>
      <c r="I293" s="61"/>
      <c r="J293" s="61"/>
      <c r="K293" s="61"/>
      <c r="L293" s="61"/>
      <c r="M293" s="44"/>
      <c r="N293" s="44"/>
      <c r="O293" s="44"/>
      <c r="P293" s="44"/>
      <c r="Q293" s="64"/>
      <c r="R293" s="64"/>
      <c r="S293" s="49"/>
      <c r="T293" s="49"/>
      <c r="U293" s="49"/>
      <c r="W293" s="49"/>
      <c r="X293" s="49"/>
      <c r="Y293" s="49"/>
      <c r="Z293" s="49"/>
      <c r="AA293" s="49"/>
      <c r="AB293" s="49"/>
      <c r="AC293" s="49"/>
      <c r="AD293" s="49"/>
      <c r="AE293" s="49"/>
      <c r="AG293" s="49"/>
      <c r="AH293" s="49"/>
      <c r="AI293" s="49"/>
      <c r="AJ293" s="49"/>
      <c r="AK293" s="49"/>
      <c r="AL293" s="49"/>
      <c r="AM293" s="49"/>
      <c r="AN293" s="49"/>
      <c r="AO293" s="49"/>
      <c r="AQ293" s="49"/>
      <c r="AR293" s="49"/>
      <c r="AS293" s="49"/>
      <c r="AT293" s="49"/>
      <c r="AU293" s="49"/>
      <c r="AV293" s="49"/>
      <c r="AW293" s="49"/>
      <c r="AX293" s="49"/>
      <c r="AY293" s="49"/>
    </row>
    <row r="294" spans="1:51" s="207" customFormat="1" ht="15.75" x14ac:dyDescent="0.25">
      <c r="A294" s="49"/>
      <c r="B294" s="49"/>
      <c r="C294" s="48"/>
      <c r="D294" s="60"/>
      <c r="E294" s="60"/>
      <c r="F294" s="60"/>
      <c r="G294" s="50"/>
      <c r="H294" s="61"/>
      <c r="I294" s="61"/>
      <c r="J294" s="61"/>
      <c r="K294" s="61"/>
      <c r="L294" s="61"/>
      <c r="M294" s="44"/>
      <c r="N294" s="44"/>
      <c r="O294" s="44"/>
      <c r="P294" s="44"/>
      <c r="Q294" s="64"/>
      <c r="R294" s="64"/>
      <c r="S294" s="49"/>
      <c r="T294" s="49"/>
      <c r="U294" s="49"/>
      <c r="W294" s="49"/>
      <c r="X294" s="49"/>
      <c r="Y294" s="49"/>
      <c r="Z294" s="49"/>
      <c r="AA294" s="49"/>
      <c r="AB294" s="49"/>
      <c r="AC294" s="49"/>
      <c r="AD294" s="49"/>
      <c r="AE294" s="49"/>
      <c r="AG294" s="49"/>
      <c r="AH294" s="49"/>
      <c r="AI294" s="49"/>
      <c r="AJ294" s="49"/>
      <c r="AK294" s="49"/>
      <c r="AL294" s="49"/>
      <c r="AM294" s="49"/>
      <c r="AN294" s="49"/>
      <c r="AO294" s="49"/>
      <c r="AQ294" s="49"/>
      <c r="AR294" s="49"/>
      <c r="AS294" s="49"/>
      <c r="AT294" s="49"/>
      <c r="AU294" s="49"/>
      <c r="AV294" s="49"/>
      <c r="AW294" s="49"/>
      <c r="AX294" s="49"/>
      <c r="AY294" s="49"/>
    </row>
    <row r="295" spans="1:51" s="207" customFormat="1" ht="15.75" x14ac:dyDescent="0.25">
      <c r="A295" s="49"/>
      <c r="B295" s="49"/>
      <c r="C295" s="48"/>
      <c r="D295" s="60"/>
      <c r="E295" s="60"/>
      <c r="F295" s="60"/>
      <c r="G295" s="50"/>
      <c r="H295" s="61"/>
      <c r="I295" s="61"/>
      <c r="J295" s="61"/>
      <c r="K295" s="61"/>
      <c r="L295" s="61"/>
      <c r="M295" s="44"/>
      <c r="N295" s="44"/>
      <c r="O295" s="44"/>
      <c r="P295" s="44"/>
      <c r="Q295" s="64"/>
      <c r="R295" s="64"/>
      <c r="S295" s="49"/>
      <c r="T295" s="49"/>
      <c r="U295" s="49"/>
      <c r="W295" s="49"/>
      <c r="X295" s="49"/>
      <c r="Y295" s="49"/>
      <c r="Z295" s="49"/>
      <c r="AA295" s="49"/>
      <c r="AB295" s="49"/>
      <c r="AC295" s="49"/>
      <c r="AD295" s="49"/>
      <c r="AE295" s="49"/>
      <c r="AG295" s="49"/>
      <c r="AH295" s="49"/>
      <c r="AI295" s="49"/>
      <c r="AJ295" s="49"/>
      <c r="AK295" s="49"/>
      <c r="AL295" s="49"/>
      <c r="AM295" s="49"/>
      <c r="AN295" s="49"/>
      <c r="AO295" s="49"/>
      <c r="AQ295" s="49"/>
      <c r="AR295" s="49"/>
      <c r="AS295" s="49"/>
      <c r="AT295" s="49"/>
      <c r="AU295" s="49"/>
      <c r="AV295" s="49"/>
      <c r="AW295" s="49"/>
      <c r="AX295" s="49"/>
      <c r="AY295" s="49"/>
    </row>
    <row r="296" spans="1:51" s="207" customFormat="1" ht="15.75" x14ac:dyDescent="0.25">
      <c r="A296" s="49"/>
      <c r="B296" s="49"/>
      <c r="C296" s="48"/>
      <c r="D296" s="60"/>
      <c r="E296" s="60"/>
      <c r="F296" s="60"/>
      <c r="G296" s="50"/>
      <c r="H296" s="61"/>
      <c r="I296" s="61"/>
      <c r="J296" s="61"/>
      <c r="K296" s="61"/>
      <c r="L296" s="61"/>
      <c r="M296" s="44"/>
      <c r="N296" s="44"/>
      <c r="O296" s="44"/>
      <c r="P296" s="44"/>
      <c r="Q296" s="64"/>
      <c r="R296" s="64"/>
      <c r="S296" s="49"/>
      <c r="T296" s="49"/>
      <c r="U296" s="49"/>
      <c r="W296" s="49"/>
      <c r="X296" s="49"/>
      <c r="Y296" s="49"/>
      <c r="Z296" s="49"/>
      <c r="AA296" s="49"/>
      <c r="AB296" s="49"/>
      <c r="AC296" s="49"/>
      <c r="AD296" s="49"/>
      <c r="AE296" s="49"/>
      <c r="AG296" s="49"/>
      <c r="AH296" s="49"/>
      <c r="AI296" s="49"/>
      <c r="AJ296" s="49"/>
      <c r="AK296" s="49"/>
      <c r="AL296" s="49"/>
      <c r="AM296" s="49"/>
      <c r="AN296" s="49"/>
      <c r="AO296" s="49"/>
      <c r="AQ296" s="49"/>
      <c r="AR296" s="49"/>
      <c r="AS296" s="49"/>
      <c r="AT296" s="49"/>
      <c r="AU296" s="49"/>
      <c r="AV296" s="49"/>
      <c r="AW296" s="49"/>
      <c r="AX296" s="49"/>
      <c r="AY296" s="49"/>
    </row>
    <row r="297" spans="1:51" s="207" customFormat="1" ht="15.75" x14ac:dyDescent="0.25">
      <c r="A297" s="49"/>
      <c r="B297" s="49"/>
      <c r="C297" s="48"/>
      <c r="D297" s="60"/>
      <c r="E297" s="60"/>
      <c r="F297" s="60"/>
      <c r="G297" s="50"/>
      <c r="H297" s="61"/>
      <c r="I297" s="61"/>
      <c r="J297" s="61"/>
      <c r="K297" s="61"/>
      <c r="L297" s="61"/>
      <c r="M297" s="44"/>
      <c r="N297" s="44"/>
      <c r="O297" s="44"/>
      <c r="P297" s="44"/>
      <c r="Q297" s="64"/>
      <c r="R297" s="64"/>
      <c r="S297" s="49"/>
      <c r="T297" s="49"/>
      <c r="U297" s="49"/>
      <c r="W297" s="49"/>
      <c r="X297" s="49"/>
      <c r="Y297" s="49"/>
      <c r="Z297" s="49"/>
      <c r="AA297" s="49"/>
      <c r="AB297" s="49"/>
      <c r="AC297" s="49"/>
      <c r="AD297" s="49"/>
      <c r="AE297" s="49"/>
      <c r="AG297" s="49"/>
      <c r="AH297" s="49"/>
      <c r="AI297" s="49"/>
      <c r="AJ297" s="49"/>
      <c r="AK297" s="49"/>
      <c r="AL297" s="49"/>
      <c r="AM297" s="49"/>
      <c r="AN297" s="49"/>
      <c r="AO297" s="49"/>
      <c r="AQ297" s="49"/>
      <c r="AR297" s="49"/>
      <c r="AS297" s="49"/>
      <c r="AT297" s="49"/>
      <c r="AU297" s="49"/>
      <c r="AV297" s="49"/>
      <c r="AW297" s="49"/>
      <c r="AX297" s="49"/>
      <c r="AY297" s="49"/>
    </row>
    <row r="298" spans="1:51" s="207" customFormat="1" ht="15.75" x14ac:dyDescent="0.25">
      <c r="A298" s="49"/>
      <c r="B298" s="49"/>
      <c r="C298" s="48"/>
      <c r="D298" s="60"/>
      <c r="E298" s="60"/>
      <c r="F298" s="60"/>
      <c r="G298" s="50"/>
      <c r="H298" s="61"/>
      <c r="I298" s="61"/>
      <c r="J298" s="61"/>
      <c r="K298" s="61"/>
      <c r="L298" s="61"/>
      <c r="M298" s="44"/>
      <c r="N298" s="44"/>
      <c r="O298" s="44"/>
      <c r="P298" s="44"/>
      <c r="Q298" s="64"/>
      <c r="R298" s="64"/>
      <c r="S298" s="49"/>
      <c r="T298" s="49"/>
      <c r="U298" s="49"/>
      <c r="W298" s="49"/>
      <c r="X298" s="49"/>
      <c r="Y298" s="49"/>
      <c r="Z298" s="49"/>
      <c r="AA298" s="49"/>
      <c r="AB298" s="49"/>
      <c r="AC298" s="49"/>
      <c r="AD298" s="49"/>
      <c r="AE298" s="49"/>
      <c r="AG298" s="49"/>
      <c r="AH298" s="49"/>
      <c r="AI298" s="49"/>
      <c r="AJ298" s="49"/>
      <c r="AK298" s="49"/>
      <c r="AL298" s="49"/>
      <c r="AM298" s="49"/>
      <c r="AN298" s="49"/>
      <c r="AO298" s="49"/>
      <c r="AQ298" s="49"/>
      <c r="AR298" s="49"/>
      <c r="AS298" s="49"/>
      <c r="AT298" s="49"/>
      <c r="AU298" s="49"/>
      <c r="AV298" s="49"/>
      <c r="AW298" s="49"/>
      <c r="AX298" s="49"/>
      <c r="AY298" s="49"/>
    </row>
    <row r="299" spans="1:51" s="207" customFormat="1" ht="15.75" x14ac:dyDescent="0.25">
      <c r="A299" s="49"/>
      <c r="B299" s="49"/>
      <c r="C299" s="48"/>
      <c r="D299" s="60"/>
      <c r="E299" s="60"/>
      <c r="F299" s="60"/>
      <c r="G299" s="50"/>
      <c r="H299" s="61"/>
      <c r="I299" s="61"/>
      <c r="J299" s="61"/>
      <c r="K299" s="61"/>
      <c r="L299" s="61"/>
      <c r="M299" s="44"/>
      <c r="N299" s="44"/>
      <c r="O299" s="44"/>
      <c r="P299" s="44"/>
      <c r="Q299" s="64"/>
      <c r="R299" s="64"/>
      <c r="S299" s="49"/>
      <c r="T299" s="49"/>
      <c r="U299" s="49"/>
      <c r="W299" s="49"/>
      <c r="X299" s="49"/>
      <c r="Y299" s="49"/>
      <c r="Z299" s="49"/>
      <c r="AA299" s="49"/>
      <c r="AB299" s="49"/>
      <c r="AC299" s="49"/>
      <c r="AD299" s="49"/>
      <c r="AE299" s="49"/>
      <c r="AG299" s="49"/>
      <c r="AH299" s="49"/>
      <c r="AI299" s="49"/>
      <c r="AJ299" s="49"/>
      <c r="AK299" s="49"/>
      <c r="AL299" s="49"/>
      <c r="AM299" s="49"/>
      <c r="AN299" s="49"/>
      <c r="AO299" s="49"/>
      <c r="AQ299" s="49"/>
      <c r="AR299" s="49"/>
      <c r="AS299" s="49"/>
      <c r="AT299" s="49"/>
      <c r="AU299" s="49"/>
      <c r="AV299" s="49"/>
      <c r="AW299" s="49"/>
      <c r="AX299" s="49"/>
      <c r="AY299" s="49"/>
    </row>
    <row r="300" spans="1:51" s="207" customFormat="1" ht="15.75" x14ac:dyDescent="0.25">
      <c r="A300" s="49"/>
      <c r="B300" s="49"/>
      <c r="C300" s="48"/>
      <c r="D300" s="60"/>
      <c r="E300" s="60"/>
      <c r="F300" s="60"/>
      <c r="G300" s="50"/>
      <c r="H300" s="61"/>
      <c r="I300" s="61"/>
      <c r="J300" s="61"/>
      <c r="K300" s="61"/>
      <c r="L300" s="61"/>
      <c r="M300" s="44"/>
      <c r="N300" s="44"/>
      <c r="O300" s="44"/>
      <c r="P300" s="44"/>
      <c r="Q300" s="64"/>
      <c r="R300" s="64"/>
      <c r="S300" s="49"/>
      <c r="T300" s="49"/>
      <c r="U300" s="49"/>
      <c r="W300" s="49"/>
      <c r="X300" s="49"/>
      <c r="Y300" s="49"/>
      <c r="Z300" s="49"/>
      <c r="AA300" s="49"/>
      <c r="AB300" s="49"/>
      <c r="AC300" s="49"/>
      <c r="AD300" s="49"/>
      <c r="AE300" s="49"/>
      <c r="AG300" s="49"/>
      <c r="AH300" s="49"/>
      <c r="AI300" s="49"/>
      <c r="AJ300" s="49"/>
      <c r="AK300" s="49"/>
      <c r="AL300" s="49"/>
      <c r="AM300" s="49"/>
      <c r="AN300" s="49"/>
      <c r="AO300" s="49"/>
      <c r="AQ300" s="49"/>
      <c r="AR300" s="49"/>
      <c r="AS300" s="49"/>
      <c r="AT300" s="49"/>
      <c r="AU300" s="49"/>
      <c r="AV300" s="49"/>
      <c r="AW300" s="49"/>
      <c r="AX300" s="49"/>
      <c r="AY300" s="49"/>
    </row>
    <row r="301" spans="1:51" s="207" customFormat="1" ht="15.75" x14ac:dyDescent="0.25">
      <c r="A301" s="49"/>
      <c r="B301" s="49"/>
      <c r="C301" s="48"/>
      <c r="D301" s="60"/>
      <c r="E301" s="60"/>
      <c r="F301" s="60"/>
      <c r="G301" s="50"/>
      <c r="H301" s="61"/>
      <c r="I301" s="61"/>
      <c r="J301" s="61"/>
      <c r="K301" s="61"/>
      <c r="L301" s="61"/>
      <c r="M301" s="44"/>
      <c r="N301" s="44"/>
      <c r="O301" s="44"/>
      <c r="P301" s="44"/>
      <c r="Q301" s="64"/>
      <c r="R301" s="64"/>
      <c r="S301" s="49"/>
      <c r="T301" s="49"/>
      <c r="U301" s="49"/>
      <c r="W301" s="49"/>
      <c r="X301" s="49"/>
      <c r="Y301" s="49"/>
      <c r="Z301" s="49"/>
      <c r="AA301" s="49"/>
      <c r="AB301" s="49"/>
      <c r="AC301" s="49"/>
      <c r="AD301" s="49"/>
      <c r="AE301" s="49"/>
      <c r="AG301" s="49"/>
      <c r="AH301" s="49"/>
      <c r="AI301" s="49"/>
      <c r="AJ301" s="49"/>
      <c r="AK301" s="49"/>
      <c r="AL301" s="49"/>
      <c r="AM301" s="49"/>
      <c r="AN301" s="49"/>
      <c r="AO301" s="49"/>
      <c r="AQ301" s="49"/>
      <c r="AR301" s="49"/>
      <c r="AS301" s="49"/>
      <c r="AT301" s="49"/>
      <c r="AU301" s="49"/>
      <c r="AV301" s="49"/>
      <c r="AW301" s="49"/>
      <c r="AX301" s="49"/>
      <c r="AY301" s="49"/>
    </row>
    <row r="302" spans="1:51" s="207" customFormat="1" ht="15.75" x14ac:dyDescent="0.25">
      <c r="A302" s="49"/>
      <c r="B302" s="49"/>
      <c r="C302" s="48"/>
      <c r="D302" s="60"/>
      <c r="E302" s="60"/>
      <c r="F302" s="60"/>
      <c r="G302" s="50"/>
      <c r="H302" s="61"/>
      <c r="I302" s="61"/>
      <c r="J302" s="61"/>
      <c r="K302" s="61"/>
      <c r="L302" s="61"/>
      <c r="M302" s="44"/>
      <c r="N302" s="44"/>
      <c r="O302" s="44"/>
      <c r="P302" s="44"/>
      <c r="Q302" s="64"/>
      <c r="R302" s="64"/>
      <c r="S302" s="49"/>
      <c r="T302" s="49"/>
      <c r="U302" s="49"/>
      <c r="W302" s="49"/>
      <c r="X302" s="49"/>
      <c r="Y302" s="49"/>
      <c r="Z302" s="49"/>
      <c r="AA302" s="49"/>
      <c r="AB302" s="49"/>
      <c r="AC302" s="49"/>
      <c r="AD302" s="49"/>
      <c r="AE302" s="49"/>
      <c r="AG302" s="49"/>
      <c r="AH302" s="49"/>
      <c r="AI302" s="49"/>
      <c r="AJ302" s="49"/>
      <c r="AK302" s="49"/>
      <c r="AL302" s="49"/>
      <c r="AM302" s="49"/>
      <c r="AN302" s="49"/>
      <c r="AO302" s="49"/>
      <c r="AQ302" s="49"/>
      <c r="AR302" s="49"/>
      <c r="AS302" s="49"/>
      <c r="AT302" s="49"/>
      <c r="AU302" s="49"/>
      <c r="AV302" s="49"/>
      <c r="AW302" s="49"/>
      <c r="AX302" s="49"/>
      <c r="AY302" s="49"/>
    </row>
    <row r="303" spans="1:51" s="207" customFormat="1" ht="15.75" x14ac:dyDescent="0.25">
      <c r="A303" s="49"/>
      <c r="B303" s="49"/>
      <c r="C303" s="48"/>
      <c r="D303" s="60"/>
      <c r="E303" s="60"/>
      <c r="F303" s="60"/>
      <c r="G303" s="50"/>
      <c r="H303" s="61"/>
      <c r="I303" s="61"/>
      <c r="J303" s="61"/>
      <c r="K303" s="61"/>
      <c r="L303" s="61"/>
      <c r="M303" s="44"/>
      <c r="N303" s="44"/>
      <c r="O303" s="44"/>
      <c r="P303" s="44"/>
      <c r="Q303" s="64"/>
      <c r="R303" s="64"/>
      <c r="S303" s="49"/>
      <c r="T303" s="49"/>
      <c r="U303" s="49"/>
      <c r="W303" s="49"/>
      <c r="X303" s="49"/>
      <c r="Y303" s="49"/>
      <c r="Z303" s="49"/>
      <c r="AA303" s="49"/>
      <c r="AB303" s="49"/>
      <c r="AC303" s="49"/>
      <c r="AD303" s="49"/>
      <c r="AE303" s="49"/>
      <c r="AG303" s="49"/>
      <c r="AH303" s="49"/>
      <c r="AI303" s="49"/>
      <c r="AJ303" s="49"/>
      <c r="AK303" s="49"/>
      <c r="AL303" s="49"/>
      <c r="AM303" s="49"/>
      <c r="AN303" s="49"/>
      <c r="AO303" s="49"/>
      <c r="AQ303" s="49"/>
      <c r="AR303" s="49"/>
      <c r="AS303" s="49"/>
      <c r="AT303" s="49"/>
      <c r="AU303" s="49"/>
      <c r="AV303" s="49"/>
      <c r="AW303" s="49"/>
      <c r="AX303" s="49"/>
      <c r="AY303" s="49"/>
    </row>
    <row r="304" spans="1:51" s="207" customFormat="1" ht="15.75" x14ac:dyDescent="0.25">
      <c r="A304" s="49"/>
      <c r="B304" s="49"/>
      <c r="C304" s="48"/>
      <c r="D304" s="60"/>
      <c r="E304" s="60"/>
      <c r="F304" s="60"/>
      <c r="G304" s="50"/>
      <c r="H304" s="61"/>
      <c r="I304" s="61"/>
      <c r="J304" s="61"/>
      <c r="K304" s="61"/>
      <c r="L304" s="61"/>
      <c r="M304" s="44"/>
      <c r="N304" s="44"/>
      <c r="O304" s="44"/>
      <c r="P304" s="44"/>
      <c r="Q304" s="64"/>
      <c r="R304" s="64"/>
      <c r="S304" s="49"/>
      <c r="T304" s="49"/>
      <c r="U304" s="49"/>
      <c r="W304" s="49"/>
      <c r="X304" s="49"/>
      <c r="Y304" s="49"/>
      <c r="Z304" s="49"/>
      <c r="AA304" s="49"/>
      <c r="AB304" s="49"/>
      <c r="AC304" s="49"/>
      <c r="AD304" s="49"/>
      <c r="AE304" s="49"/>
      <c r="AG304" s="49"/>
      <c r="AH304" s="49"/>
      <c r="AI304" s="49"/>
      <c r="AJ304" s="49"/>
      <c r="AK304" s="49"/>
      <c r="AL304" s="49"/>
      <c r="AM304" s="49"/>
      <c r="AN304" s="49"/>
      <c r="AO304" s="49"/>
      <c r="AQ304" s="49"/>
      <c r="AR304" s="49"/>
      <c r="AS304" s="49"/>
      <c r="AT304" s="49"/>
      <c r="AU304" s="49"/>
      <c r="AV304" s="49"/>
      <c r="AW304" s="49"/>
      <c r="AX304" s="49"/>
      <c r="AY304" s="49"/>
    </row>
    <row r="305" spans="1:51" s="207" customFormat="1" ht="15.75" x14ac:dyDescent="0.25">
      <c r="A305" s="49"/>
      <c r="B305" s="49"/>
      <c r="C305" s="48"/>
      <c r="D305" s="60"/>
      <c r="E305" s="60"/>
      <c r="F305" s="60"/>
      <c r="G305" s="50"/>
      <c r="H305" s="61"/>
      <c r="I305" s="61"/>
      <c r="J305" s="61"/>
      <c r="K305" s="61"/>
      <c r="L305" s="61"/>
      <c r="M305" s="44"/>
      <c r="N305" s="44"/>
      <c r="O305" s="44"/>
      <c r="P305" s="44"/>
      <c r="Q305" s="64"/>
      <c r="R305" s="64"/>
      <c r="S305" s="49"/>
      <c r="T305" s="49"/>
      <c r="U305" s="49"/>
      <c r="W305" s="49"/>
      <c r="X305" s="49"/>
      <c r="Y305" s="49"/>
      <c r="Z305" s="49"/>
      <c r="AA305" s="49"/>
      <c r="AB305" s="49"/>
      <c r="AC305" s="49"/>
      <c r="AD305" s="49"/>
      <c r="AE305" s="49"/>
      <c r="AG305" s="49"/>
      <c r="AH305" s="49"/>
      <c r="AI305" s="49"/>
      <c r="AJ305" s="49"/>
      <c r="AK305" s="49"/>
      <c r="AL305" s="49"/>
      <c r="AM305" s="49"/>
      <c r="AN305" s="49"/>
      <c r="AO305" s="49"/>
      <c r="AQ305" s="49"/>
      <c r="AR305" s="49"/>
      <c r="AS305" s="49"/>
      <c r="AT305" s="49"/>
      <c r="AU305" s="49"/>
      <c r="AV305" s="49"/>
      <c r="AW305" s="49"/>
      <c r="AX305" s="49"/>
      <c r="AY305" s="49"/>
    </row>
    <row r="306" spans="1:51" s="207" customFormat="1" ht="15.75" x14ac:dyDescent="0.25">
      <c r="A306" s="49"/>
      <c r="B306" s="49"/>
      <c r="C306" s="48"/>
      <c r="D306" s="60"/>
      <c r="E306" s="60"/>
      <c r="F306" s="60"/>
      <c r="G306" s="50"/>
      <c r="H306" s="61"/>
      <c r="I306" s="61"/>
      <c r="J306" s="61"/>
      <c r="K306" s="61"/>
      <c r="L306" s="61"/>
      <c r="M306" s="44"/>
      <c r="N306" s="44"/>
      <c r="O306" s="44"/>
      <c r="P306" s="44"/>
      <c r="Q306" s="64"/>
      <c r="R306" s="64"/>
      <c r="S306" s="49"/>
      <c r="T306" s="49"/>
      <c r="U306" s="49"/>
      <c r="W306" s="49"/>
      <c r="X306" s="49"/>
      <c r="Y306" s="49"/>
      <c r="Z306" s="49"/>
      <c r="AA306" s="49"/>
      <c r="AB306" s="49"/>
      <c r="AC306" s="49"/>
      <c r="AD306" s="49"/>
      <c r="AE306" s="49"/>
      <c r="AG306" s="49"/>
      <c r="AH306" s="49"/>
      <c r="AI306" s="49"/>
      <c r="AJ306" s="49"/>
      <c r="AK306" s="49"/>
      <c r="AL306" s="49"/>
      <c r="AM306" s="49"/>
      <c r="AN306" s="49"/>
      <c r="AO306" s="49"/>
      <c r="AQ306" s="49"/>
      <c r="AR306" s="49"/>
      <c r="AS306" s="49"/>
      <c r="AT306" s="49"/>
      <c r="AU306" s="49"/>
      <c r="AV306" s="49"/>
      <c r="AW306" s="49"/>
      <c r="AX306" s="49"/>
      <c r="AY306" s="49"/>
    </row>
    <row r="307" spans="1:51" s="207" customFormat="1" ht="15.75" x14ac:dyDescent="0.25">
      <c r="A307" s="49"/>
      <c r="B307" s="49"/>
      <c r="C307" s="48"/>
      <c r="D307" s="60"/>
      <c r="E307" s="60"/>
      <c r="F307" s="60"/>
      <c r="G307" s="50"/>
      <c r="H307" s="61"/>
      <c r="I307" s="61"/>
      <c r="J307" s="61"/>
      <c r="K307" s="61"/>
      <c r="L307" s="61"/>
      <c r="M307" s="44"/>
      <c r="N307" s="44"/>
      <c r="O307" s="44"/>
      <c r="P307" s="44"/>
      <c r="Q307" s="64"/>
      <c r="R307" s="64"/>
      <c r="S307" s="49"/>
      <c r="T307" s="49"/>
      <c r="U307" s="49"/>
      <c r="W307" s="49"/>
      <c r="X307" s="49"/>
      <c r="Y307" s="49"/>
      <c r="Z307" s="49"/>
      <c r="AA307" s="49"/>
      <c r="AB307" s="49"/>
      <c r="AC307" s="49"/>
      <c r="AD307" s="49"/>
      <c r="AE307" s="49"/>
      <c r="AG307" s="49"/>
      <c r="AH307" s="49"/>
      <c r="AI307" s="49"/>
      <c r="AJ307" s="49"/>
      <c r="AK307" s="49"/>
      <c r="AL307" s="49"/>
      <c r="AM307" s="49"/>
      <c r="AN307" s="49"/>
      <c r="AO307" s="49"/>
      <c r="AQ307" s="49"/>
      <c r="AR307" s="49"/>
      <c r="AS307" s="49"/>
      <c r="AT307" s="49"/>
      <c r="AU307" s="49"/>
      <c r="AV307" s="49"/>
      <c r="AW307" s="49"/>
      <c r="AX307" s="49"/>
      <c r="AY307" s="49"/>
    </row>
    <row r="308" spans="1:51" s="207" customFormat="1" ht="15.75" x14ac:dyDescent="0.25">
      <c r="A308" s="49"/>
      <c r="B308" s="49"/>
      <c r="C308" s="48"/>
      <c r="D308" s="60"/>
      <c r="E308" s="60"/>
      <c r="F308" s="60"/>
      <c r="G308" s="50"/>
      <c r="H308" s="61"/>
      <c r="I308" s="61"/>
      <c r="J308" s="61"/>
      <c r="K308" s="61"/>
      <c r="L308" s="61"/>
      <c r="M308" s="44"/>
      <c r="N308" s="44"/>
      <c r="O308" s="44"/>
      <c r="P308" s="44"/>
      <c r="Q308" s="64"/>
      <c r="R308" s="64"/>
      <c r="S308" s="49"/>
      <c r="T308" s="49"/>
      <c r="U308" s="49"/>
      <c r="W308" s="49"/>
      <c r="X308" s="49"/>
      <c r="Y308" s="49"/>
      <c r="Z308" s="49"/>
      <c r="AA308" s="49"/>
      <c r="AB308" s="49"/>
      <c r="AC308" s="49"/>
      <c r="AD308" s="49"/>
      <c r="AE308" s="49"/>
      <c r="AG308" s="49"/>
      <c r="AH308" s="49"/>
      <c r="AI308" s="49"/>
      <c r="AJ308" s="49"/>
      <c r="AK308" s="49"/>
      <c r="AL308" s="49"/>
      <c r="AM308" s="49"/>
      <c r="AN308" s="49"/>
      <c r="AO308" s="49"/>
      <c r="AQ308" s="49"/>
      <c r="AR308" s="49"/>
      <c r="AS308" s="49"/>
      <c r="AT308" s="49"/>
      <c r="AU308" s="49"/>
      <c r="AV308" s="49"/>
      <c r="AW308" s="49"/>
      <c r="AX308" s="49"/>
      <c r="AY308" s="49"/>
    </row>
    <row r="309" spans="1:51" s="207" customFormat="1" ht="15.75" x14ac:dyDescent="0.25">
      <c r="A309" s="49"/>
      <c r="B309" s="49"/>
      <c r="C309" s="48"/>
      <c r="D309" s="60"/>
      <c r="E309" s="60"/>
      <c r="F309" s="60"/>
      <c r="G309" s="50"/>
      <c r="H309" s="61"/>
      <c r="I309" s="61"/>
      <c r="J309" s="61"/>
      <c r="K309" s="61"/>
      <c r="L309" s="61"/>
      <c r="M309" s="44"/>
      <c r="N309" s="44"/>
      <c r="O309" s="44"/>
      <c r="P309" s="44"/>
      <c r="Q309" s="64"/>
      <c r="R309" s="64"/>
      <c r="S309" s="49"/>
      <c r="T309" s="49"/>
      <c r="U309" s="49"/>
      <c r="W309" s="49"/>
      <c r="X309" s="49"/>
      <c r="Y309" s="49"/>
      <c r="Z309" s="49"/>
      <c r="AA309" s="49"/>
      <c r="AB309" s="49"/>
      <c r="AC309" s="49"/>
      <c r="AD309" s="49"/>
      <c r="AE309" s="49"/>
      <c r="AG309" s="49"/>
      <c r="AH309" s="49"/>
      <c r="AI309" s="49"/>
      <c r="AJ309" s="49"/>
      <c r="AK309" s="49"/>
      <c r="AL309" s="49"/>
      <c r="AM309" s="49"/>
      <c r="AN309" s="49"/>
      <c r="AO309" s="49"/>
      <c r="AQ309" s="49"/>
      <c r="AR309" s="49"/>
      <c r="AS309" s="49"/>
      <c r="AT309" s="49"/>
      <c r="AU309" s="49"/>
      <c r="AV309" s="49"/>
      <c r="AW309" s="49"/>
      <c r="AX309" s="49"/>
      <c r="AY309" s="49"/>
    </row>
    <row r="310" spans="1:51" s="207" customFormat="1" ht="15.75" x14ac:dyDescent="0.25">
      <c r="A310" s="49"/>
      <c r="B310" s="49"/>
      <c r="C310" s="48"/>
      <c r="D310" s="60"/>
      <c r="E310" s="60"/>
      <c r="F310" s="60"/>
      <c r="G310" s="50"/>
      <c r="H310" s="61"/>
      <c r="I310" s="61"/>
      <c r="J310" s="61"/>
      <c r="K310" s="61"/>
      <c r="L310" s="61"/>
      <c r="M310" s="44"/>
      <c r="N310" s="44"/>
      <c r="O310" s="44"/>
      <c r="P310" s="44"/>
      <c r="Q310" s="64"/>
      <c r="R310" s="64"/>
      <c r="S310" s="49"/>
      <c r="T310" s="49"/>
      <c r="U310" s="49"/>
      <c r="W310" s="49"/>
      <c r="X310" s="49"/>
      <c r="Y310" s="49"/>
      <c r="Z310" s="49"/>
      <c r="AA310" s="49"/>
      <c r="AB310" s="49"/>
      <c r="AC310" s="49"/>
      <c r="AD310" s="49"/>
      <c r="AE310" s="49"/>
      <c r="AG310" s="49"/>
      <c r="AH310" s="49"/>
      <c r="AI310" s="49"/>
      <c r="AJ310" s="49"/>
      <c r="AK310" s="49"/>
      <c r="AL310" s="49"/>
      <c r="AM310" s="49"/>
      <c r="AN310" s="49"/>
      <c r="AO310" s="49"/>
      <c r="AQ310" s="49"/>
      <c r="AR310" s="49"/>
      <c r="AS310" s="49"/>
      <c r="AT310" s="49"/>
      <c r="AU310" s="49"/>
      <c r="AV310" s="49"/>
      <c r="AW310" s="49"/>
      <c r="AX310" s="49"/>
      <c r="AY310" s="49"/>
    </row>
    <row r="311" spans="1:51" s="207" customFormat="1" ht="15.75" x14ac:dyDescent="0.25">
      <c r="A311" s="49"/>
      <c r="B311" s="49"/>
      <c r="C311" s="48"/>
      <c r="D311" s="60"/>
      <c r="E311" s="60"/>
      <c r="F311" s="60"/>
      <c r="G311" s="50"/>
      <c r="H311" s="61"/>
      <c r="I311" s="61"/>
      <c r="J311" s="61"/>
      <c r="K311" s="61"/>
      <c r="L311" s="61"/>
      <c r="M311" s="44"/>
      <c r="N311" s="44"/>
      <c r="O311" s="44"/>
      <c r="P311" s="44"/>
      <c r="Q311" s="64"/>
      <c r="R311" s="64"/>
      <c r="S311" s="49"/>
      <c r="T311" s="49"/>
      <c r="U311" s="49"/>
      <c r="W311" s="49"/>
      <c r="X311" s="49"/>
      <c r="Y311" s="49"/>
      <c r="Z311" s="49"/>
      <c r="AA311" s="49"/>
      <c r="AB311" s="49"/>
      <c r="AC311" s="49"/>
      <c r="AD311" s="49"/>
      <c r="AE311" s="49"/>
      <c r="AG311" s="49"/>
      <c r="AH311" s="49"/>
      <c r="AI311" s="49"/>
      <c r="AJ311" s="49"/>
      <c r="AK311" s="49"/>
      <c r="AL311" s="49"/>
      <c r="AM311" s="49"/>
      <c r="AN311" s="49"/>
      <c r="AO311" s="49"/>
      <c r="AQ311" s="49"/>
      <c r="AR311" s="49"/>
      <c r="AS311" s="49"/>
      <c r="AT311" s="49"/>
      <c r="AU311" s="49"/>
      <c r="AV311" s="49"/>
      <c r="AW311" s="49"/>
      <c r="AX311" s="49"/>
      <c r="AY311" s="49"/>
    </row>
    <row r="312" spans="1:51" s="207" customFormat="1" ht="15.75" x14ac:dyDescent="0.25">
      <c r="A312" s="49"/>
      <c r="B312" s="49"/>
      <c r="C312" s="48"/>
      <c r="D312" s="60"/>
      <c r="E312" s="60"/>
      <c r="F312" s="60"/>
      <c r="G312" s="50"/>
      <c r="H312" s="61"/>
      <c r="I312" s="61"/>
      <c r="J312" s="61"/>
      <c r="K312" s="61"/>
      <c r="L312" s="61"/>
      <c r="M312" s="44"/>
      <c r="N312" s="44"/>
      <c r="O312" s="44"/>
      <c r="P312" s="44"/>
      <c r="Q312" s="64"/>
      <c r="R312" s="64"/>
      <c r="S312" s="49"/>
      <c r="T312" s="49"/>
      <c r="U312" s="49"/>
      <c r="W312" s="49"/>
      <c r="X312" s="49"/>
      <c r="Y312" s="49"/>
      <c r="Z312" s="49"/>
      <c r="AA312" s="49"/>
      <c r="AB312" s="49"/>
      <c r="AC312" s="49"/>
      <c r="AD312" s="49"/>
      <c r="AE312" s="49"/>
      <c r="AG312" s="49"/>
      <c r="AH312" s="49"/>
      <c r="AI312" s="49"/>
      <c r="AJ312" s="49"/>
      <c r="AK312" s="49"/>
      <c r="AL312" s="49"/>
      <c r="AM312" s="49"/>
      <c r="AN312" s="49"/>
      <c r="AO312" s="49"/>
      <c r="AQ312" s="49"/>
      <c r="AR312" s="49"/>
      <c r="AS312" s="49"/>
      <c r="AT312" s="49"/>
      <c r="AU312" s="49"/>
      <c r="AV312" s="49"/>
      <c r="AW312" s="49"/>
      <c r="AX312" s="49"/>
      <c r="AY312" s="49"/>
    </row>
    <row r="313" spans="1:51" s="207" customFormat="1" ht="15.75" x14ac:dyDescent="0.25">
      <c r="A313" s="49"/>
      <c r="B313" s="49"/>
      <c r="C313" s="48"/>
      <c r="D313" s="60"/>
      <c r="E313" s="60"/>
      <c r="F313" s="60"/>
      <c r="G313" s="50"/>
      <c r="H313" s="61"/>
      <c r="I313" s="61"/>
      <c r="J313" s="61"/>
      <c r="K313" s="61"/>
      <c r="L313" s="61"/>
      <c r="M313" s="44"/>
      <c r="N313" s="44"/>
      <c r="O313" s="44"/>
      <c r="P313" s="44"/>
      <c r="Q313" s="64"/>
      <c r="R313" s="64"/>
      <c r="S313" s="49"/>
      <c r="T313" s="49"/>
      <c r="U313" s="49"/>
      <c r="W313" s="49"/>
      <c r="X313" s="49"/>
      <c r="Y313" s="49"/>
      <c r="Z313" s="49"/>
      <c r="AA313" s="49"/>
      <c r="AB313" s="49"/>
      <c r="AC313" s="49"/>
      <c r="AD313" s="49"/>
      <c r="AE313" s="49"/>
      <c r="AG313" s="49"/>
      <c r="AH313" s="49"/>
      <c r="AI313" s="49"/>
      <c r="AJ313" s="49"/>
      <c r="AK313" s="49"/>
      <c r="AL313" s="49"/>
      <c r="AM313" s="49"/>
      <c r="AN313" s="49"/>
      <c r="AO313" s="49"/>
      <c r="AQ313" s="49"/>
      <c r="AR313" s="49"/>
      <c r="AS313" s="49"/>
      <c r="AT313" s="49"/>
      <c r="AU313" s="49"/>
      <c r="AV313" s="49"/>
      <c r="AW313" s="49"/>
      <c r="AX313" s="49"/>
      <c r="AY313" s="49"/>
    </row>
    <row r="314" spans="1:51" s="207" customFormat="1" ht="15.75" x14ac:dyDescent="0.25">
      <c r="A314" s="49"/>
      <c r="B314" s="49"/>
      <c r="C314" s="48"/>
      <c r="D314" s="60"/>
      <c r="E314" s="60"/>
      <c r="F314" s="60"/>
      <c r="G314" s="50"/>
      <c r="H314" s="61"/>
      <c r="I314" s="61"/>
      <c r="J314" s="61"/>
      <c r="K314" s="61"/>
      <c r="L314" s="61"/>
      <c r="M314" s="44"/>
      <c r="N314" s="44"/>
      <c r="O314" s="44"/>
      <c r="P314" s="44"/>
      <c r="Q314" s="64"/>
      <c r="R314" s="64"/>
      <c r="S314" s="49"/>
      <c r="T314" s="49"/>
      <c r="U314" s="49"/>
      <c r="W314" s="49"/>
      <c r="X314" s="49"/>
      <c r="Y314" s="49"/>
      <c r="Z314" s="49"/>
      <c r="AA314" s="49"/>
      <c r="AB314" s="49"/>
      <c r="AC314" s="49"/>
      <c r="AD314" s="49"/>
      <c r="AE314" s="49"/>
      <c r="AG314" s="49"/>
      <c r="AH314" s="49"/>
      <c r="AI314" s="49"/>
      <c r="AJ314" s="49"/>
      <c r="AK314" s="49"/>
      <c r="AL314" s="49"/>
      <c r="AM314" s="49"/>
      <c r="AN314" s="49"/>
      <c r="AO314" s="49"/>
      <c r="AQ314" s="49"/>
      <c r="AR314" s="49"/>
      <c r="AS314" s="49"/>
      <c r="AT314" s="49"/>
      <c r="AU314" s="49"/>
      <c r="AV314" s="49"/>
      <c r="AW314" s="49"/>
      <c r="AX314" s="49"/>
      <c r="AY314" s="49"/>
    </row>
    <row r="315" spans="1:51" s="207" customFormat="1" ht="15.75" x14ac:dyDescent="0.25">
      <c r="A315" s="49"/>
      <c r="B315" s="49"/>
      <c r="C315" s="48"/>
      <c r="D315" s="60"/>
      <c r="E315" s="60"/>
      <c r="F315" s="60"/>
      <c r="G315" s="50"/>
      <c r="H315" s="61"/>
      <c r="I315" s="61"/>
      <c r="J315" s="61"/>
      <c r="K315" s="61"/>
      <c r="L315" s="61"/>
      <c r="M315" s="44"/>
      <c r="N315" s="44"/>
      <c r="O315" s="44"/>
      <c r="P315" s="44"/>
      <c r="Q315" s="64"/>
      <c r="R315" s="64"/>
      <c r="S315" s="49"/>
      <c r="T315" s="49"/>
      <c r="U315" s="49"/>
      <c r="W315" s="49"/>
      <c r="X315" s="49"/>
      <c r="Y315" s="49"/>
      <c r="Z315" s="49"/>
      <c r="AA315" s="49"/>
      <c r="AB315" s="49"/>
      <c r="AC315" s="49"/>
      <c r="AD315" s="49"/>
      <c r="AE315" s="49"/>
      <c r="AG315" s="49"/>
      <c r="AH315" s="49"/>
      <c r="AI315" s="49"/>
      <c r="AJ315" s="49"/>
      <c r="AK315" s="49"/>
      <c r="AL315" s="49"/>
      <c r="AM315" s="49"/>
      <c r="AN315" s="49"/>
      <c r="AO315" s="49"/>
      <c r="AQ315" s="49"/>
      <c r="AR315" s="49"/>
      <c r="AS315" s="49"/>
      <c r="AT315" s="49"/>
      <c r="AU315" s="49"/>
      <c r="AV315" s="49"/>
      <c r="AW315" s="49"/>
      <c r="AX315" s="49"/>
      <c r="AY315" s="49"/>
    </row>
    <row r="316" spans="1:51" s="207" customFormat="1" ht="15.75" x14ac:dyDescent="0.25">
      <c r="A316" s="49"/>
      <c r="B316" s="49"/>
      <c r="C316" s="48"/>
      <c r="D316" s="60"/>
      <c r="E316" s="60"/>
      <c r="F316" s="60"/>
      <c r="G316" s="50"/>
      <c r="H316" s="61"/>
      <c r="I316" s="61"/>
      <c r="J316" s="61"/>
      <c r="K316" s="61"/>
      <c r="L316" s="61"/>
      <c r="M316" s="44"/>
      <c r="N316" s="44"/>
      <c r="O316" s="44"/>
      <c r="P316" s="44"/>
      <c r="Q316" s="64"/>
      <c r="R316" s="64"/>
      <c r="S316" s="49"/>
      <c r="T316" s="49"/>
      <c r="U316" s="49"/>
      <c r="W316" s="49"/>
      <c r="X316" s="49"/>
      <c r="Y316" s="49"/>
      <c r="Z316" s="49"/>
      <c r="AA316" s="49"/>
      <c r="AB316" s="49"/>
      <c r="AC316" s="49"/>
      <c r="AD316" s="49"/>
      <c r="AE316" s="49"/>
      <c r="AG316" s="49"/>
      <c r="AH316" s="49"/>
      <c r="AI316" s="49"/>
      <c r="AJ316" s="49"/>
      <c r="AK316" s="49"/>
      <c r="AL316" s="49"/>
      <c r="AM316" s="49"/>
      <c r="AN316" s="49"/>
      <c r="AO316" s="49"/>
      <c r="AQ316" s="49"/>
      <c r="AR316" s="49"/>
      <c r="AS316" s="49"/>
      <c r="AT316" s="49"/>
      <c r="AU316" s="49"/>
      <c r="AV316" s="49"/>
      <c r="AW316" s="49"/>
      <c r="AX316" s="49"/>
      <c r="AY316" s="49"/>
    </row>
    <row r="317" spans="1:51" s="207" customFormat="1" ht="15.75" x14ac:dyDescent="0.25">
      <c r="A317" s="49"/>
      <c r="B317" s="49"/>
      <c r="C317" s="48"/>
      <c r="D317" s="60"/>
      <c r="E317" s="60"/>
      <c r="F317" s="60"/>
      <c r="G317" s="50"/>
      <c r="H317" s="61"/>
      <c r="I317" s="61"/>
      <c r="J317" s="61"/>
      <c r="K317" s="61"/>
      <c r="L317" s="61"/>
      <c r="M317" s="44"/>
      <c r="N317" s="44"/>
      <c r="O317" s="44"/>
      <c r="P317" s="44"/>
      <c r="Q317" s="64"/>
      <c r="R317" s="64"/>
      <c r="S317" s="49"/>
      <c r="T317" s="49"/>
      <c r="U317" s="49"/>
      <c r="W317" s="49"/>
      <c r="X317" s="49"/>
      <c r="Y317" s="49"/>
      <c r="Z317" s="49"/>
      <c r="AA317" s="49"/>
      <c r="AB317" s="49"/>
      <c r="AC317" s="49"/>
      <c r="AD317" s="49"/>
      <c r="AE317" s="49"/>
      <c r="AG317" s="49"/>
      <c r="AH317" s="49"/>
      <c r="AI317" s="49"/>
      <c r="AJ317" s="49"/>
      <c r="AK317" s="49"/>
      <c r="AL317" s="49"/>
      <c r="AM317" s="49"/>
      <c r="AN317" s="49"/>
      <c r="AO317" s="49"/>
      <c r="AQ317" s="49"/>
      <c r="AR317" s="49"/>
      <c r="AS317" s="49"/>
      <c r="AT317" s="49"/>
      <c r="AU317" s="49"/>
      <c r="AV317" s="49"/>
      <c r="AW317" s="49"/>
      <c r="AX317" s="49"/>
      <c r="AY317" s="49"/>
    </row>
    <row r="318" spans="1:51" s="207" customFormat="1" ht="15.75" x14ac:dyDescent="0.25">
      <c r="A318" s="49"/>
      <c r="B318" s="49"/>
      <c r="C318" s="48"/>
      <c r="D318" s="60"/>
      <c r="E318" s="60"/>
      <c r="F318" s="60"/>
      <c r="G318" s="50"/>
      <c r="H318" s="61"/>
      <c r="I318" s="61"/>
      <c r="J318" s="61"/>
      <c r="K318" s="61"/>
      <c r="L318" s="61"/>
      <c r="M318" s="44"/>
      <c r="N318" s="44"/>
      <c r="O318" s="44"/>
      <c r="P318" s="44"/>
      <c r="Q318" s="64"/>
      <c r="R318" s="64"/>
      <c r="S318" s="49"/>
      <c r="T318" s="49"/>
      <c r="U318" s="49"/>
      <c r="W318" s="49"/>
      <c r="X318" s="49"/>
      <c r="Y318" s="49"/>
      <c r="Z318" s="49"/>
      <c r="AA318" s="49"/>
      <c r="AB318" s="49"/>
      <c r="AC318" s="49"/>
      <c r="AD318" s="49"/>
      <c r="AE318" s="49"/>
      <c r="AG318" s="49"/>
      <c r="AH318" s="49"/>
      <c r="AI318" s="49"/>
      <c r="AJ318" s="49"/>
      <c r="AK318" s="49"/>
      <c r="AL318" s="49"/>
      <c r="AM318" s="49"/>
      <c r="AN318" s="49"/>
      <c r="AO318" s="49"/>
      <c r="AQ318" s="49"/>
      <c r="AR318" s="49"/>
      <c r="AS318" s="49"/>
      <c r="AT318" s="49"/>
      <c r="AU318" s="49"/>
      <c r="AV318" s="49"/>
      <c r="AW318" s="49"/>
      <c r="AX318" s="49"/>
      <c r="AY318" s="49"/>
    </row>
    <row r="319" spans="1:51" s="207" customFormat="1" ht="15.75" x14ac:dyDescent="0.25">
      <c r="A319" s="49"/>
      <c r="B319" s="49"/>
      <c r="C319" s="48"/>
      <c r="D319" s="60"/>
      <c r="E319" s="60"/>
      <c r="F319" s="60"/>
      <c r="G319" s="50"/>
      <c r="H319" s="61"/>
      <c r="I319" s="61"/>
      <c r="J319" s="61"/>
      <c r="K319" s="61"/>
      <c r="L319" s="61"/>
      <c r="M319" s="44"/>
      <c r="N319" s="44"/>
      <c r="O319" s="44"/>
      <c r="P319" s="44"/>
      <c r="Q319" s="64"/>
      <c r="R319" s="64"/>
      <c r="S319" s="49"/>
      <c r="T319" s="49"/>
      <c r="U319" s="49"/>
      <c r="W319" s="49"/>
      <c r="X319" s="49"/>
      <c r="Y319" s="49"/>
      <c r="Z319" s="49"/>
      <c r="AA319" s="49"/>
      <c r="AB319" s="49"/>
      <c r="AC319" s="49"/>
      <c r="AD319" s="49"/>
      <c r="AE319" s="49"/>
      <c r="AG319" s="49"/>
      <c r="AH319" s="49"/>
      <c r="AI319" s="49"/>
      <c r="AJ319" s="49"/>
      <c r="AK319" s="49"/>
      <c r="AL319" s="49"/>
      <c r="AM319" s="49"/>
      <c r="AN319" s="49"/>
      <c r="AO319" s="49"/>
      <c r="AQ319" s="49"/>
      <c r="AR319" s="49"/>
      <c r="AS319" s="49"/>
      <c r="AT319" s="49"/>
      <c r="AU319" s="49"/>
      <c r="AV319" s="49"/>
      <c r="AW319" s="49"/>
      <c r="AX319" s="49"/>
      <c r="AY319" s="49"/>
    </row>
    <row r="320" spans="1:51" s="207" customFormat="1" ht="15.75" x14ac:dyDescent="0.25">
      <c r="A320" s="49"/>
      <c r="B320" s="49"/>
      <c r="C320" s="48"/>
      <c r="D320" s="60"/>
      <c r="E320" s="60"/>
      <c r="F320" s="60"/>
      <c r="G320" s="50"/>
      <c r="H320" s="61"/>
      <c r="I320" s="61"/>
      <c r="J320" s="61"/>
      <c r="K320" s="61"/>
      <c r="L320" s="61"/>
      <c r="M320" s="44"/>
      <c r="N320" s="44"/>
      <c r="O320" s="44"/>
      <c r="P320" s="44"/>
      <c r="Q320" s="64"/>
      <c r="R320" s="64"/>
      <c r="S320" s="49"/>
      <c r="T320" s="49"/>
      <c r="U320" s="49"/>
      <c r="W320" s="49"/>
      <c r="X320" s="49"/>
      <c r="Y320" s="49"/>
      <c r="Z320" s="49"/>
      <c r="AA320" s="49"/>
      <c r="AB320" s="49"/>
      <c r="AC320" s="49"/>
      <c r="AD320" s="49"/>
      <c r="AE320" s="49"/>
      <c r="AG320" s="49"/>
      <c r="AH320" s="49"/>
      <c r="AI320" s="49"/>
      <c r="AJ320" s="49"/>
      <c r="AK320" s="49"/>
      <c r="AL320" s="49"/>
      <c r="AM320" s="49"/>
      <c r="AN320" s="49"/>
      <c r="AO320" s="49"/>
      <c r="AQ320" s="49"/>
      <c r="AR320" s="49"/>
      <c r="AS320" s="49"/>
      <c r="AT320" s="49"/>
      <c r="AU320" s="49"/>
      <c r="AV320" s="49"/>
      <c r="AW320" s="49"/>
      <c r="AX320" s="49"/>
      <c r="AY320" s="49"/>
    </row>
    <row r="321" spans="1:51" s="207" customFormat="1" ht="15.75" x14ac:dyDescent="0.25">
      <c r="A321" s="49"/>
      <c r="B321" s="49"/>
      <c r="C321" s="48"/>
      <c r="D321" s="60"/>
      <c r="E321" s="60"/>
      <c r="F321" s="60"/>
      <c r="G321" s="50"/>
      <c r="H321" s="61"/>
      <c r="I321" s="61"/>
      <c r="J321" s="61"/>
      <c r="K321" s="61"/>
      <c r="L321" s="61"/>
      <c r="M321" s="44"/>
      <c r="N321" s="44"/>
      <c r="O321" s="44"/>
      <c r="P321" s="44"/>
      <c r="Q321" s="64"/>
      <c r="R321" s="64"/>
      <c r="S321" s="49"/>
      <c r="T321" s="49"/>
      <c r="U321" s="49"/>
      <c r="W321" s="49"/>
      <c r="X321" s="49"/>
      <c r="Y321" s="49"/>
      <c r="Z321" s="49"/>
      <c r="AA321" s="49"/>
      <c r="AB321" s="49"/>
      <c r="AC321" s="49"/>
      <c r="AD321" s="49"/>
      <c r="AE321" s="49"/>
      <c r="AG321" s="49"/>
      <c r="AH321" s="49"/>
      <c r="AI321" s="49"/>
      <c r="AJ321" s="49"/>
      <c r="AK321" s="49"/>
      <c r="AL321" s="49"/>
      <c r="AM321" s="49"/>
      <c r="AN321" s="49"/>
      <c r="AO321" s="49"/>
      <c r="AQ321" s="49"/>
      <c r="AR321" s="49"/>
      <c r="AS321" s="49"/>
      <c r="AT321" s="49"/>
      <c r="AU321" s="49"/>
      <c r="AV321" s="49"/>
      <c r="AW321" s="49"/>
      <c r="AX321" s="49"/>
      <c r="AY321" s="49"/>
    </row>
    <row r="322" spans="1:51" s="207" customFormat="1" ht="15.75" x14ac:dyDescent="0.25">
      <c r="A322" s="49"/>
      <c r="B322" s="49"/>
      <c r="C322" s="48"/>
      <c r="D322" s="60"/>
      <c r="E322" s="60"/>
      <c r="F322" s="60"/>
      <c r="G322" s="50"/>
      <c r="H322" s="61"/>
      <c r="I322" s="61"/>
      <c r="J322" s="61"/>
      <c r="K322" s="61"/>
      <c r="L322" s="61"/>
      <c r="M322" s="44"/>
      <c r="N322" s="44"/>
      <c r="O322" s="44"/>
      <c r="P322" s="44"/>
      <c r="Q322" s="64"/>
      <c r="R322" s="64"/>
      <c r="S322" s="49"/>
      <c r="T322" s="49"/>
      <c r="U322" s="49"/>
      <c r="W322" s="49"/>
      <c r="X322" s="49"/>
      <c r="Y322" s="49"/>
      <c r="Z322" s="49"/>
      <c r="AA322" s="49"/>
      <c r="AB322" s="49"/>
      <c r="AC322" s="49"/>
      <c r="AD322" s="49"/>
      <c r="AE322" s="49"/>
      <c r="AG322" s="49"/>
      <c r="AH322" s="49"/>
      <c r="AI322" s="49"/>
      <c r="AJ322" s="49"/>
      <c r="AK322" s="49"/>
      <c r="AL322" s="49"/>
      <c r="AM322" s="49"/>
      <c r="AN322" s="49"/>
      <c r="AO322" s="49"/>
      <c r="AQ322" s="49"/>
      <c r="AR322" s="49"/>
      <c r="AS322" s="49"/>
      <c r="AT322" s="49"/>
      <c r="AU322" s="49"/>
      <c r="AV322" s="49"/>
      <c r="AW322" s="49"/>
      <c r="AX322" s="49"/>
      <c r="AY322" s="49"/>
    </row>
    <row r="323" spans="1:51" s="207" customFormat="1" ht="15.75" x14ac:dyDescent="0.25">
      <c r="A323" s="49"/>
      <c r="B323" s="49"/>
      <c r="C323" s="48"/>
      <c r="D323" s="60"/>
      <c r="E323" s="60"/>
      <c r="F323" s="60"/>
      <c r="G323" s="50"/>
      <c r="H323" s="61"/>
      <c r="I323" s="61"/>
      <c r="J323" s="61"/>
      <c r="K323" s="61"/>
      <c r="L323" s="61"/>
      <c r="M323" s="44"/>
      <c r="N323" s="44"/>
      <c r="O323" s="44"/>
      <c r="P323" s="44"/>
      <c r="Q323" s="64"/>
      <c r="R323" s="64"/>
      <c r="S323" s="49"/>
      <c r="T323" s="49"/>
      <c r="U323" s="49"/>
      <c r="W323" s="49"/>
      <c r="X323" s="49"/>
      <c r="Y323" s="49"/>
      <c r="Z323" s="49"/>
      <c r="AA323" s="49"/>
      <c r="AB323" s="49"/>
      <c r="AC323" s="49"/>
      <c r="AD323" s="49"/>
      <c r="AE323" s="49"/>
      <c r="AG323" s="49"/>
      <c r="AH323" s="49"/>
      <c r="AI323" s="49"/>
      <c r="AJ323" s="49"/>
      <c r="AK323" s="49"/>
      <c r="AL323" s="49"/>
      <c r="AM323" s="49"/>
      <c r="AN323" s="49"/>
      <c r="AO323" s="49"/>
      <c r="AQ323" s="49"/>
      <c r="AR323" s="49"/>
      <c r="AS323" s="49"/>
      <c r="AT323" s="49"/>
      <c r="AU323" s="49"/>
      <c r="AV323" s="49"/>
      <c r="AW323" s="49"/>
      <c r="AX323" s="49"/>
      <c r="AY323" s="49"/>
    </row>
    <row r="324" spans="1:51" s="207" customFormat="1" ht="15.75" x14ac:dyDescent="0.25">
      <c r="A324" s="49"/>
      <c r="B324" s="49"/>
      <c r="C324" s="48"/>
      <c r="D324" s="60"/>
      <c r="E324" s="60"/>
      <c r="F324" s="60"/>
      <c r="G324" s="50"/>
      <c r="H324" s="61"/>
      <c r="I324" s="61"/>
      <c r="J324" s="61"/>
      <c r="K324" s="61"/>
      <c r="L324" s="61"/>
      <c r="M324" s="44"/>
      <c r="N324" s="44"/>
      <c r="O324" s="44"/>
      <c r="P324" s="44"/>
      <c r="Q324" s="64"/>
      <c r="R324" s="64"/>
      <c r="S324" s="49"/>
      <c r="T324" s="49"/>
      <c r="U324" s="49"/>
      <c r="W324" s="49"/>
      <c r="X324" s="49"/>
      <c r="Y324" s="49"/>
      <c r="Z324" s="49"/>
      <c r="AA324" s="49"/>
      <c r="AB324" s="49"/>
      <c r="AC324" s="49"/>
      <c r="AD324" s="49"/>
      <c r="AE324" s="49"/>
      <c r="AG324" s="49"/>
      <c r="AH324" s="49"/>
      <c r="AI324" s="49"/>
      <c r="AJ324" s="49"/>
      <c r="AK324" s="49"/>
      <c r="AL324" s="49"/>
      <c r="AM324" s="49"/>
      <c r="AN324" s="49"/>
      <c r="AO324" s="49"/>
      <c r="AQ324" s="49"/>
      <c r="AR324" s="49"/>
      <c r="AS324" s="49"/>
      <c r="AT324" s="49"/>
      <c r="AU324" s="49"/>
      <c r="AV324" s="49"/>
      <c r="AW324" s="49"/>
      <c r="AX324" s="49"/>
      <c r="AY324" s="49"/>
    </row>
    <row r="325" spans="1:51" s="207" customFormat="1" ht="15.75" x14ac:dyDescent="0.25">
      <c r="A325" s="49"/>
      <c r="B325" s="49"/>
      <c r="C325" s="48"/>
      <c r="D325" s="60"/>
      <c r="E325" s="60"/>
      <c r="F325" s="60"/>
      <c r="G325" s="50"/>
      <c r="H325" s="61"/>
      <c r="I325" s="61"/>
      <c r="J325" s="61"/>
      <c r="K325" s="61"/>
      <c r="L325" s="61"/>
      <c r="M325" s="44"/>
      <c r="N325" s="44"/>
      <c r="O325" s="44"/>
      <c r="P325" s="44"/>
      <c r="Q325" s="64"/>
      <c r="R325" s="64"/>
      <c r="S325" s="49"/>
      <c r="T325" s="49"/>
      <c r="U325" s="49"/>
      <c r="W325" s="49"/>
      <c r="X325" s="49"/>
      <c r="Y325" s="49"/>
      <c r="Z325" s="49"/>
      <c r="AA325" s="49"/>
      <c r="AB325" s="49"/>
      <c r="AC325" s="49"/>
      <c r="AD325" s="49"/>
      <c r="AE325" s="49"/>
      <c r="AG325" s="49"/>
      <c r="AH325" s="49"/>
      <c r="AI325" s="49"/>
      <c r="AJ325" s="49"/>
      <c r="AK325" s="49"/>
      <c r="AL325" s="49"/>
      <c r="AM325" s="49"/>
      <c r="AN325" s="49"/>
      <c r="AO325" s="49"/>
      <c r="AQ325" s="49"/>
      <c r="AR325" s="49"/>
      <c r="AS325" s="49"/>
      <c r="AT325" s="49"/>
      <c r="AU325" s="49"/>
      <c r="AV325" s="49"/>
      <c r="AW325" s="49"/>
      <c r="AX325" s="49"/>
      <c r="AY325" s="49"/>
    </row>
    <row r="326" spans="1:51" s="207" customFormat="1" ht="15.75" x14ac:dyDescent="0.25">
      <c r="A326" s="49"/>
      <c r="B326" s="49"/>
      <c r="C326" s="48"/>
      <c r="D326" s="60"/>
      <c r="E326" s="60"/>
      <c r="F326" s="60"/>
      <c r="G326" s="50"/>
      <c r="H326" s="61"/>
      <c r="I326" s="61"/>
      <c r="J326" s="61"/>
      <c r="K326" s="61"/>
      <c r="L326" s="61"/>
      <c r="M326" s="44"/>
      <c r="N326" s="44"/>
      <c r="O326" s="44"/>
      <c r="P326" s="44"/>
      <c r="Q326" s="64"/>
      <c r="R326" s="64"/>
      <c r="S326" s="49"/>
      <c r="T326" s="49"/>
      <c r="U326" s="49"/>
      <c r="W326" s="49"/>
      <c r="X326" s="49"/>
      <c r="Y326" s="49"/>
      <c r="Z326" s="49"/>
      <c r="AA326" s="49"/>
      <c r="AB326" s="49"/>
      <c r="AC326" s="49"/>
      <c r="AD326" s="49"/>
      <c r="AE326" s="49"/>
      <c r="AG326" s="49"/>
      <c r="AH326" s="49"/>
      <c r="AI326" s="49"/>
      <c r="AJ326" s="49"/>
      <c r="AK326" s="49"/>
      <c r="AL326" s="49"/>
      <c r="AM326" s="49"/>
      <c r="AN326" s="49"/>
      <c r="AO326" s="49"/>
      <c r="AQ326" s="49"/>
      <c r="AR326" s="49"/>
      <c r="AS326" s="49"/>
      <c r="AT326" s="49"/>
      <c r="AU326" s="49"/>
      <c r="AV326" s="49"/>
      <c r="AW326" s="49"/>
      <c r="AX326" s="49"/>
      <c r="AY326" s="49"/>
    </row>
    <row r="327" spans="1:51" s="207" customFormat="1" ht="15.75" x14ac:dyDescent="0.25">
      <c r="A327" s="49"/>
      <c r="B327" s="49"/>
      <c r="C327" s="48"/>
      <c r="D327" s="60"/>
      <c r="E327" s="60"/>
      <c r="F327" s="60"/>
      <c r="G327" s="50"/>
      <c r="H327" s="61"/>
      <c r="I327" s="61"/>
      <c r="J327" s="61"/>
      <c r="K327" s="61"/>
      <c r="L327" s="61"/>
      <c r="M327" s="44"/>
      <c r="N327" s="44"/>
      <c r="O327" s="44"/>
      <c r="P327" s="44"/>
      <c r="Q327" s="64"/>
      <c r="R327" s="64"/>
      <c r="S327" s="49"/>
      <c r="T327" s="49"/>
      <c r="U327" s="49"/>
      <c r="W327" s="49"/>
      <c r="X327" s="49"/>
      <c r="Y327" s="49"/>
      <c r="Z327" s="49"/>
      <c r="AA327" s="49"/>
      <c r="AB327" s="49"/>
      <c r="AC327" s="49"/>
      <c r="AD327" s="49"/>
      <c r="AE327" s="49"/>
      <c r="AG327" s="49"/>
      <c r="AH327" s="49"/>
      <c r="AI327" s="49"/>
      <c r="AJ327" s="49"/>
      <c r="AK327" s="49"/>
      <c r="AL327" s="49"/>
      <c r="AM327" s="49"/>
      <c r="AN327" s="49"/>
      <c r="AO327" s="49"/>
      <c r="AQ327" s="49"/>
      <c r="AR327" s="49"/>
      <c r="AS327" s="49"/>
      <c r="AT327" s="49"/>
      <c r="AU327" s="49"/>
      <c r="AV327" s="49"/>
      <c r="AW327" s="49"/>
      <c r="AX327" s="49"/>
      <c r="AY327" s="49"/>
    </row>
    <row r="328" spans="1:51" s="207" customFormat="1" ht="15.75" x14ac:dyDescent="0.25">
      <c r="A328" s="49"/>
      <c r="B328" s="49"/>
      <c r="C328" s="48"/>
      <c r="D328" s="60"/>
      <c r="E328" s="60"/>
      <c r="F328" s="60"/>
      <c r="G328" s="50"/>
      <c r="H328" s="61"/>
      <c r="I328" s="61"/>
      <c r="J328" s="61"/>
      <c r="K328" s="61"/>
      <c r="L328" s="61"/>
      <c r="M328" s="44"/>
      <c r="N328" s="44"/>
      <c r="O328" s="44"/>
      <c r="P328" s="44"/>
      <c r="Q328" s="64"/>
      <c r="R328" s="64"/>
      <c r="S328" s="49"/>
      <c r="T328" s="49"/>
      <c r="U328" s="49"/>
      <c r="W328" s="49"/>
      <c r="X328" s="49"/>
      <c r="Y328" s="49"/>
      <c r="Z328" s="49"/>
      <c r="AA328" s="49"/>
      <c r="AB328" s="49"/>
      <c r="AC328" s="49"/>
      <c r="AD328" s="49"/>
      <c r="AE328" s="49"/>
      <c r="AG328" s="49"/>
      <c r="AH328" s="49"/>
      <c r="AI328" s="49"/>
      <c r="AJ328" s="49"/>
      <c r="AK328" s="49"/>
      <c r="AL328" s="49"/>
      <c r="AM328" s="49"/>
      <c r="AN328" s="49"/>
      <c r="AO328" s="49"/>
      <c r="AQ328" s="49"/>
      <c r="AR328" s="49"/>
      <c r="AS328" s="49"/>
      <c r="AT328" s="49"/>
      <c r="AU328" s="49"/>
      <c r="AV328" s="49"/>
      <c r="AW328" s="49"/>
      <c r="AX328" s="49"/>
      <c r="AY328" s="49"/>
    </row>
    <row r="329" spans="1:51" ht="15" x14ac:dyDescent="0.25">
      <c r="D329" s="65"/>
      <c r="E329" s="65"/>
      <c r="F329" s="65"/>
    </row>
    <row r="330" spans="1:51" ht="15" x14ac:dyDescent="0.25">
      <c r="D330" s="65"/>
      <c r="E330" s="65"/>
      <c r="F330" s="65"/>
    </row>
    <row r="331" spans="1:51" ht="15" x14ac:dyDescent="0.25">
      <c r="D331" s="65"/>
      <c r="E331" s="65"/>
      <c r="F331" s="65"/>
    </row>
    <row r="332" spans="1:51" ht="15" x14ac:dyDescent="0.25">
      <c r="D332" s="65"/>
      <c r="E332" s="65"/>
      <c r="F332" s="65"/>
    </row>
    <row r="333" spans="1:51" ht="15" x14ac:dyDescent="0.25">
      <c r="D333" s="65"/>
      <c r="E333" s="65"/>
      <c r="F333" s="65"/>
    </row>
    <row r="334" spans="1:51" ht="15" x14ac:dyDescent="0.25">
      <c r="D334" s="65"/>
      <c r="E334" s="65"/>
      <c r="F334" s="65"/>
    </row>
    <row r="335" spans="1:51" ht="15" x14ac:dyDescent="0.25">
      <c r="D335" s="65"/>
      <c r="E335" s="65"/>
      <c r="F335" s="65"/>
    </row>
    <row r="336" spans="1:51" ht="15" x14ac:dyDescent="0.25">
      <c r="D336" s="65"/>
      <c r="E336" s="65"/>
      <c r="F336" s="65"/>
    </row>
    <row r="337" spans="4:6" ht="15" x14ac:dyDescent="0.25">
      <c r="D337" s="65"/>
      <c r="E337" s="65"/>
      <c r="F337" s="65"/>
    </row>
    <row r="338" spans="4:6" ht="15" x14ac:dyDescent="0.25">
      <c r="D338" s="65"/>
      <c r="E338" s="65"/>
      <c r="F338" s="65"/>
    </row>
    <row r="339" spans="4:6" ht="15" x14ac:dyDescent="0.25">
      <c r="D339" s="65"/>
      <c r="E339" s="65"/>
      <c r="F339" s="65"/>
    </row>
    <row r="340" spans="4:6" ht="15" x14ac:dyDescent="0.25">
      <c r="D340" s="65"/>
      <c r="E340" s="65"/>
      <c r="F340" s="65"/>
    </row>
    <row r="341" spans="4:6" ht="15" x14ac:dyDescent="0.25">
      <c r="D341" s="65"/>
      <c r="E341" s="65"/>
      <c r="F341" s="65"/>
    </row>
    <row r="342" spans="4:6" ht="15" x14ac:dyDescent="0.25">
      <c r="D342" s="65"/>
      <c r="E342" s="65"/>
      <c r="F342" s="65"/>
    </row>
    <row r="343" spans="4:6" ht="15" x14ac:dyDescent="0.25">
      <c r="D343" s="65"/>
      <c r="E343" s="65"/>
      <c r="F343" s="65"/>
    </row>
    <row r="344" spans="4:6" ht="15" x14ac:dyDescent="0.25">
      <c r="D344" s="65"/>
      <c r="E344" s="65"/>
      <c r="F344" s="65"/>
    </row>
    <row r="345" spans="4:6" ht="15" x14ac:dyDescent="0.25">
      <c r="D345" s="65"/>
      <c r="E345" s="65"/>
      <c r="F345" s="65"/>
    </row>
    <row r="346" spans="4:6" ht="15" x14ac:dyDescent="0.25">
      <c r="D346" s="65"/>
      <c r="E346" s="65"/>
      <c r="F346" s="65"/>
    </row>
    <row r="347" spans="4:6" ht="15" x14ac:dyDescent="0.25">
      <c r="D347" s="65"/>
      <c r="E347" s="65"/>
      <c r="F347" s="65"/>
    </row>
    <row r="348" spans="4:6" ht="15" x14ac:dyDescent="0.25">
      <c r="D348" s="65"/>
      <c r="E348" s="65"/>
      <c r="F348" s="65"/>
    </row>
    <row r="349" spans="4:6" ht="15" x14ac:dyDescent="0.25">
      <c r="D349" s="65"/>
      <c r="E349" s="65"/>
      <c r="F349" s="65"/>
    </row>
    <row r="350" spans="4:6" ht="15" x14ac:dyDescent="0.25">
      <c r="D350" s="65"/>
      <c r="E350" s="65"/>
      <c r="F350" s="65"/>
    </row>
    <row r="351" spans="4:6" ht="15" x14ac:dyDescent="0.25">
      <c r="D351" s="65"/>
      <c r="E351" s="65"/>
      <c r="F351" s="65"/>
    </row>
    <row r="352" spans="4:6" ht="15" x14ac:dyDescent="0.25">
      <c r="D352" s="65"/>
      <c r="E352" s="65"/>
      <c r="F352" s="65"/>
    </row>
    <row r="353" spans="4:6" ht="15" x14ac:dyDescent="0.25">
      <c r="D353" s="65"/>
      <c r="E353" s="65"/>
      <c r="F353" s="65"/>
    </row>
    <row r="354" spans="4:6" ht="15" x14ac:dyDescent="0.25">
      <c r="D354" s="65"/>
      <c r="E354" s="65"/>
      <c r="F354" s="65"/>
    </row>
    <row r="355" spans="4:6" ht="15" x14ac:dyDescent="0.25">
      <c r="D355" s="65"/>
      <c r="E355" s="65"/>
      <c r="F355" s="65"/>
    </row>
    <row r="356" spans="4:6" ht="15" x14ac:dyDescent="0.25">
      <c r="D356" s="65"/>
      <c r="E356" s="65"/>
      <c r="F356" s="65"/>
    </row>
    <row r="357" spans="4:6" ht="15" x14ac:dyDescent="0.25">
      <c r="D357" s="65"/>
      <c r="E357" s="65"/>
      <c r="F357" s="65"/>
    </row>
    <row r="358" spans="4:6" ht="15" x14ac:dyDescent="0.25">
      <c r="D358" s="65"/>
      <c r="E358" s="65"/>
      <c r="F358" s="65"/>
    </row>
    <row r="359" spans="4:6" ht="15" x14ac:dyDescent="0.25">
      <c r="D359" s="65"/>
      <c r="E359" s="65"/>
      <c r="F359" s="65"/>
    </row>
    <row r="360" spans="4:6" ht="15" x14ac:dyDescent="0.25">
      <c r="D360" s="65"/>
      <c r="E360" s="65"/>
      <c r="F360" s="65"/>
    </row>
    <row r="361" spans="4:6" ht="15" x14ac:dyDescent="0.25">
      <c r="D361" s="65"/>
      <c r="E361" s="65"/>
      <c r="F361" s="65"/>
    </row>
    <row r="362" spans="4:6" ht="15" x14ac:dyDescent="0.25">
      <c r="D362" s="65"/>
      <c r="E362" s="65"/>
      <c r="F362" s="65"/>
    </row>
    <row r="363" spans="4:6" ht="15" x14ac:dyDescent="0.25">
      <c r="D363" s="65"/>
      <c r="E363" s="65"/>
      <c r="F363" s="65"/>
    </row>
    <row r="364" spans="4:6" ht="15" x14ac:dyDescent="0.25">
      <c r="D364" s="65"/>
      <c r="E364" s="65"/>
      <c r="F364" s="65"/>
    </row>
    <row r="365" spans="4:6" ht="15" x14ac:dyDescent="0.25">
      <c r="D365" s="65"/>
      <c r="E365" s="65"/>
      <c r="F365" s="65"/>
    </row>
    <row r="366" spans="4:6" ht="15" x14ac:dyDescent="0.25">
      <c r="D366" s="65"/>
      <c r="E366" s="65"/>
      <c r="F366" s="65"/>
    </row>
    <row r="367" spans="4:6" ht="15" x14ac:dyDescent="0.25">
      <c r="D367" s="65"/>
      <c r="E367" s="65"/>
      <c r="F367" s="65"/>
    </row>
    <row r="368" spans="4:6" ht="15" x14ac:dyDescent="0.25">
      <c r="D368" s="65"/>
      <c r="E368" s="65"/>
      <c r="F368" s="65"/>
    </row>
    <row r="369" spans="4:6" ht="15" x14ac:dyDescent="0.25">
      <c r="D369" s="65"/>
      <c r="E369" s="65"/>
      <c r="F369" s="65"/>
    </row>
    <row r="370" spans="4:6" ht="15" x14ac:dyDescent="0.25">
      <c r="D370" s="65"/>
      <c r="E370" s="65"/>
      <c r="F370" s="65"/>
    </row>
    <row r="371" spans="4:6" ht="15" x14ac:dyDescent="0.25">
      <c r="D371" s="65"/>
      <c r="E371" s="65"/>
      <c r="F371" s="65"/>
    </row>
    <row r="372" spans="4:6" ht="15" x14ac:dyDescent="0.25">
      <c r="D372" s="65"/>
      <c r="E372" s="65"/>
      <c r="F372" s="65"/>
    </row>
    <row r="373" spans="4:6" ht="15" x14ac:dyDescent="0.25">
      <c r="D373" s="65"/>
      <c r="E373" s="65"/>
      <c r="F373" s="65"/>
    </row>
    <row r="374" spans="4:6" ht="15" x14ac:dyDescent="0.25">
      <c r="D374" s="65"/>
      <c r="E374" s="65"/>
      <c r="F374" s="65"/>
    </row>
    <row r="375" spans="4:6" ht="15" x14ac:dyDescent="0.25">
      <c r="D375" s="65"/>
      <c r="E375" s="65"/>
      <c r="F375" s="65"/>
    </row>
    <row r="376" spans="4:6" ht="15" x14ac:dyDescent="0.25">
      <c r="D376" s="65"/>
      <c r="E376" s="65"/>
      <c r="F376" s="65"/>
    </row>
    <row r="377" spans="4:6" ht="15" x14ac:dyDescent="0.25">
      <c r="D377" s="65"/>
      <c r="E377" s="65"/>
      <c r="F377" s="65"/>
    </row>
    <row r="378" spans="4:6" ht="15" x14ac:dyDescent="0.25">
      <c r="D378" s="65"/>
      <c r="E378" s="65"/>
      <c r="F378" s="65"/>
    </row>
    <row r="379" spans="4:6" ht="15" x14ac:dyDescent="0.25">
      <c r="D379" s="65"/>
      <c r="E379" s="65"/>
      <c r="F379" s="65"/>
    </row>
    <row r="380" spans="4:6" ht="15" x14ac:dyDescent="0.25">
      <c r="D380" s="65"/>
      <c r="E380" s="65"/>
      <c r="F380" s="65"/>
    </row>
    <row r="381" spans="4:6" ht="15" x14ac:dyDescent="0.25">
      <c r="D381" s="65"/>
      <c r="E381" s="65"/>
      <c r="F381" s="65"/>
    </row>
    <row r="382" spans="4:6" ht="15" x14ac:dyDescent="0.25">
      <c r="D382" s="65"/>
      <c r="E382" s="65"/>
      <c r="F382" s="65"/>
    </row>
    <row r="383" spans="4:6" ht="15" x14ac:dyDescent="0.25">
      <c r="D383" s="65"/>
      <c r="E383" s="65"/>
      <c r="F383" s="65"/>
    </row>
    <row r="384" spans="4:6" ht="15" x14ac:dyDescent="0.25">
      <c r="D384" s="65"/>
      <c r="E384" s="65"/>
      <c r="F384" s="65"/>
    </row>
    <row r="385" spans="4:6" ht="15" x14ac:dyDescent="0.25">
      <c r="D385" s="65"/>
      <c r="E385" s="65"/>
      <c r="F385" s="65"/>
    </row>
    <row r="386" spans="4:6" ht="15" x14ac:dyDescent="0.25">
      <c r="D386" s="65"/>
      <c r="E386" s="65"/>
      <c r="F386" s="65"/>
    </row>
    <row r="387" spans="4:6" ht="15" x14ac:dyDescent="0.25">
      <c r="D387" s="65"/>
      <c r="E387" s="65"/>
      <c r="F387" s="65"/>
    </row>
    <row r="388" spans="4:6" ht="15" x14ac:dyDescent="0.25">
      <c r="D388" s="65"/>
      <c r="E388" s="65"/>
      <c r="F388" s="65"/>
    </row>
    <row r="389" spans="4:6" ht="15" x14ac:dyDescent="0.25">
      <c r="D389" s="65"/>
      <c r="E389" s="65"/>
      <c r="F389" s="65"/>
    </row>
    <row r="390" spans="4:6" ht="15" x14ac:dyDescent="0.25">
      <c r="D390" s="65"/>
      <c r="E390" s="65"/>
      <c r="F390" s="65"/>
    </row>
    <row r="391" spans="4:6" ht="15" x14ac:dyDescent="0.25">
      <c r="D391" s="65"/>
      <c r="E391" s="65"/>
      <c r="F391" s="65"/>
    </row>
    <row r="392" spans="4:6" ht="15" x14ac:dyDescent="0.25">
      <c r="D392" s="65"/>
      <c r="E392" s="65"/>
      <c r="F392" s="65"/>
    </row>
    <row r="393" spans="4:6" ht="15" x14ac:dyDescent="0.25">
      <c r="D393" s="65"/>
      <c r="E393" s="65"/>
      <c r="F393" s="65"/>
    </row>
    <row r="394" spans="4:6" ht="15" x14ac:dyDescent="0.25">
      <c r="D394" s="65"/>
      <c r="E394" s="65"/>
      <c r="F394" s="65"/>
    </row>
    <row r="395" spans="4:6" ht="15" x14ac:dyDescent="0.25">
      <c r="D395" s="65"/>
      <c r="E395" s="65"/>
      <c r="F395" s="65"/>
    </row>
    <row r="396" spans="4:6" ht="15" x14ac:dyDescent="0.25">
      <c r="D396" s="65"/>
      <c r="E396" s="65"/>
      <c r="F396" s="65"/>
    </row>
    <row r="397" spans="4:6" ht="15" x14ac:dyDescent="0.25">
      <c r="D397" s="65"/>
      <c r="E397" s="65"/>
      <c r="F397" s="65"/>
    </row>
    <row r="398" spans="4:6" ht="15" x14ac:dyDescent="0.25">
      <c r="D398" s="65"/>
      <c r="E398" s="65"/>
      <c r="F398" s="65"/>
    </row>
    <row r="399" spans="4:6" ht="15" x14ac:dyDescent="0.25">
      <c r="D399" s="65"/>
      <c r="E399" s="65"/>
      <c r="F399" s="65"/>
    </row>
    <row r="400" spans="4:6" ht="15" x14ac:dyDescent="0.25">
      <c r="D400" s="65"/>
      <c r="E400" s="65"/>
      <c r="F400" s="65"/>
    </row>
    <row r="401" spans="4:6" ht="15" x14ac:dyDescent="0.25">
      <c r="D401" s="65"/>
      <c r="E401" s="65"/>
      <c r="F401" s="65"/>
    </row>
    <row r="402" spans="4:6" ht="15" x14ac:dyDescent="0.25">
      <c r="D402" s="65"/>
      <c r="E402" s="65"/>
      <c r="F402" s="65"/>
    </row>
    <row r="403" spans="4:6" ht="15" x14ac:dyDescent="0.25">
      <c r="D403" s="65"/>
      <c r="E403" s="65"/>
      <c r="F403" s="65"/>
    </row>
    <row r="404" spans="4:6" ht="15" x14ac:dyDescent="0.25">
      <c r="D404" s="65"/>
      <c r="E404" s="65"/>
      <c r="F404" s="65"/>
    </row>
    <row r="405" spans="4:6" ht="15" x14ac:dyDescent="0.25">
      <c r="D405" s="65"/>
      <c r="E405" s="65"/>
      <c r="F405" s="65"/>
    </row>
    <row r="406" spans="4:6" ht="15" x14ac:dyDescent="0.25">
      <c r="D406" s="65"/>
      <c r="E406" s="65"/>
      <c r="F406" s="65"/>
    </row>
    <row r="407" spans="4:6" ht="15" x14ac:dyDescent="0.25">
      <c r="D407" s="65"/>
      <c r="E407" s="65"/>
      <c r="F407" s="65"/>
    </row>
    <row r="408" spans="4:6" ht="15" x14ac:dyDescent="0.25">
      <c r="D408" s="65"/>
      <c r="E408" s="65"/>
      <c r="F408" s="65"/>
    </row>
    <row r="409" spans="4:6" ht="15" x14ac:dyDescent="0.25">
      <c r="D409" s="65"/>
      <c r="E409" s="65"/>
      <c r="F409" s="65"/>
    </row>
    <row r="410" spans="4:6" ht="15" x14ac:dyDescent="0.25">
      <c r="D410" s="65"/>
      <c r="E410" s="65"/>
      <c r="F410" s="65"/>
    </row>
    <row r="411" spans="4:6" ht="15" x14ac:dyDescent="0.25">
      <c r="D411" s="65"/>
      <c r="E411" s="65"/>
      <c r="F411" s="65"/>
    </row>
    <row r="412" spans="4:6" ht="15" x14ac:dyDescent="0.25">
      <c r="D412" s="65"/>
      <c r="E412" s="65"/>
      <c r="F412" s="65"/>
    </row>
    <row r="413" spans="4:6" ht="15" x14ac:dyDescent="0.25">
      <c r="D413" s="65"/>
      <c r="E413" s="65"/>
      <c r="F413" s="65"/>
    </row>
    <row r="414" spans="4:6" ht="15" x14ac:dyDescent="0.25">
      <c r="D414" s="65"/>
      <c r="E414" s="65"/>
      <c r="F414" s="65"/>
    </row>
    <row r="415" spans="4:6" ht="15" x14ac:dyDescent="0.25">
      <c r="D415" s="65"/>
      <c r="E415" s="65"/>
      <c r="F415" s="65"/>
    </row>
    <row r="416" spans="4:6" ht="15" x14ac:dyDescent="0.25">
      <c r="D416" s="65"/>
      <c r="E416" s="65"/>
      <c r="F416" s="65"/>
    </row>
    <row r="417" spans="4:6" ht="15" x14ac:dyDescent="0.25">
      <c r="D417" s="65"/>
      <c r="E417" s="65"/>
      <c r="F417" s="65"/>
    </row>
    <row r="418" spans="4:6" ht="15" x14ac:dyDescent="0.25">
      <c r="D418" s="65"/>
      <c r="E418" s="65"/>
      <c r="F418" s="65"/>
    </row>
    <row r="419" spans="4:6" ht="15" x14ac:dyDescent="0.25">
      <c r="D419" s="65"/>
      <c r="E419" s="65"/>
      <c r="F419" s="65"/>
    </row>
    <row r="420" spans="4:6" ht="15" x14ac:dyDescent="0.25">
      <c r="D420" s="65"/>
      <c r="E420" s="65"/>
      <c r="F420" s="65"/>
    </row>
    <row r="421" spans="4:6" ht="15" x14ac:dyDescent="0.25">
      <c r="D421" s="65"/>
      <c r="E421" s="65"/>
      <c r="F421" s="65"/>
    </row>
    <row r="422" spans="4:6" ht="15" x14ac:dyDescent="0.25">
      <c r="D422" s="65"/>
      <c r="E422" s="65"/>
      <c r="F422" s="65"/>
    </row>
    <row r="423" spans="4:6" ht="15" x14ac:dyDescent="0.25">
      <c r="D423" s="65"/>
      <c r="E423" s="65"/>
      <c r="F423" s="65"/>
    </row>
    <row r="424" spans="4:6" ht="15" x14ac:dyDescent="0.25">
      <c r="D424" s="65"/>
      <c r="E424" s="65"/>
      <c r="F424" s="65"/>
    </row>
    <row r="425" spans="4:6" ht="15" x14ac:dyDescent="0.25">
      <c r="D425" s="65"/>
      <c r="E425" s="65"/>
      <c r="F425" s="65"/>
    </row>
    <row r="426" spans="4:6" ht="15" x14ac:dyDescent="0.25">
      <c r="D426" s="65"/>
      <c r="E426" s="65"/>
      <c r="F426" s="65"/>
    </row>
    <row r="427" spans="4:6" ht="15" x14ac:dyDescent="0.25">
      <c r="D427" s="65"/>
      <c r="E427" s="65"/>
      <c r="F427" s="65"/>
    </row>
    <row r="428" spans="4:6" ht="15" x14ac:dyDescent="0.25">
      <c r="D428" s="65"/>
      <c r="E428" s="65"/>
      <c r="F428" s="65"/>
    </row>
    <row r="429" spans="4:6" ht="15" x14ac:dyDescent="0.25">
      <c r="D429" s="65"/>
      <c r="E429" s="65"/>
      <c r="F429" s="65"/>
    </row>
    <row r="430" spans="4:6" ht="15" x14ac:dyDescent="0.25">
      <c r="D430" s="65"/>
      <c r="E430" s="65"/>
      <c r="F430" s="65"/>
    </row>
    <row r="431" spans="4:6" ht="15" x14ac:dyDescent="0.25">
      <c r="D431" s="65"/>
      <c r="E431" s="65"/>
      <c r="F431" s="65"/>
    </row>
    <row r="432" spans="4:6" ht="15" x14ac:dyDescent="0.25">
      <c r="D432" s="65"/>
      <c r="E432" s="65"/>
      <c r="F432" s="65"/>
    </row>
    <row r="433" spans="4:6" ht="15" x14ac:dyDescent="0.25">
      <c r="D433" s="65"/>
      <c r="E433" s="65"/>
      <c r="F433" s="65"/>
    </row>
    <row r="434" spans="4:6" ht="15" x14ac:dyDescent="0.25">
      <c r="D434" s="65"/>
      <c r="E434" s="65"/>
      <c r="F434" s="65"/>
    </row>
    <row r="435" spans="4:6" ht="15" x14ac:dyDescent="0.25">
      <c r="D435" s="65"/>
      <c r="E435" s="65"/>
      <c r="F435" s="65"/>
    </row>
    <row r="436" spans="4:6" ht="15" x14ac:dyDescent="0.25">
      <c r="D436" s="65"/>
      <c r="E436" s="65"/>
      <c r="F436" s="65"/>
    </row>
    <row r="437" spans="4:6" ht="15" x14ac:dyDescent="0.25">
      <c r="D437" s="65"/>
      <c r="E437" s="65"/>
      <c r="F437" s="65"/>
    </row>
    <row r="438" spans="4:6" ht="15" x14ac:dyDescent="0.25">
      <c r="D438" s="65"/>
      <c r="E438" s="65"/>
      <c r="F438" s="65"/>
    </row>
    <row r="439" spans="4:6" ht="15" x14ac:dyDescent="0.25">
      <c r="D439" s="65"/>
      <c r="E439" s="65"/>
      <c r="F439" s="65"/>
    </row>
    <row r="440" spans="4:6" ht="15" x14ac:dyDescent="0.25">
      <c r="D440" s="65"/>
      <c r="E440" s="65"/>
      <c r="F440" s="65"/>
    </row>
    <row r="441" spans="4:6" ht="15" x14ac:dyDescent="0.25">
      <c r="D441" s="65"/>
      <c r="E441" s="65"/>
      <c r="F441" s="65"/>
    </row>
    <row r="442" spans="4:6" ht="15" x14ac:dyDescent="0.25">
      <c r="D442" s="65"/>
      <c r="E442" s="65"/>
      <c r="F442" s="65"/>
    </row>
    <row r="443" spans="4:6" ht="15" x14ac:dyDescent="0.25">
      <c r="D443" s="65"/>
      <c r="E443" s="65"/>
      <c r="F443" s="65"/>
    </row>
    <row r="444" spans="4:6" ht="15" x14ac:dyDescent="0.25">
      <c r="D444" s="65"/>
      <c r="E444" s="65"/>
      <c r="F444" s="65"/>
    </row>
    <row r="445" spans="4:6" ht="15" x14ac:dyDescent="0.25">
      <c r="D445" s="65"/>
      <c r="E445" s="65"/>
      <c r="F445" s="65"/>
    </row>
    <row r="446" spans="4:6" ht="15" x14ac:dyDescent="0.25">
      <c r="D446" s="65"/>
      <c r="E446" s="65"/>
      <c r="F446" s="65"/>
    </row>
    <row r="447" spans="4:6" ht="15" x14ac:dyDescent="0.25">
      <c r="D447" s="65"/>
      <c r="E447" s="65"/>
      <c r="F447" s="65"/>
    </row>
    <row r="448" spans="4:6" ht="15" x14ac:dyDescent="0.25">
      <c r="D448" s="65"/>
      <c r="E448" s="65"/>
      <c r="F448" s="65"/>
    </row>
    <row r="449" spans="4:6" ht="15" x14ac:dyDescent="0.25">
      <c r="D449" s="65"/>
      <c r="E449" s="65"/>
      <c r="F449" s="65"/>
    </row>
    <row r="450" spans="4:6" ht="15" x14ac:dyDescent="0.25">
      <c r="D450" s="65"/>
      <c r="E450" s="65"/>
      <c r="F450" s="65"/>
    </row>
    <row r="451" spans="4:6" ht="15" x14ac:dyDescent="0.25">
      <c r="D451" s="65"/>
      <c r="E451" s="65"/>
      <c r="F451" s="65"/>
    </row>
    <row r="452" spans="4:6" ht="15" x14ac:dyDescent="0.25">
      <c r="D452" s="65"/>
      <c r="E452" s="65"/>
      <c r="F452" s="65"/>
    </row>
    <row r="453" spans="4:6" ht="15" x14ac:dyDescent="0.25">
      <c r="D453" s="65"/>
      <c r="E453" s="65"/>
      <c r="F453" s="65"/>
    </row>
    <row r="454" spans="4:6" ht="15" x14ac:dyDescent="0.25">
      <c r="D454" s="65"/>
      <c r="E454" s="65"/>
      <c r="F454" s="65"/>
    </row>
    <row r="455" spans="4:6" ht="15" x14ac:dyDescent="0.25">
      <c r="D455" s="65"/>
      <c r="E455" s="65"/>
      <c r="F455" s="65"/>
    </row>
    <row r="456" spans="4:6" ht="15" x14ac:dyDescent="0.25">
      <c r="D456" s="65"/>
      <c r="E456" s="65"/>
      <c r="F456" s="65"/>
    </row>
    <row r="457" spans="4:6" ht="15" x14ac:dyDescent="0.25">
      <c r="D457" s="65"/>
      <c r="E457" s="65"/>
      <c r="F457" s="65"/>
    </row>
    <row r="458" spans="4:6" ht="15" x14ac:dyDescent="0.25">
      <c r="D458" s="65"/>
      <c r="E458" s="65"/>
      <c r="F458" s="65"/>
    </row>
    <row r="459" spans="4:6" ht="15" x14ac:dyDescent="0.25">
      <c r="D459" s="65"/>
      <c r="E459" s="65"/>
      <c r="F459" s="65"/>
    </row>
    <row r="460" spans="4:6" ht="15" x14ac:dyDescent="0.25">
      <c r="D460" s="65"/>
      <c r="E460" s="65"/>
      <c r="F460" s="65"/>
    </row>
    <row r="461" spans="4:6" ht="15" x14ac:dyDescent="0.25">
      <c r="D461" s="65"/>
      <c r="E461" s="65"/>
      <c r="F461" s="65"/>
    </row>
    <row r="462" spans="4:6" ht="15" x14ac:dyDescent="0.25">
      <c r="D462" s="65"/>
      <c r="E462" s="65"/>
      <c r="F462" s="65"/>
    </row>
    <row r="463" spans="4:6" ht="15" x14ac:dyDescent="0.25">
      <c r="D463" s="65"/>
      <c r="E463" s="65"/>
      <c r="F463" s="65"/>
    </row>
    <row r="464" spans="4:6" ht="15" x14ac:dyDescent="0.25">
      <c r="D464" s="65"/>
      <c r="E464" s="65"/>
      <c r="F464" s="65"/>
    </row>
    <row r="465" spans="4:6" ht="15" x14ac:dyDescent="0.25">
      <c r="D465" s="65"/>
      <c r="E465" s="65"/>
      <c r="F465" s="65"/>
    </row>
    <row r="466" spans="4:6" ht="15" x14ac:dyDescent="0.25">
      <c r="D466" s="65"/>
      <c r="E466" s="65"/>
      <c r="F466" s="65"/>
    </row>
    <row r="467" spans="4:6" ht="15" x14ac:dyDescent="0.25">
      <c r="D467" s="65"/>
      <c r="E467" s="65"/>
      <c r="F467" s="65"/>
    </row>
    <row r="468" spans="4:6" ht="15" x14ac:dyDescent="0.25">
      <c r="D468" s="65"/>
      <c r="E468" s="65"/>
      <c r="F468" s="65"/>
    </row>
    <row r="469" spans="4:6" ht="15" x14ac:dyDescent="0.25">
      <c r="D469" s="65"/>
      <c r="E469" s="65"/>
      <c r="F469" s="65"/>
    </row>
    <row r="470" spans="4:6" ht="15" x14ac:dyDescent="0.25">
      <c r="D470" s="65"/>
      <c r="E470" s="65"/>
      <c r="F470" s="65"/>
    </row>
    <row r="471" spans="4:6" ht="15" x14ac:dyDescent="0.25">
      <c r="D471" s="65"/>
      <c r="E471" s="65"/>
      <c r="F471" s="65"/>
    </row>
    <row r="472" spans="4:6" ht="15" x14ac:dyDescent="0.25">
      <c r="D472" s="65"/>
      <c r="E472" s="65"/>
      <c r="F472" s="65"/>
    </row>
    <row r="473" spans="4:6" ht="15" x14ac:dyDescent="0.25">
      <c r="D473" s="65"/>
      <c r="E473" s="65"/>
      <c r="F473" s="65"/>
    </row>
    <row r="474" spans="4:6" ht="15" x14ac:dyDescent="0.25">
      <c r="D474" s="65"/>
      <c r="E474" s="65"/>
      <c r="F474" s="65"/>
    </row>
    <row r="475" spans="4:6" ht="15" x14ac:dyDescent="0.25">
      <c r="D475" s="65"/>
      <c r="E475" s="65"/>
      <c r="F475" s="65"/>
    </row>
    <row r="476" spans="4:6" ht="15" x14ac:dyDescent="0.25">
      <c r="D476" s="65"/>
      <c r="E476" s="65"/>
      <c r="F476" s="65"/>
    </row>
    <row r="477" spans="4:6" ht="15" x14ac:dyDescent="0.25">
      <c r="D477" s="65"/>
      <c r="E477" s="65"/>
      <c r="F477" s="65"/>
    </row>
    <row r="478" spans="4:6" ht="15" x14ac:dyDescent="0.25">
      <c r="D478" s="65"/>
      <c r="E478" s="65"/>
      <c r="F478" s="65"/>
    </row>
    <row r="479" spans="4:6" ht="15" x14ac:dyDescent="0.25">
      <c r="D479" s="65"/>
      <c r="E479" s="65"/>
      <c r="F479" s="65"/>
    </row>
    <row r="480" spans="4:6" ht="15" x14ac:dyDescent="0.25">
      <c r="D480" s="65"/>
      <c r="E480" s="65"/>
      <c r="F480" s="65"/>
    </row>
    <row r="481" spans="4:6" ht="15" x14ac:dyDescent="0.25">
      <c r="D481" s="65"/>
      <c r="E481" s="65"/>
      <c r="F481" s="65"/>
    </row>
    <row r="482" spans="4:6" ht="15" x14ac:dyDescent="0.25">
      <c r="D482" s="65"/>
      <c r="E482" s="65"/>
      <c r="F482" s="65"/>
    </row>
    <row r="483" spans="4:6" ht="15" x14ac:dyDescent="0.25">
      <c r="D483" s="65"/>
      <c r="E483" s="65"/>
      <c r="F483" s="65"/>
    </row>
    <row r="484" spans="4:6" ht="15" x14ac:dyDescent="0.25">
      <c r="D484" s="65"/>
      <c r="E484" s="65"/>
      <c r="F484" s="65"/>
    </row>
    <row r="485" spans="4:6" ht="15" x14ac:dyDescent="0.25">
      <c r="D485" s="65"/>
      <c r="E485" s="65"/>
      <c r="F485" s="65"/>
    </row>
    <row r="486" spans="4:6" ht="15" x14ac:dyDescent="0.25">
      <c r="D486" s="65"/>
      <c r="E486" s="65"/>
      <c r="F486" s="65"/>
    </row>
    <row r="487" spans="4:6" ht="15" x14ac:dyDescent="0.25">
      <c r="D487" s="65"/>
      <c r="E487" s="65"/>
      <c r="F487" s="65"/>
    </row>
    <row r="488" spans="4:6" ht="15" x14ac:dyDescent="0.25">
      <c r="D488" s="65"/>
      <c r="E488" s="65"/>
      <c r="F488" s="65"/>
    </row>
    <row r="489" spans="4:6" ht="15" x14ac:dyDescent="0.25">
      <c r="D489" s="65"/>
      <c r="E489" s="65"/>
      <c r="F489" s="65"/>
    </row>
    <row r="490" spans="4:6" ht="15" x14ac:dyDescent="0.25">
      <c r="D490" s="65"/>
      <c r="E490" s="65"/>
      <c r="F490" s="65"/>
    </row>
    <row r="491" spans="4:6" ht="15" x14ac:dyDescent="0.25">
      <c r="D491" s="65"/>
      <c r="E491" s="65"/>
      <c r="F491" s="65"/>
    </row>
    <row r="492" spans="4:6" ht="15" x14ac:dyDescent="0.25">
      <c r="D492" s="65"/>
      <c r="E492" s="65"/>
      <c r="F492" s="65"/>
    </row>
    <row r="493" spans="4:6" ht="15" x14ac:dyDescent="0.25">
      <c r="D493" s="65"/>
      <c r="E493" s="65"/>
      <c r="F493" s="65"/>
    </row>
    <row r="494" spans="4:6" ht="15" x14ac:dyDescent="0.25">
      <c r="D494" s="65"/>
      <c r="E494" s="65"/>
      <c r="F494" s="65"/>
    </row>
    <row r="495" spans="4:6" ht="15" x14ac:dyDescent="0.25">
      <c r="D495" s="65"/>
      <c r="E495" s="65"/>
      <c r="F495" s="65"/>
    </row>
    <row r="496" spans="4:6" ht="15" x14ac:dyDescent="0.25">
      <c r="D496" s="65"/>
      <c r="E496" s="65"/>
      <c r="F496" s="65"/>
    </row>
    <row r="497" spans="4:6" ht="15" x14ac:dyDescent="0.25">
      <c r="D497" s="65"/>
      <c r="E497" s="65"/>
      <c r="F497" s="65"/>
    </row>
    <row r="498" spans="4:6" ht="15" x14ac:dyDescent="0.25">
      <c r="D498" s="65"/>
      <c r="E498" s="65"/>
      <c r="F498" s="65"/>
    </row>
    <row r="499" spans="4:6" ht="15" x14ac:dyDescent="0.25">
      <c r="D499" s="65"/>
      <c r="E499" s="65"/>
      <c r="F499" s="65"/>
    </row>
    <row r="500" spans="4:6" ht="15" x14ac:dyDescent="0.25">
      <c r="D500" s="65"/>
      <c r="E500" s="65"/>
      <c r="F500" s="65"/>
    </row>
    <row r="501" spans="4:6" ht="15" x14ac:dyDescent="0.25">
      <c r="D501" s="65"/>
      <c r="E501" s="65"/>
      <c r="F501" s="65"/>
    </row>
    <row r="502" spans="4:6" ht="15" x14ac:dyDescent="0.25">
      <c r="D502" s="65"/>
      <c r="E502" s="65"/>
      <c r="F502" s="65"/>
    </row>
    <row r="503" spans="4:6" ht="15" x14ac:dyDescent="0.25">
      <c r="D503" s="65"/>
      <c r="E503" s="65"/>
      <c r="F503" s="65"/>
    </row>
    <row r="504" spans="4:6" ht="15" x14ac:dyDescent="0.25">
      <c r="D504" s="65"/>
      <c r="E504" s="65"/>
      <c r="F504" s="65"/>
    </row>
    <row r="505" spans="4:6" ht="15" x14ac:dyDescent="0.25">
      <c r="D505" s="65"/>
      <c r="E505" s="65"/>
      <c r="F505" s="65"/>
    </row>
    <row r="506" spans="4:6" ht="15" x14ac:dyDescent="0.25">
      <c r="D506" s="65"/>
      <c r="E506" s="65"/>
      <c r="F506" s="65"/>
    </row>
    <row r="507" spans="4:6" ht="15" x14ac:dyDescent="0.25">
      <c r="D507" s="65"/>
      <c r="E507" s="65"/>
      <c r="F507" s="65"/>
    </row>
    <row r="508" spans="4:6" ht="15" x14ac:dyDescent="0.25">
      <c r="D508" s="65"/>
      <c r="E508" s="65"/>
      <c r="F508" s="65"/>
    </row>
    <row r="509" spans="4:6" ht="15" x14ac:dyDescent="0.25">
      <c r="D509" s="65"/>
      <c r="E509" s="65"/>
      <c r="F509" s="65"/>
    </row>
    <row r="510" spans="4:6" ht="15" x14ac:dyDescent="0.25">
      <c r="D510" s="65"/>
      <c r="E510" s="65"/>
      <c r="F510" s="65"/>
    </row>
    <row r="511" spans="4:6" ht="15" x14ac:dyDescent="0.25">
      <c r="D511" s="65"/>
      <c r="E511" s="65"/>
      <c r="F511" s="65"/>
    </row>
    <row r="512" spans="4:6" ht="15" x14ac:dyDescent="0.25">
      <c r="D512" s="65"/>
      <c r="E512" s="65"/>
      <c r="F512" s="65"/>
    </row>
    <row r="513" spans="4:6" ht="15" x14ac:dyDescent="0.25">
      <c r="D513" s="65"/>
      <c r="E513" s="65"/>
      <c r="F513" s="65"/>
    </row>
    <row r="514" spans="4:6" ht="15" x14ac:dyDescent="0.25">
      <c r="D514" s="65"/>
      <c r="E514" s="65"/>
      <c r="F514" s="65"/>
    </row>
    <row r="515" spans="4:6" ht="15" x14ac:dyDescent="0.25">
      <c r="D515" s="65"/>
      <c r="E515" s="65"/>
      <c r="F515" s="65"/>
    </row>
    <row r="516" spans="4:6" ht="15" x14ac:dyDescent="0.25">
      <c r="D516" s="65"/>
      <c r="E516" s="65"/>
      <c r="F516" s="65"/>
    </row>
    <row r="517" spans="4:6" ht="15" x14ac:dyDescent="0.25">
      <c r="D517" s="65"/>
      <c r="E517" s="65"/>
      <c r="F517" s="65"/>
    </row>
    <row r="518" spans="4:6" ht="15" x14ac:dyDescent="0.25">
      <c r="D518" s="65"/>
      <c r="E518" s="65"/>
      <c r="F518" s="65"/>
    </row>
    <row r="519" spans="4:6" ht="15" x14ac:dyDescent="0.25">
      <c r="D519" s="65"/>
      <c r="E519" s="65"/>
      <c r="F519" s="65"/>
    </row>
    <row r="520" spans="4:6" ht="15" x14ac:dyDescent="0.25">
      <c r="D520" s="65"/>
      <c r="E520" s="65"/>
      <c r="F520" s="65"/>
    </row>
    <row r="521" spans="4:6" ht="15" x14ac:dyDescent="0.25">
      <c r="D521" s="65"/>
      <c r="E521" s="65"/>
      <c r="F521" s="65"/>
    </row>
    <row r="522" spans="4:6" ht="15" x14ac:dyDescent="0.25">
      <c r="D522" s="65"/>
      <c r="E522" s="65"/>
      <c r="F522" s="65"/>
    </row>
    <row r="523" spans="4:6" ht="15" x14ac:dyDescent="0.25">
      <c r="D523" s="65"/>
      <c r="E523" s="65"/>
      <c r="F523" s="65"/>
    </row>
    <row r="524" spans="4:6" ht="15" x14ac:dyDescent="0.25">
      <c r="D524" s="65"/>
      <c r="E524" s="65"/>
      <c r="F524" s="65"/>
    </row>
    <row r="525" spans="4:6" ht="15" x14ac:dyDescent="0.25">
      <c r="D525" s="65"/>
      <c r="E525" s="65"/>
      <c r="F525" s="65"/>
    </row>
    <row r="526" spans="4:6" ht="15" x14ac:dyDescent="0.25">
      <c r="D526" s="65"/>
      <c r="E526" s="65"/>
      <c r="F526" s="65"/>
    </row>
    <row r="527" spans="4:6" ht="15" x14ac:dyDescent="0.25">
      <c r="D527" s="65"/>
      <c r="E527" s="65"/>
      <c r="F527" s="65"/>
    </row>
    <row r="528" spans="4:6" ht="15" x14ac:dyDescent="0.25">
      <c r="D528" s="65"/>
      <c r="E528" s="65"/>
      <c r="F528" s="65"/>
    </row>
    <row r="529" spans="4:6" ht="15" x14ac:dyDescent="0.25">
      <c r="D529" s="65"/>
      <c r="E529" s="65"/>
      <c r="F529" s="65"/>
    </row>
    <row r="530" spans="4:6" ht="15" x14ac:dyDescent="0.25">
      <c r="D530" s="65"/>
      <c r="E530" s="65"/>
      <c r="F530" s="65"/>
    </row>
    <row r="531" spans="4:6" ht="15" x14ac:dyDescent="0.25">
      <c r="D531" s="65"/>
      <c r="E531" s="65"/>
      <c r="F531" s="65"/>
    </row>
    <row r="532" spans="4:6" ht="15" x14ac:dyDescent="0.25">
      <c r="D532" s="65"/>
      <c r="E532" s="65"/>
      <c r="F532" s="65"/>
    </row>
    <row r="533" spans="4:6" ht="15" x14ac:dyDescent="0.25">
      <c r="D533" s="65"/>
      <c r="E533" s="65"/>
      <c r="F533" s="65"/>
    </row>
    <row r="534" spans="4:6" ht="15" x14ac:dyDescent="0.25">
      <c r="D534" s="65"/>
      <c r="E534" s="65"/>
      <c r="F534" s="65"/>
    </row>
    <row r="535" spans="4:6" ht="15" x14ac:dyDescent="0.25">
      <c r="D535" s="65"/>
      <c r="E535" s="65"/>
      <c r="F535" s="65"/>
    </row>
    <row r="536" spans="4:6" ht="15" x14ac:dyDescent="0.25">
      <c r="D536" s="65"/>
      <c r="E536" s="65"/>
      <c r="F536" s="65"/>
    </row>
    <row r="537" spans="4:6" ht="15" x14ac:dyDescent="0.25">
      <c r="D537" s="65"/>
      <c r="E537" s="65"/>
      <c r="F537" s="65"/>
    </row>
    <row r="538" spans="4:6" ht="15" x14ac:dyDescent="0.25">
      <c r="D538" s="65"/>
      <c r="E538" s="65"/>
      <c r="F538" s="65"/>
    </row>
    <row r="539" spans="4:6" ht="15" x14ac:dyDescent="0.25">
      <c r="D539" s="65"/>
      <c r="E539" s="65"/>
      <c r="F539" s="65"/>
    </row>
    <row r="540" spans="4:6" ht="15" x14ac:dyDescent="0.25">
      <c r="D540" s="65"/>
      <c r="E540" s="65"/>
      <c r="F540" s="65"/>
    </row>
    <row r="541" spans="4:6" ht="15" x14ac:dyDescent="0.25">
      <c r="D541" s="65"/>
      <c r="E541" s="65"/>
      <c r="F541" s="65"/>
    </row>
    <row r="542" spans="4:6" ht="15" x14ac:dyDescent="0.25">
      <c r="D542" s="65"/>
      <c r="E542" s="65"/>
      <c r="F542" s="65"/>
    </row>
    <row r="543" spans="4:6" ht="15" x14ac:dyDescent="0.25">
      <c r="D543" s="65"/>
      <c r="E543" s="65"/>
      <c r="F543" s="65"/>
    </row>
    <row r="544" spans="4:6" ht="15" x14ac:dyDescent="0.25">
      <c r="D544" s="65"/>
      <c r="E544" s="65"/>
      <c r="F544" s="65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13" orientation="landscape" r:id="rId1"/>
  <rowBreaks count="1" manualBreakCount="1">
    <brk id="203" min="1" max="5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AZ532"/>
  <sheetViews>
    <sheetView showGridLines="0" showRowColHeaders="0" view="pageBreakPreview" zoomScale="80" zoomScaleNormal="80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2" width="1.625" style="38" customWidth="1"/>
    <col min="3" max="3" width="5.875" style="37" customWidth="1"/>
    <col min="4" max="4" width="18.125" style="38" customWidth="1"/>
    <col min="5" max="5" width="9.75" style="38" customWidth="1"/>
    <col min="6" max="6" width="15.875" style="38" bestFit="1" customWidth="1"/>
    <col min="7" max="7" width="12.25" style="39" customWidth="1"/>
    <col min="8" max="12" width="12.25" style="40" customWidth="1"/>
    <col min="13" max="13" width="12.25" style="41" customWidth="1"/>
    <col min="14" max="16" width="12.25" style="41" customWidth="1" outlineLevel="1"/>
    <col min="17" max="18" width="12.25" style="42" customWidth="1" outlineLevel="1"/>
    <col min="19" max="21" width="12.25" style="38" customWidth="1" outlineLevel="1"/>
    <col min="22" max="22" width="1.625" style="295" customWidth="1"/>
    <col min="23" max="23" width="10.5" style="38"/>
    <col min="24" max="31" width="10.5" style="38" customWidth="1" outlineLevel="1"/>
    <col min="32" max="32" width="1.625" style="295" customWidth="1"/>
    <col min="33" max="33" width="10.5" style="38"/>
    <col min="34" max="41" width="10.5" style="38" customWidth="1" outlineLevel="1"/>
    <col min="42" max="42" width="1.625" style="295" customWidth="1"/>
    <col min="43" max="43" width="10.5" style="38"/>
    <col min="44" max="51" width="0" style="38" hidden="1" customWidth="1" outlineLevel="1"/>
    <col min="52" max="52" width="4.125" style="295" customWidth="1" collapsed="1"/>
    <col min="53" max="16384" width="10.5" style="38"/>
  </cols>
  <sheetData>
    <row r="2" spans="3:52" ht="18.75" x14ac:dyDescent="0.25">
      <c r="D2" s="384" t="s">
        <v>103</v>
      </c>
    </row>
    <row r="3" spans="3:52" ht="30" customHeight="1" x14ac:dyDescent="0.25">
      <c r="H3" s="41"/>
      <c r="I3" s="41"/>
      <c r="J3" s="41"/>
      <c r="K3" s="41"/>
      <c r="L3" s="41"/>
    </row>
    <row r="4" spans="3:52" x14ac:dyDescent="0.25">
      <c r="D4" s="43" t="s">
        <v>42</v>
      </c>
      <c r="H4" s="41"/>
      <c r="I4" s="41"/>
      <c r="J4" s="41"/>
      <c r="K4" s="41"/>
      <c r="L4" s="41"/>
    </row>
    <row r="5" spans="3:52" ht="15" thickBot="1" x14ac:dyDescent="0.3">
      <c r="D5" s="43"/>
      <c r="H5" s="41"/>
      <c r="I5" s="41"/>
      <c r="J5" s="41"/>
      <c r="K5" s="41"/>
      <c r="L5" s="41"/>
    </row>
    <row r="6" spans="3:52" ht="24.95" customHeight="1" thickTop="1" thickBot="1" x14ac:dyDescent="0.3"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2" s="49" customFormat="1" ht="39.75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51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  <c r="AZ7" s="207"/>
    </row>
    <row r="8" spans="3:52" s="52" customFormat="1" ht="33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1</v>
      </c>
      <c r="AS8" s="363">
        <f t="shared" si="6"/>
        <v>1</v>
      </c>
      <c r="AT8" s="363">
        <f t="shared" si="6"/>
        <v>1</v>
      </c>
      <c r="AU8" s="363">
        <f t="shared" si="6"/>
        <v>1</v>
      </c>
      <c r="AV8" s="363">
        <f>+SUM(AV9:AV29)</f>
        <v>1</v>
      </c>
      <c r="AW8" s="363">
        <f t="shared" ref="AW8:AX8" si="7">+SUM(AW9:AW29)</f>
        <v>1</v>
      </c>
      <c r="AX8" s="363">
        <f t="shared" si="7"/>
        <v>1</v>
      </c>
      <c r="AY8" s="364">
        <f>+SUM(AY9:AY29)</f>
        <v>1</v>
      </c>
      <c r="AZ8" s="296"/>
    </row>
    <row r="9" spans="3:52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>
        <v>1</v>
      </c>
      <c r="AS9" s="289">
        <v>1</v>
      </c>
      <c r="AT9" s="289">
        <v>1</v>
      </c>
      <c r="AU9" s="289">
        <v>1</v>
      </c>
      <c r="AV9" s="289">
        <v>1</v>
      </c>
      <c r="AW9" s="289">
        <v>1</v>
      </c>
      <c r="AX9" s="289">
        <v>1</v>
      </c>
      <c r="AY9" s="290">
        <v>1</v>
      </c>
      <c r="AZ9" s="207"/>
    </row>
    <row r="10" spans="3:52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  <c r="AZ10" s="207"/>
    </row>
    <row r="11" spans="3:52" s="49" customFormat="1" ht="18" customHeight="1" x14ac:dyDescent="0.25">
      <c r="C11" s="56">
        <f t="shared" ref="C11:C41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  <c r="AZ11" s="207"/>
    </row>
    <row r="12" spans="3:52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  <c r="AZ12" s="207"/>
    </row>
    <row r="13" spans="3:52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  <c r="AZ13" s="207"/>
    </row>
    <row r="14" spans="3:52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  <c r="AZ14" s="207"/>
    </row>
    <row r="15" spans="3:52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  <c r="AZ15" s="207"/>
    </row>
    <row r="16" spans="3:52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  <c r="AZ16" s="207"/>
    </row>
    <row r="17" spans="2:52" s="204" customFormat="1" ht="18" customHeight="1" x14ac:dyDescent="0.25">
      <c r="B17" s="207"/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  <c r="AZ17" s="207"/>
    </row>
    <row r="18" spans="2:52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  <c r="AZ18" s="207"/>
    </row>
    <row r="19" spans="2:52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  <c r="AZ19" s="207"/>
    </row>
    <row r="20" spans="2:52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  <c r="AZ20" s="207"/>
    </row>
    <row r="21" spans="2:52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  <c r="AZ21" s="207"/>
    </row>
    <row r="22" spans="2:52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  <c r="AZ22" s="207"/>
    </row>
    <row r="23" spans="2:52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  <c r="AZ23" s="207"/>
    </row>
    <row r="24" spans="2:52" s="49" customFormat="1" ht="18" customHeight="1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  <c r="AZ24" s="207"/>
    </row>
    <row r="25" spans="2:52" s="49" customFormat="1" ht="18" customHeight="1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  <c r="AZ25" s="207"/>
    </row>
    <row r="26" spans="2:52" s="49" customFormat="1" ht="18" customHeight="1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  <c r="AZ26" s="207"/>
    </row>
    <row r="27" spans="2:52" s="49" customFormat="1" ht="18" customHeight="1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  <c r="AZ27" s="207"/>
    </row>
    <row r="28" spans="2:52" s="49" customFormat="1" ht="18" customHeight="1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  <c r="AZ28" s="207"/>
    </row>
    <row r="29" spans="2:52" s="49" customFormat="1" ht="15" x14ac:dyDescent="0.25">
      <c r="C29" s="56">
        <f t="shared" si="8"/>
        <v>21</v>
      </c>
      <c r="D29" s="59"/>
      <c r="E29" s="59"/>
      <c r="F29" s="57"/>
      <c r="G29" s="279"/>
      <c r="H29" s="285"/>
      <c r="I29" s="58"/>
      <c r="J29" s="58"/>
      <c r="K29" s="58"/>
      <c r="L29" s="286"/>
      <c r="M29" s="291"/>
      <c r="N29" s="292"/>
      <c r="O29" s="292"/>
      <c r="P29" s="292"/>
      <c r="Q29" s="292"/>
      <c r="R29" s="292"/>
      <c r="S29" s="292"/>
      <c r="T29" s="292"/>
      <c r="U29" s="293"/>
      <c r="V29" s="207"/>
      <c r="W29" s="291"/>
      <c r="X29" s="292"/>
      <c r="Y29" s="292"/>
      <c r="Z29" s="292"/>
      <c r="AA29" s="292"/>
      <c r="AB29" s="292"/>
      <c r="AC29" s="292"/>
      <c r="AD29" s="292"/>
      <c r="AE29" s="293"/>
      <c r="AF29" s="207"/>
      <c r="AG29" s="291"/>
      <c r="AH29" s="292"/>
      <c r="AI29" s="292"/>
      <c r="AJ29" s="292"/>
      <c r="AK29" s="292"/>
      <c r="AL29" s="292"/>
      <c r="AM29" s="292"/>
      <c r="AN29" s="292"/>
      <c r="AO29" s="293"/>
      <c r="AP29" s="207"/>
      <c r="AQ29" s="291"/>
      <c r="AR29" s="292"/>
      <c r="AS29" s="292"/>
      <c r="AT29" s="292"/>
      <c r="AU29" s="292"/>
      <c r="AV29" s="292"/>
      <c r="AW29" s="292"/>
      <c r="AX29" s="292"/>
      <c r="AY29" s="293"/>
      <c r="AZ29" s="207"/>
    </row>
    <row r="30" spans="2:52" s="49" customFormat="1" ht="15" x14ac:dyDescent="0.25">
      <c r="C30" s="56">
        <f t="shared" si="8"/>
        <v>22</v>
      </c>
      <c r="D30" s="59"/>
      <c r="E30" s="59"/>
      <c r="F30" s="57"/>
      <c r="G30" s="279"/>
      <c r="H30" s="285"/>
      <c r="I30" s="58"/>
      <c r="J30" s="58"/>
      <c r="K30" s="58"/>
      <c r="L30" s="286"/>
      <c r="M30" s="291"/>
      <c r="N30" s="292"/>
      <c r="O30" s="292"/>
      <c r="P30" s="292"/>
      <c r="Q30" s="292"/>
      <c r="R30" s="292"/>
      <c r="S30" s="292"/>
      <c r="T30" s="292"/>
      <c r="U30" s="293"/>
      <c r="V30" s="207"/>
      <c r="W30" s="291"/>
      <c r="X30" s="292"/>
      <c r="Y30" s="292"/>
      <c r="Z30" s="292"/>
      <c r="AA30" s="292"/>
      <c r="AB30" s="292"/>
      <c r="AC30" s="292"/>
      <c r="AD30" s="292"/>
      <c r="AE30" s="293"/>
      <c r="AF30" s="207"/>
      <c r="AG30" s="291"/>
      <c r="AH30" s="292"/>
      <c r="AI30" s="292"/>
      <c r="AJ30" s="292"/>
      <c r="AK30" s="292"/>
      <c r="AL30" s="292"/>
      <c r="AM30" s="292"/>
      <c r="AN30" s="292"/>
      <c r="AO30" s="293"/>
      <c r="AP30" s="207"/>
      <c r="AQ30" s="291"/>
      <c r="AR30" s="292"/>
      <c r="AS30" s="292"/>
      <c r="AT30" s="292"/>
      <c r="AU30" s="292"/>
      <c r="AV30" s="292"/>
      <c r="AW30" s="292"/>
      <c r="AX30" s="292"/>
      <c r="AY30" s="293"/>
      <c r="AZ30" s="207"/>
    </row>
    <row r="31" spans="2:52" s="49" customFormat="1" ht="15" x14ac:dyDescent="0.25">
      <c r="C31" s="56">
        <f t="shared" si="8"/>
        <v>23</v>
      </c>
      <c r="D31" s="59"/>
      <c r="E31" s="59"/>
      <c r="F31" s="57"/>
      <c r="G31" s="279"/>
      <c r="H31" s="285"/>
      <c r="I31" s="58"/>
      <c r="J31" s="58"/>
      <c r="K31" s="58"/>
      <c r="L31" s="286"/>
      <c r="M31" s="291"/>
      <c r="N31" s="292"/>
      <c r="O31" s="292"/>
      <c r="P31" s="292"/>
      <c r="Q31" s="292"/>
      <c r="R31" s="292"/>
      <c r="S31" s="292"/>
      <c r="T31" s="292"/>
      <c r="U31" s="293"/>
      <c r="V31" s="207"/>
      <c r="W31" s="291"/>
      <c r="X31" s="292"/>
      <c r="Y31" s="292"/>
      <c r="Z31" s="292"/>
      <c r="AA31" s="292"/>
      <c r="AB31" s="292"/>
      <c r="AC31" s="292"/>
      <c r="AD31" s="292"/>
      <c r="AE31" s="293"/>
      <c r="AF31" s="207"/>
      <c r="AG31" s="291"/>
      <c r="AH31" s="292"/>
      <c r="AI31" s="292"/>
      <c r="AJ31" s="292"/>
      <c r="AK31" s="292"/>
      <c r="AL31" s="292"/>
      <c r="AM31" s="292"/>
      <c r="AN31" s="292"/>
      <c r="AO31" s="293"/>
      <c r="AP31" s="207"/>
      <c r="AQ31" s="291"/>
      <c r="AR31" s="292"/>
      <c r="AS31" s="292"/>
      <c r="AT31" s="292"/>
      <c r="AU31" s="292"/>
      <c r="AV31" s="292"/>
      <c r="AW31" s="292"/>
      <c r="AX31" s="292"/>
      <c r="AY31" s="293"/>
      <c r="AZ31" s="207"/>
    </row>
    <row r="32" spans="2:52" s="49" customFormat="1" ht="15" x14ac:dyDescent="0.25">
      <c r="C32" s="56">
        <f t="shared" si="8"/>
        <v>24</v>
      </c>
      <c r="D32" s="59"/>
      <c r="E32" s="59"/>
      <c r="F32" s="57"/>
      <c r="G32" s="279"/>
      <c r="H32" s="285"/>
      <c r="I32" s="58"/>
      <c r="J32" s="58"/>
      <c r="K32" s="58"/>
      <c r="L32" s="286"/>
      <c r="M32" s="291"/>
      <c r="N32" s="292"/>
      <c r="O32" s="292"/>
      <c r="P32" s="292"/>
      <c r="Q32" s="292"/>
      <c r="R32" s="292"/>
      <c r="S32" s="292"/>
      <c r="T32" s="292"/>
      <c r="U32" s="293"/>
      <c r="V32" s="207"/>
      <c r="W32" s="291"/>
      <c r="X32" s="292"/>
      <c r="Y32" s="292"/>
      <c r="Z32" s="292"/>
      <c r="AA32" s="292"/>
      <c r="AB32" s="292"/>
      <c r="AC32" s="292"/>
      <c r="AD32" s="292"/>
      <c r="AE32" s="293"/>
      <c r="AF32" s="207"/>
      <c r="AG32" s="291"/>
      <c r="AH32" s="292"/>
      <c r="AI32" s="292"/>
      <c r="AJ32" s="292"/>
      <c r="AK32" s="292"/>
      <c r="AL32" s="292"/>
      <c r="AM32" s="292"/>
      <c r="AN32" s="292"/>
      <c r="AO32" s="293"/>
      <c r="AP32" s="207"/>
      <c r="AQ32" s="291"/>
      <c r="AR32" s="292"/>
      <c r="AS32" s="292"/>
      <c r="AT32" s="292"/>
      <c r="AU32" s="292"/>
      <c r="AV32" s="292"/>
      <c r="AW32" s="292"/>
      <c r="AX32" s="292"/>
      <c r="AY32" s="293"/>
      <c r="AZ32" s="207"/>
    </row>
    <row r="33" spans="3:52" s="49" customFormat="1" ht="15" x14ac:dyDescent="0.25">
      <c r="C33" s="56">
        <f t="shared" si="8"/>
        <v>25</v>
      </c>
      <c r="D33" s="59"/>
      <c r="E33" s="59"/>
      <c r="F33" s="57"/>
      <c r="G33" s="279"/>
      <c r="H33" s="285"/>
      <c r="I33" s="58"/>
      <c r="J33" s="58"/>
      <c r="K33" s="58"/>
      <c r="L33" s="286"/>
      <c r="M33" s="291"/>
      <c r="N33" s="292"/>
      <c r="O33" s="292"/>
      <c r="P33" s="292"/>
      <c r="Q33" s="292"/>
      <c r="R33" s="292"/>
      <c r="S33" s="292"/>
      <c r="T33" s="292"/>
      <c r="U33" s="293"/>
      <c r="V33" s="207"/>
      <c r="W33" s="291"/>
      <c r="X33" s="292"/>
      <c r="Y33" s="292"/>
      <c r="Z33" s="292"/>
      <c r="AA33" s="292"/>
      <c r="AB33" s="292"/>
      <c r="AC33" s="292"/>
      <c r="AD33" s="292"/>
      <c r="AE33" s="293"/>
      <c r="AF33" s="207"/>
      <c r="AG33" s="291"/>
      <c r="AH33" s="292"/>
      <c r="AI33" s="292"/>
      <c r="AJ33" s="292"/>
      <c r="AK33" s="292"/>
      <c r="AL33" s="292"/>
      <c r="AM33" s="292"/>
      <c r="AN33" s="292"/>
      <c r="AO33" s="293"/>
      <c r="AP33" s="207"/>
      <c r="AQ33" s="291"/>
      <c r="AR33" s="292"/>
      <c r="AS33" s="292"/>
      <c r="AT33" s="292"/>
      <c r="AU33" s="292"/>
      <c r="AV33" s="292"/>
      <c r="AW33" s="292"/>
      <c r="AX33" s="292"/>
      <c r="AY33" s="293"/>
      <c r="AZ33" s="207"/>
    </row>
    <row r="34" spans="3:52" s="49" customFormat="1" ht="15" x14ac:dyDescent="0.25">
      <c r="C34" s="56">
        <f t="shared" si="8"/>
        <v>26</v>
      </c>
      <c r="D34" s="59"/>
      <c r="E34" s="59"/>
      <c r="F34" s="57"/>
      <c r="G34" s="279"/>
      <c r="H34" s="285"/>
      <c r="I34" s="58"/>
      <c r="J34" s="58"/>
      <c r="K34" s="58"/>
      <c r="L34" s="286"/>
      <c r="M34" s="291"/>
      <c r="N34" s="292"/>
      <c r="O34" s="292"/>
      <c r="P34" s="292"/>
      <c r="Q34" s="292"/>
      <c r="R34" s="292"/>
      <c r="S34" s="292"/>
      <c r="T34" s="292"/>
      <c r="U34" s="293"/>
      <c r="V34" s="207"/>
      <c r="W34" s="291"/>
      <c r="X34" s="292"/>
      <c r="Y34" s="292"/>
      <c r="Z34" s="292"/>
      <c r="AA34" s="292"/>
      <c r="AB34" s="292"/>
      <c r="AC34" s="292"/>
      <c r="AD34" s="292"/>
      <c r="AE34" s="293"/>
      <c r="AF34" s="207"/>
      <c r="AG34" s="291"/>
      <c r="AH34" s="292"/>
      <c r="AI34" s="292"/>
      <c r="AJ34" s="292"/>
      <c r="AK34" s="292"/>
      <c r="AL34" s="292"/>
      <c r="AM34" s="292"/>
      <c r="AN34" s="292"/>
      <c r="AO34" s="293"/>
      <c r="AP34" s="207"/>
      <c r="AQ34" s="291"/>
      <c r="AR34" s="292"/>
      <c r="AS34" s="292"/>
      <c r="AT34" s="292"/>
      <c r="AU34" s="292"/>
      <c r="AV34" s="292"/>
      <c r="AW34" s="292"/>
      <c r="AX34" s="292"/>
      <c r="AY34" s="293"/>
      <c r="AZ34" s="207"/>
    </row>
    <row r="35" spans="3:52" s="49" customFormat="1" ht="15" x14ac:dyDescent="0.25">
      <c r="C35" s="56">
        <f t="shared" si="8"/>
        <v>27</v>
      </c>
      <c r="D35" s="59"/>
      <c r="E35" s="59"/>
      <c r="F35" s="57"/>
      <c r="G35" s="279"/>
      <c r="H35" s="285"/>
      <c r="I35" s="58"/>
      <c r="J35" s="58"/>
      <c r="K35" s="58"/>
      <c r="L35" s="286"/>
      <c r="M35" s="291"/>
      <c r="N35" s="292"/>
      <c r="O35" s="292"/>
      <c r="P35" s="292"/>
      <c r="Q35" s="292"/>
      <c r="R35" s="292"/>
      <c r="S35" s="292"/>
      <c r="T35" s="292"/>
      <c r="U35" s="293"/>
      <c r="V35" s="207"/>
      <c r="W35" s="291"/>
      <c r="X35" s="292"/>
      <c r="Y35" s="292"/>
      <c r="Z35" s="292"/>
      <c r="AA35" s="292"/>
      <c r="AB35" s="292"/>
      <c r="AC35" s="292"/>
      <c r="AD35" s="292"/>
      <c r="AE35" s="293"/>
      <c r="AF35" s="207"/>
      <c r="AG35" s="291"/>
      <c r="AH35" s="292"/>
      <c r="AI35" s="292"/>
      <c r="AJ35" s="292"/>
      <c r="AK35" s="292"/>
      <c r="AL35" s="292"/>
      <c r="AM35" s="292"/>
      <c r="AN35" s="292"/>
      <c r="AO35" s="293"/>
      <c r="AP35" s="207"/>
      <c r="AQ35" s="291"/>
      <c r="AR35" s="292"/>
      <c r="AS35" s="292"/>
      <c r="AT35" s="292"/>
      <c r="AU35" s="292"/>
      <c r="AV35" s="292"/>
      <c r="AW35" s="292"/>
      <c r="AX35" s="292"/>
      <c r="AY35" s="293"/>
      <c r="AZ35" s="207"/>
    </row>
    <row r="36" spans="3:52" s="49" customFormat="1" ht="15" x14ac:dyDescent="0.25">
      <c r="C36" s="56">
        <f t="shared" si="8"/>
        <v>28</v>
      </c>
      <c r="D36" s="59"/>
      <c r="E36" s="59"/>
      <c r="F36" s="57"/>
      <c r="G36" s="279"/>
      <c r="H36" s="285"/>
      <c r="I36" s="58"/>
      <c r="J36" s="58"/>
      <c r="K36" s="58"/>
      <c r="L36" s="286"/>
      <c r="M36" s="291"/>
      <c r="N36" s="292"/>
      <c r="O36" s="292"/>
      <c r="P36" s="292"/>
      <c r="Q36" s="292"/>
      <c r="R36" s="292"/>
      <c r="S36" s="292"/>
      <c r="T36" s="292"/>
      <c r="U36" s="293"/>
      <c r="V36" s="207"/>
      <c r="W36" s="291"/>
      <c r="X36" s="292"/>
      <c r="Y36" s="292"/>
      <c r="Z36" s="292"/>
      <c r="AA36" s="292"/>
      <c r="AB36" s="292"/>
      <c r="AC36" s="292"/>
      <c r="AD36" s="292"/>
      <c r="AE36" s="293"/>
      <c r="AF36" s="207"/>
      <c r="AG36" s="291"/>
      <c r="AH36" s="292"/>
      <c r="AI36" s="292"/>
      <c r="AJ36" s="292"/>
      <c r="AK36" s="292"/>
      <c r="AL36" s="292"/>
      <c r="AM36" s="292"/>
      <c r="AN36" s="292"/>
      <c r="AO36" s="293"/>
      <c r="AP36" s="207"/>
      <c r="AQ36" s="291"/>
      <c r="AR36" s="292"/>
      <c r="AS36" s="292"/>
      <c r="AT36" s="292"/>
      <c r="AU36" s="292"/>
      <c r="AV36" s="292"/>
      <c r="AW36" s="292"/>
      <c r="AX36" s="292"/>
      <c r="AY36" s="293"/>
      <c r="AZ36" s="207"/>
    </row>
    <row r="37" spans="3:52" s="49" customFormat="1" ht="15" x14ac:dyDescent="0.25">
      <c r="C37" s="56">
        <f t="shared" si="8"/>
        <v>29</v>
      </c>
      <c r="D37" s="59"/>
      <c r="E37" s="59"/>
      <c r="F37" s="57"/>
      <c r="G37" s="279"/>
      <c r="H37" s="285"/>
      <c r="I37" s="58"/>
      <c r="J37" s="58"/>
      <c r="K37" s="58"/>
      <c r="L37" s="286"/>
      <c r="M37" s="291"/>
      <c r="N37" s="292"/>
      <c r="O37" s="292"/>
      <c r="P37" s="292"/>
      <c r="Q37" s="292"/>
      <c r="R37" s="292"/>
      <c r="S37" s="292"/>
      <c r="T37" s="292"/>
      <c r="U37" s="293"/>
      <c r="V37" s="207"/>
      <c r="W37" s="291"/>
      <c r="X37" s="292"/>
      <c r="Y37" s="292"/>
      <c r="Z37" s="292"/>
      <c r="AA37" s="292"/>
      <c r="AB37" s="292"/>
      <c r="AC37" s="292"/>
      <c r="AD37" s="292"/>
      <c r="AE37" s="293"/>
      <c r="AF37" s="207"/>
      <c r="AG37" s="291"/>
      <c r="AH37" s="292"/>
      <c r="AI37" s="292"/>
      <c r="AJ37" s="292"/>
      <c r="AK37" s="292"/>
      <c r="AL37" s="292"/>
      <c r="AM37" s="292"/>
      <c r="AN37" s="292"/>
      <c r="AO37" s="293"/>
      <c r="AP37" s="207"/>
      <c r="AQ37" s="291"/>
      <c r="AR37" s="292"/>
      <c r="AS37" s="292"/>
      <c r="AT37" s="292"/>
      <c r="AU37" s="292"/>
      <c r="AV37" s="292"/>
      <c r="AW37" s="292"/>
      <c r="AX37" s="292"/>
      <c r="AY37" s="293"/>
      <c r="AZ37" s="207"/>
    </row>
    <row r="38" spans="3:52" s="49" customFormat="1" ht="15" x14ac:dyDescent="0.25">
      <c r="C38" s="56">
        <f t="shared" si="8"/>
        <v>30</v>
      </c>
      <c r="D38" s="59"/>
      <c r="E38" s="59"/>
      <c r="F38" s="57"/>
      <c r="G38" s="279"/>
      <c r="H38" s="285"/>
      <c r="I38" s="58"/>
      <c r="J38" s="58"/>
      <c r="K38" s="58"/>
      <c r="L38" s="286"/>
      <c r="M38" s="291"/>
      <c r="N38" s="292"/>
      <c r="O38" s="292"/>
      <c r="P38" s="292"/>
      <c r="Q38" s="292"/>
      <c r="R38" s="292"/>
      <c r="S38" s="292"/>
      <c r="T38" s="292"/>
      <c r="U38" s="293"/>
      <c r="V38" s="207"/>
      <c r="W38" s="291"/>
      <c r="X38" s="292"/>
      <c r="Y38" s="292"/>
      <c r="Z38" s="292"/>
      <c r="AA38" s="292"/>
      <c r="AB38" s="292"/>
      <c r="AC38" s="292"/>
      <c r="AD38" s="292"/>
      <c r="AE38" s="293"/>
      <c r="AF38" s="207"/>
      <c r="AG38" s="291"/>
      <c r="AH38" s="292"/>
      <c r="AI38" s="292"/>
      <c r="AJ38" s="292"/>
      <c r="AK38" s="292"/>
      <c r="AL38" s="292"/>
      <c r="AM38" s="292"/>
      <c r="AN38" s="292"/>
      <c r="AO38" s="293"/>
      <c r="AP38" s="207"/>
      <c r="AQ38" s="291"/>
      <c r="AR38" s="292"/>
      <c r="AS38" s="292"/>
      <c r="AT38" s="292"/>
      <c r="AU38" s="292"/>
      <c r="AV38" s="292"/>
      <c r="AW38" s="292"/>
      <c r="AX38" s="292"/>
      <c r="AY38" s="293"/>
      <c r="AZ38" s="207"/>
    </row>
    <row r="39" spans="3:52" s="49" customFormat="1" ht="15" x14ac:dyDescent="0.25">
      <c r="C39" s="56">
        <f t="shared" si="8"/>
        <v>31</v>
      </c>
      <c r="D39" s="59"/>
      <c r="E39" s="59"/>
      <c r="F39" s="57"/>
      <c r="G39" s="279"/>
      <c r="H39" s="285"/>
      <c r="I39" s="58"/>
      <c r="J39" s="58"/>
      <c r="K39" s="58"/>
      <c r="L39" s="286"/>
      <c r="M39" s="291"/>
      <c r="N39" s="292"/>
      <c r="O39" s="292"/>
      <c r="P39" s="292"/>
      <c r="Q39" s="292"/>
      <c r="R39" s="292"/>
      <c r="S39" s="292"/>
      <c r="T39" s="292"/>
      <c r="U39" s="293"/>
      <c r="V39" s="207"/>
      <c r="W39" s="291"/>
      <c r="X39" s="292"/>
      <c r="Y39" s="292"/>
      <c r="Z39" s="292"/>
      <c r="AA39" s="292"/>
      <c r="AB39" s="292"/>
      <c r="AC39" s="292"/>
      <c r="AD39" s="292"/>
      <c r="AE39" s="293"/>
      <c r="AF39" s="207"/>
      <c r="AG39" s="291"/>
      <c r="AH39" s="292"/>
      <c r="AI39" s="292"/>
      <c r="AJ39" s="292"/>
      <c r="AK39" s="292"/>
      <c r="AL39" s="292"/>
      <c r="AM39" s="292"/>
      <c r="AN39" s="292"/>
      <c r="AO39" s="293"/>
      <c r="AP39" s="207"/>
      <c r="AQ39" s="291"/>
      <c r="AR39" s="292"/>
      <c r="AS39" s="292"/>
      <c r="AT39" s="292"/>
      <c r="AU39" s="292"/>
      <c r="AV39" s="292"/>
      <c r="AW39" s="292"/>
      <c r="AX39" s="292"/>
      <c r="AY39" s="293"/>
      <c r="AZ39" s="207"/>
    </row>
    <row r="40" spans="3:52" s="49" customFormat="1" ht="15" x14ac:dyDescent="0.25">
      <c r="C40" s="56">
        <f t="shared" si="8"/>
        <v>32</v>
      </c>
      <c r="D40" s="59"/>
      <c r="E40" s="59"/>
      <c r="F40" s="57"/>
      <c r="G40" s="279"/>
      <c r="H40" s="285"/>
      <c r="I40" s="58"/>
      <c r="J40" s="58"/>
      <c r="K40" s="58"/>
      <c r="L40" s="286"/>
      <c r="M40" s="291"/>
      <c r="N40" s="292"/>
      <c r="O40" s="292"/>
      <c r="P40" s="292"/>
      <c r="Q40" s="292"/>
      <c r="R40" s="292"/>
      <c r="S40" s="292"/>
      <c r="T40" s="292"/>
      <c r="U40" s="293"/>
      <c r="V40" s="207"/>
      <c r="W40" s="291"/>
      <c r="X40" s="292"/>
      <c r="Y40" s="292"/>
      <c r="Z40" s="292"/>
      <c r="AA40" s="292"/>
      <c r="AB40" s="292"/>
      <c r="AC40" s="292"/>
      <c r="AD40" s="292"/>
      <c r="AE40" s="293"/>
      <c r="AF40" s="207"/>
      <c r="AG40" s="291"/>
      <c r="AH40" s="292"/>
      <c r="AI40" s="292"/>
      <c r="AJ40" s="292"/>
      <c r="AK40" s="292"/>
      <c r="AL40" s="292"/>
      <c r="AM40" s="292"/>
      <c r="AN40" s="292"/>
      <c r="AO40" s="293"/>
      <c r="AP40" s="207"/>
      <c r="AQ40" s="291"/>
      <c r="AR40" s="292"/>
      <c r="AS40" s="292"/>
      <c r="AT40" s="292"/>
      <c r="AU40" s="292"/>
      <c r="AV40" s="292"/>
      <c r="AW40" s="292"/>
      <c r="AX40" s="292"/>
      <c r="AY40" s="293"/>
      <c r="AZ40" s="207"/>
    </row>
    <row r="41" spans="3:52" s="49" customFormat="1" ht="15" x14ac:dyDescent="0.25">
      <c r="C41" s="56">
        <f t="shared" si="8"/>
        <v>33</v>
      </c>
      <c r="D41" s="59"/>
      <c r="E41" s="59"/>
      <c r="F41" s="57"/>
      <c r="G41" s="279"/>
      <c r="H41" s="285"/>
      <c r="I41" s="58"/>
      <c r="J41" s="58"/>
      <c r="K41" s="58"/>
      <c r="L41" s="286"/>
      <c r="M41" s="291"/>
      <c r="N41" s="292"/>
      <c r="O41" s="292"/>
      <c r="P41" s="292"/>
      <c r="Q41" s="292"/>
      <c r="R41" s="292"/>
      <c r="S41" s="292"/>
      <c r="T41" s="292"/>
      <c r="U41" s="293"/>
      <c r="V41" s="207"/>
      <c r="W41" s="291"/>
      <c r="X41" s="292"/>
      <c r="Y41" s="292"/>
      <c r="Z41" s="292"/>
      <c r="AA41" s="292"/>
      <c r="AB41" s="292"/>
      <c r="AC41" s="292"/>
      <c r="AD41" s="292"/>
      <c r="AE41" s="293"/>
      <c r="AF41" s="207"/>
      <c r="AG41" s="291"/>
      <c r="AH41" s="292"/>
      <c r="AI41" s="292"/>
      <c r="AJ41" s="292"/>
      <c r="AK41" s="292"/>
      <c r="AL41" s="292"/>
      <c r="AM41" s="292"/>
      <c r="AN41" s="292"/>
      <c r="AO41" s="293"/>
      <c r="AP41" s="207"/>
      <c r="AQ41" s="291"/>
      <c r="AR41" s="292"/>
      <c r="AS41" s="292"/>
      <c r="AT41" s="292"/>
      <c r="AU41" s="292"/>
      <c r="AV41" s="292"/>
      <c r="AW41" s="292"/>
      <c r="AX41" s="292"/>
      <c r="AY41" s="293"/>
      <c r="AZ41" s="207"/>
    </row>
    <row r="42" spans="3:52" s="49" customFormat="1" ht="15.75" x14ac:dyDescent="0.25">
      <c r="C42" s="48"/>
      <c r="D42" s="60"/>
      <c r="E42" s="60"/>
      <c r="F42" s="60"/>
      <c r="G42" s="50"/>
      <c r="H42" s="61"/>
      <c r="I42" s="61"/>
      <c r="J42" s="61"/>
      <c r="K42" s="61"/>
      <c r="L42" s="61"/>
      <c r="M42" s="62"/>
      <c r="N42" s="62"/>
      <c r="O42" s="62"/>
      <c r="P42" s="62"/>
      <c r="Q42" s="63"/>
      <c r="R42" s="63"/>
      <c r="S42" s="63"/>
      <c r="T42" s="63"/>
      <c r="U42" s="63"/>
      <c r="V42" s="207"/>
      <c r="AF42" s="207"/>
      <c r="AP42" s="207"/>
      <c r="AZ42" s="207"/>
    </row>
    <row r="43" spans="3:52" s="49" customFormat="1" ht="15.75" x14ac:dyDescent="0.25">
      <c r="C43" s="48"/>
      <c r="D43" s="60"/>
      <c r="E43" s="60"/>
      <c r="F43" s="60"/>
      <c r="G43" s="50"/>
      <c r="H43" s="61"/>
      <c r="I43" s="61"/>
      <c r="J43" s="61"/>
      <c r="K43" s="61"/>
      <c r="L43" s="61"/>
      <c r="M43" s="62"/>
      <c r="N43" s="62"/>
      <c r="O43" s="62"/>
      <c r="P43" s="62"/>
      <c r="Q43" s="63"/>
      <c r="R43" s="63"/>
      <c r="S43" s="63"/>
      <c r="T43" s="63"/>
      <c r="U43" s="63"/>
      <c r="V43" s="207"/>
      <c r="AF43" s="207"/>
      <c r="AP43" s="207"/>
      <c r="AZ43" s="207"/>
    </row>
    <row r="44" spans="3:52" s="49" customFormat="1" ht="15.75" x14ac:dyDescent="0.25">
      <c r="C44" s="48"/>
      <c r="D44" s="60"/>
      <c r="E44" s="60"/>
      <c r="F44" s="60"/>
      <c r="G44" s="50"/>
      <c r="H44" s="61"/>
      <c r="I44" s="61"/>
      <c r="J44" s="61"/>
      <c r="K44" s="61"/>
      <c r="L44" s="61"/>
      <c r="M44" s="62"/>
      <c r="N44" s="62"/>
      <c r="O44" s="62"/>
      <c r="P44" s="62"/>
      <c r="Q44" s="63"/>
      <c r="R44" s="63"/>
      <c r="S44" s="63"/>
      <c r="T44" s="63"/>
      <c r="U44" s="63"/>
      <c r="V44" s="207"/>
      <c r="AF44" s="207"/>
      <c r="AP44" s="207"/>
      <c r="AZ44" s="207"/>
    </row>
    <row r="45" spans="3:52" s="49" customFormat="1" ht="15.75" x14ac:dyDescent="0.25">
      <c r="C45" s="48"/>
      <c r="D45" s="60"/>
      <c r="E45" s="60"/>
      <c r="F45" s="60"/>
      <c r="G45" s="50"/>
      <c r="H45" s="61"/>
      <c r="I45" s="61"/>
      <c r="J45" s="61"/>
      <c r="K45" s="61"/>
      <c r="L45" s="61"/>
      <c r="M45" s="62"/>
      <c r="N45" s="62"/>
      <c r="O45" s="62"/>
      <c r="P45" s="62"/>
      <c r="Q45" s="63"/>
      <c r="R45" s="63"/>
      <c r="S45" s="63"/>
      <c r="T45" s="63"/>
      <c r="U45" s="63"/>
      <c r="V45" s="207"/>
      <c r="AF45" s="207"/>
      <c r="AP45" s="207"/>
      <c r="AZ45" s="207"/>
    </row>
    <row r="46" spans="3:52" s="49" customFormat="1" ht="15.75" x14ac:dyDescent="0.25">
      <c r="C46" s="48"/>
      <c r="D46" s="60"/>
      <c r="E46" s="60"/>
      <c r="F46" s="60"/>
      <c r="G46" s="50"/>
      <c r="H46" s="61"/>
      <c r="I46" s="61"/>
      <c r="J46" s="61"/>
      <c r="K46" s="61"/>
      <c r="L46" s="61"/>
      <c r="M46" s="62"/>
      <c r="N46" s="62"/>
      <c r="O46" s="62"/>
      <c r="P46" s="62"/>
      <c r="Q46" s="63"/>
      <c r="R46" s="63"/>
      <c r="S46" s="63"/>
      <c r="T46" s="63"/>
      <c r="U46" s="63"/>
      <c r="V46" s="207"/>
      <c r="AF46" s="207"/>
      <c r="AP46" s="207"/>
      <c r="AZ46" s="207"/>
    </row>
    <row r="47" spans="3:52" s="49" customFormat="1" ht="15.75" x14ac:dyDescent="0.25">
      <c r="C47" s="48"/>
      <c r="D47" s="60"/>
      <c r="E47" s="60"/>
      <c r="F47" s="60"/>
      <c r="G47" s="50"/>
      <c r="H47" s="61"/>
      <c r="I47" s="61"/>
      <c r="J47" s="61"/>
      <c r="K47" s="61"/>
      <c r="L47" s="61"/>
      <c r="M47" s="62"/>
      <c r="N47" s="62"/>
      <c r="O47" s="62"/>
      <c r="P47" s="62"/>
      <c r="Q47" s="63"/>
      <c r="R47" s="63"/>
      <c r="S47" s="63"/>
      <c r="T47" s="63"/>
      <c r="U47" s="63"/>
      <c r="V47" s="207"/>
      <c r="AF47" s="207"/>
      <c r="AP47" s="207"/>
      <c r="AZ47" s="207"/>
    </row>
    <row r="48" spans="3:52" s="49" customFormat="1" ht="15.75" x14ac:dyDescent="0.25">
      <c r="C48" s="48"/>
      <c r="D48" s="60"/>
      <c r="E48" s="60"/>
      <c r="F48" s="60"/>
      <c r="G48" s="50"/>
      <c r="H48" s="61"/>
      <c r="I48" s="61"/>
      <c r="J48" s="61"/>
      <c r="K48" s="61"/>
      <c r="L48" s="61"/>
      <c r="M48" s="62"/>
      <c r="N48" s="62"/>
      <c r="O48" s="62"/>
      <c r="P48" s="62"/>
      <c r="Q48" s="63"/>
      <c r="R48" s="63"/>
      <c r="S48" s="63"/>
      <c r="T48" s="63"/>
      <c r="U48" s="63"/>
      <c r="V48" s="207"/>
      <c r="AF48" s="207"/>
      <c r="AP48" s="207"/>
      <c r="AZ48" s="207"/>
    </row>
    <row r="49" spans="3:52" s="49" customFormat="1" ht="15.75" x14ac:dyDescent="0.25">
      <c r="C49" s="48"/>
      <c r="D49" s="60"/>
      <c r="E49" s="60"/>
      <c r="F49" s="60"/>
      <c r="G49" s="50"/>
      <c r="H49" s="61"/>
      <c r="I49" s="61"/>
      <c r="J49" s="61"/>
      <c r="K49" s="61"/>
      <c r="L49" s="61"/>
      <c r="M49" s="62"/>
      <c r="N49" s="62"/>
      <c r="O49" s="62"/>
      <c r="P49" s="62"/>
      <c r="Q49" s="63"/>
      <c r="R49" s="63"/>
      <c r="S49" s="63"/>
      <c r="T49" s="63"/>
      <c r="U49" s="63"/>
      <c r="V49" s="207"/>
      <c r="AF49" s="207"/>
      <c r="AP49" s="207"/>
      <c r="AZ49" s="207"/>
    </row>
    <row r="50" spans="3:52" s="49" customFormat="1" ht="15.75" x14ac:dyDescent="0.25">
      <c r="C50" s="48"/>
      <c r="D50" s="60"/>
      <c r="E50" s="60"/>
      <c r="F50" s="60"/>
      <c r="G50" s="50"/>
      <c r="H50" s="61"/>
      <c r="I50" s="61"/>
      <c r="J50" s="61"/>
      <c r="K50" s="61"/>
      <c r="L50" s="61"/>
      <c r="M50" s="62"/>
      <c r="N50" s="62"/>
      <c r="O50" s="62"/>
      <c r="P50" s="62"/>
      <c r="Q50" s="63"/>
      <c r="R50" s="63"/>
      <c r="S50" s="63"/>
      <c r="T50" s="63"/>
      <c r="U50" s="63"/>
      <c r="V50" s="207"/>
      <c r="AF50" s="207"/>
      <c r="AP50" s="207"/>
      <c r="AZ50" s="207"/>
    </row>
    <row r="51" spans="3:52" s="49" customFormat="1" ht="15.75" x14ac:dyDescent="0.25">
      <c r="C51" s="48"/>
      <c r="D51" s="60"/>
      <c r="E51" s="60"/>
      <c r="F51" s="60"/>
      <c r="G51" s="50"/>
      <c r="H51" s="61"/>
      <c r="I51" s="61"/>
      <c r="J51" s="61"/>
      <c r="K51" s="61"/>
      <c r="L51" s="61"/>
      <c r="M51" s="62"/>
      <c r="N51" s="62"/>
      <c r="O51" s="62"/>
      <c r="P51" s="62"/>
      <c r="Q51" s="63"/>
      <c r="R51" s="63"/>
      <c r="S51" s="63"/>
      <c r="T51" s="63"/>
      <c r="U51" s="63"/>
      <c r="V51" s="207"/>
      <c r="AF51" s="207"/>
      <c r="AP51" s="207"/>
      <c r="AZ51" s="207"/>
    </row>
    <row r="52" spans="3:52" s="49" customFormat="1" ht="15.75" x14ac:dyDescent="0.25">
      <c r="C52" s="48"/>
      <c r="D52" s="60"/>
      <c r="E52" s="60"/>
      <c r="F52" s="60"/>
      <c r="G52" s="50"/>
      <c r="H52" s="61"/>
      <c r="I52" s="61"/>
      <c r="J52" s="61"/>
      <c r="K52" s="61"/>
      <c r="L52" s="61"/>
      <c r="M52" s="62"/>
      <c r="N52" s="62"/>
      <c r="O52" s="62"/>
      <c r="P52" s="62"/>
      <c r="Q52" s="63"/>
      <c r="R52" s="63"/>
      <c r="S52" s="63"/>
      <c r="T52" s="63"/>
      <c r="U52" s="63"/>
      <c r="V52" s="207"/>
      <c r="AF52" s="207"/>
      <c r="AP52" s="207"/>
      <c r="AZ52" s="207"/>
    </row>
    <row r="53" spans="3:52" s="49" customFormat="1" ht="15.75" x14ac:dyDescent="0.25">
      <c r="C53" s="48"/>
      <c r="D53" s="60"/>
      <c r="E53" s="60"/>
      <c r="F53" s="60"/>
      <c r="G53" s="50"/>
      <c r="H53" s="61"/>
      <c r="I53" s="61"/>
      <c r="J53" s="61"/>
      <c r="K53" s="61"/>
      <c r="L53" s="61"/>
      <c r="M53" s="62"/>
      <c r="N53" s="62"/>
      <c r="O53" s="62"/>
      <c r="P53" s="62"/>
      <c r="Q53" s="63"/>
      <c r="R53" s="63"/>
      <c r="S53" s="63"/>
      <c r="T53" s="63"/>
      <c r="U53" s="63"/>
      <c r="V53" s="207"/>
      <c r="AF53" s="207"/>
      <c r="AP53" s="207"/>
      <c r="AZ53" s="207"/>
    </row>
    <row r="54" spans="3:52" s="49" customFormat="1" ht="15.75" x14ac:dyDescent="0.25">
      <c r="C54" s="48"/>
      <c r="D54" s="60"/>
      <c r="E54" s="60"/>
      <c r="F54" s="60"/>
      <c r="G54" s="50"/>
      <c r="H54" s="61"/>
      <c r="I54" s="61"/>
      <c r="J54" s="61"/>
      <c r="K54" s="61"/>
      <c r="L54" s="61"/>
      <c r="M54" s="62"/>
      <c r="N54" s="62"/>
      <c r="O54" s="62"/>
      <c r="P54" s="62"/>
      <c r="Q54" s="63"/>
      <c r="R54" s="63"/>
      <c r="S54" s="63"/>
      <c r="T54" s="63"/>
      <c r="U54" s="63"/>
      <c r="V54" s="207"/>
      <c r="AF54" s="207"/>
      <c r="AP54" s="207"/>
      <c r="AZ54" s="207"/>
    </row>
    <row r="55" spans="3:52" s="49" customFormat="1" ht="15.75" x14ac:dyDescent="0.25">
      <c r="C55" s="48"/>
      <c r="D55" s="60"/>
      <c r="E55" s="60"/>
      <c r="F55" s="60"/>
      <c r="G55" s="50"/>
      <c r="H55" s="61"/>
      <c r="I55" s="61"/>
      <c r="J55" s="61"/>
      <c r="K55" s="61"/>
      <c r="L55" s="61"/>
      <c r="M55" s="62"/>
      <c r="N55" s="62"/>
      <c r="O55" s="62"/>
      <c r="P55" s="62"/>
      <c r="Q55" s="63"/>
      <c r="R55" s="63"/>
      <c r="S55" s="63"/>
      <c r="T55" s="63"/>
      <c r="U55" s="63"/>
      <c r="V55" s="207"/>
      <c r="AF55" s="207"/>
      <c r="AP55" s="207"/>
      <c r="AZ55" s="207"/>
    </row>
    <row r="56" spans="3:52" s="49" customFormat="1" ht="15.75" x14ac:dyDescent="0.25">
      <c r="C56" s="48"/>
      <c r="D56" s="60"/>
      <c r="E56" s="60"/>
      <c r="F56" s="60"/>
      <c r="G56" s="50"/>
      <c r="H56" s="61"/>
      <c r="I56" s="61"/>
      <c r="J56" s="61"/>
      <c r="K56" s="61"/>
      <c r="L56" s="61"/>
      <c r="M56" s="62"/>
      <c r="N56" s="62"/>
      <c r="O56" s="62"/>
      <c r="P56" s="62"/>
      <c r="Q56" s="63"/>
      <c r="R56" s="63"/>
      <c r="S56" s="63"/>
      <c r="T56" s="63"/>
      <c r="U56" s="63"/>
      <c r="V56" s="207"/>
      <c r="AF56" s="207"/>
      <c r="AP56" s="207"/>
      <c r="AZ56" s="207"/>
    </row>
    <row r="57" spans="3:52" s="49" customFormat="1" ht="15.75" x14ac:dyDescent="0.25">
      <c r="C57" s="48"/>
      <c r="D57" s="60"/>
      <c r="E57" s="60"/>
      <c r="F57" s="60"/>
      <c r="G57" s="50"/>
      <c r="H57" s="61"/>
      <c r="I57" s="61"/>
      <c r="J57" s="61"/>
      <c r="K57" s="61"/>
      <c r="L57" s="61"/>
      <c r="M57" s="62"/>
      <c r="N57" s="62"/>
      <c r="O57" s="62"/>
      <c r="P57" s="62"/>
      <c r="Q57" s="63"/>
      <c r="R57" s="63"/>
      <c r="S57" s="63"/>
      <c r="T57" s="63"/>
      <c r="U57" s="63"/>
      <c r="V57" s="207"/>
      <c r="AF57" s="207"/>
      <c r="AP57" s="207"/>
      <c r="AZ57" s="207"/>
    </row>
    <row r="58" spans="3:52" s="49" customFormat="1" ht="15.75" x14ac:dyDescent="0.25">
      <c r="C58" s="48"/>
      <c r="D58" s="60"/>
      <c r="E58" s="60"/>
      <c r="F58" s="60"/>
      <c r="G58" s="50"/>
      <c r="H58" s="61"/>
      <c r="I58" s="61"/>
      <c r="J58" s="61"/>
      <c r="K58" s="61"/>
      <c r="L58" s="61"/>
      <c r="M58" s="62"/>
      <c r="N58" s="62"/>
      <c r="O58" s="62"/>
      <c r="P58" s="62"/>
      <c r="Q58" s="63"/>
      <c r="R58" s="63"/>
      <c r="S58" s="63"/>
      <c r="T58" s="63"/>
      <c r="U58" s="63"/>
      <c r="V58" s="207"/>
      <c r="AF58" s="207"/>
      <c r="AP58" s="207"/>
      <c r="AZ58" s="207"/>
    </row>
    <row r="59" spans="3:52" s="49" customFormat="1" ht="15.75" x14ac:dyDescent="0.25">
      <c r="C59" s="48"/>
      <c r="D59" s="60"/>
      <c r="E59" s="60"/>
      <c r="F59" s="60"/>
      <c r="G59" s="50"/>
      <c r="H59" s="61"/>
      <c r="I59" s="61"/>
      <c r="J59" s="61"/>
      <c r="K59" s="61"/>
      <c r="L59" s="61"/>
      <c r="M59" s="62"/>
      <c r="N59" s="62"/>
      <c r="O59" s="62"/>
      <c r="P59" s="62"/>
      <c r="Q59" s="63"/>
      <c r="R59" s="63"/>
      <c r="S59" s="63"/>
      <c r="T59" s="63"/>
      <c r="U59" s="63"/>
      <c r="V59" s="207"/>
      <c r="AF59" s="207"/>
      <c r="AP59" s="207"/>
      <c r="AZ59" s="207"/>
    </row>
    <row r="60" spans="3:52" s="49" customFormat="1" ht="15.75" x14ac:dyDescent="0.25">
      <c r="C60" s="48"/>
      <c r="D60" s="60"/>
      <c r="E60" s="60"/>
      <c r="F60" s="60"/>
      <c r="G60" s="50"/>
      <c r="H60" s="61"/>
      <c r="I60" s="61"/>
      <c r="J60" s="61"/>
      <c r="K60" s="61"/>
      <c r="L60" s="61"/>
      <c r="M60" s="62"/>
      <c r="N60" s="62"/>
      <c r="O60" s="62"/>
      <c r="P60" s="62"/>
      <c r="Q60" s="63"/>
      <c r="R60" s="63"/>
      <c r="S60" s="63"/>
      <c r="T60" s="63"/>
      <c r="U60" s="63"/>
      <c r="V60" s="207"/>
      <c r="AF60" s="207"/>
      <c r="AP60" s="207"/>
      <c r="AZ60" s="207"/>
    </row>
    <row r="61" spans="3:52" s="49" customFormat="1" ht="15.75" x14ac:dyDescent="0.25">
      <c r="C61" s="48"/>
      <c r="D61" s="60"/>
      <c r="E61" s="60"/>
      <c r="F61" s="60"/>
      <c r="G61" s="50"/>
      <c r="H61" s="61"/>
      <c r="I61" s="61"/>
      <c r="J61" s="61"/>
      <c r="K61" s="61"/>
      <c r="L61" s="61"/>
      <c r="M61" s="62"/>
      <c r="N61" s="62"/>
      <c r="O61" s="62"/>
      <c r="P61" s="62"/>
      <c r="Q61" s="63"/>
      <c r="R61" s="63"/>
      <c r="S61" s="63"/>
      <c r="T61" s="63"/>
      <c r="U61" s="63"/>
      <c r="V61" s="207"/>
      <c r="AF61" s="207"/>
      <c r="AP61" s="207"/>
      <c r="AZ61" s="207"/>
    </row>
    <row r="62" spans="3:52" s="49" customFormat="1" ht="15.75" x14ac:dyDescent="0.25">
      <c r="C62" s="48"/>
      <c r="D62" s="60"/>
      <c r="E62" s="60"/>
      <c r="F62" s="60"/>
      <c r="G62" s="50"/>
      <c r="H62" s="61"/>
      <c r="I62" s="61"/>
      <c r="J62" s="61"/>
      <c r="K62" s="61"/>
      <c r="L62" s="61"/>
      <c r="M62" s="62"/>
      <c r="N62" s="62"/>
      <c r="O62" s="62"/>
      <c r="P62" s="62"/>
      <c r="Q62" s="63"/>
      <c r="R62" s="63"/>
      <c r="S62" s="63"/>
      <c r="T62" s="63"/>
      <c r="U62" s="63"/>
      <c r="V62" s="207"/>
      <c r="AF62" s="207"/>
      <c r="AP62" s="207"/>
      <c r="AZ62" s="207"/>
    </row>
    <row r="63" spans="3:52" s="49" customFormat="1" ht="15.75" x14ac:dyDescent="0.25">
      <c r="C63" s="48"/>
      <c r="D63" s="60"/>
      <c r="E63" s="60"/>
      <c r="F63" s="60"/>
      <c r="G63" s="50"/>
      <c r="H63" s="61"/>
      <c r="I63" s="61"/>
      <c r="J63" s="61"/>
      <c r="K63" s="61"/>
      <c r="L63" s="61"/>
      <c r="M63" s="62"/>
      <c r="N63" s="62"/>
      <c r="O63" s="62"/>
      <c r="P63" s="62"/>
      <c r="Q63" s="63"/>
      <c r="R63" s="63"/>
      <c r="S63" s="63"/>
      <c r="T63" s="63"/>
      <c r="U63" s="63"/>
      <c r="V63" s="207"/>
      <c r="AF63" s="207"/>
      <c r="AP63" s="207"/>
      <c r="AZ63" s="207"/>
    </row>
    <row r="64" spans="3:52" s="49" customFormat="1" ht="15.75" x14ac:dyDescent="0.25">
      <c r="C64" s="48"/>
      <c r="D64" s="60"/>
      <c r="E64" s="60"/>
      <c r="F64" s="60"/>
      <c r="G64" s="50"/>
      <c r="H64" s="61"/>
      <c r="I64" s="61"/>
      <c r="J64" s="61"/>
      <c r="K64" s="61"/>
      <c r="L64" s="61"/>
      <c r="M64" s="62"/>
      <c r="N64" s="62"/>
      <c r="O64" s="62"/>
      <c r="P64" s="62"/>
      <c r="Q64" s="63"/>
      <c r="R64" s="63"/>
      <c r="S64" s="63"/>
      <c r="T64" s="63"/>
      <c r="U64" s="63"/>
      <c r="V64" s="207"/>
      <c r="AF64" s="207"/>
      <c r="AP64" s="207"/>
      <c r="AZ64" s="207"/>
    </row>
    <row r="65" spans="3:52" s="49" customFormat="1" ht="15.75" x14ac:dyDescent="0.25">
      <c r="C65" s="48"/>
      <c r="D65" s="60"/>
      <c r="E65" s="60"/>
      <c r="F65" s="60"/>
      <c r="G65" s="50"/>
      <c r="H65" s="61"/>
      <c r="I65" s="61"/>
      <c r="J65" s="61"/>
      <c r="K65" s="61"/>
      <c r="L65" s="61"/>
      <c r="M65" s="62"/>
      <c r="N65" s="62"/>
      <c r="O65" s="62"/>
      <c r="P65" s="62"/>
      <c r="Q65" s="63"/>
      <c r="R65" s="63"/>
      <c r="S65" s="63"/>
      <c r="T65" s="63"/>
      <c r="U65" s="63"/>
      <c r="V65" s="207"/>
      <c r="AF65" s="207"/>
      <c r="AP65" s="207"/>
      <c r="AZ65" s="207"/>
    </row>
    <row r="66" spans="3:52" s="49" customFormat="1" ht="15.75" x14ac:dyDescent="0.25">
      <c r="C66" s="48"/>
      <c r="D66" s="60"/>
      <c r="E66" s="60"/>
      <c r="F66" s="60"/>
      <c r="G66" s="50"/>
      <c r="H66" s="61"/>
      <c r="I66" s="61"/>
      <c r="J66" s="61"/>
      <c r="K66" s="61"/>
      <c r="L66" s="61"/>
      <c r="M66" s="62"/>
      <c r="N66" s="62"/>
      <c r="O66" s="62"/>
      <c r="P66" s="62"/>
      <c r="Q66" s="63"/>
      <c r="R66" s="63"/>
      <c r="S66" s="63"/>
      <c r="T66" s="63"/>
      <c r="U66" s="63"/>
      <c r="V66" s="207"/>
      <c r="AF66" s="207"/>
      <c r="AP66" s="207"/>
      <c r="AZ66" s="207"/>
    </row>
    <row r="67" spans="3:52" s="49" customFormat="1" ht="15.75" x14ac:dyDescent="0.25">
      <c r="C67" s="48"/>
      <c r="D67" s="60"/>
      <c r="E67" s="60"/>
      <c r="F67" s="60"/>
      <c r="G67" s="50"/>
      <c r="H67" s="61"/>
      <c r="I67" s="61"/>
      <c r="J67" s="61"/>
      <c r="K67" s="61"/>
      <c r="L67" s="61"/>
      <c r="M67" s="62"/>
      <c r="N67" s="62"/>
      <c r="O67" s="62"/>
      <c r="P67" s="62"/>
      <c r="Q67" s="63"/>
      <c r="R67" s="63"/>
      <c r="S67" s="63"/>
      <c r="T67" s="63"/>
      <c r="U67" s="63"/>
      <c r="V67" s="207"/>
      <c r="AF67" s="207"/>
      <c r="AP67" s="207"/>
      <c r="AZ67" s="207"/>
    </row>
    <row r="68" spans="3:52" s="49" customFormat="1" ht="15.75" x14ac:dyDescent="0.25">
      <c r="C68" s="48"/>
      <c r="D68" s="60"/>
      <c r="E68" s="60"/>
      <c r="F68" s="60"/>
      <c r="G68" s="50"/>
      <c r="H68" s="61"/>
      <c r="I68" s="61"/>
      <c r="J68" s="61"/>
      <c r="K68" s="61"/>
      <c r="L68" s="61"/>
      <c r="M68" s="62"/>
      <c r="N68" s="62"/>
      <c r="O68" s="62"/>
      <c r="P68" s="62"/>
      <c r="Q68" s="63"/>
      <c r="R68" s="63"/>
      <c r="S68" s="63"/>
      <c r="T68" s="63"/>
      <c r="U68" s="63"/>
      <c r="V68" s="207"/>
      <c r="AF68" s="207"/>
      <c r="AP68" s="207"/>
      <c r="AZ68" s="207"/>
    </row>
    <row r="69" spans="3:52" s="49" customFormat="1" ht="15.75" x14ac:dyDescent="0.25">
      <c r="C69" s="48"/>
      <c r="D69" s="60"/>
      <c r="E69" s="60"/>
      <c r="F69" s="60"/>
      <c r="G69" s="50"/>
      <c r="H69" s="61"/>
      <c r="I69" s="61"/>
      <c r="J69" s="61"/>
      <c r="K69" s="61"/>
      <c r="L69" s="61"/>
      <c r="M69" s="62"/>
      <c r="N69" s="62"/>
      <c r="O69" s="62"/>
      <c r="P69" s="62"/>
      <c r="Q69" s="63"/>
      <c r="R69" s="63"/>
      <c r="S69" s="63"/>
      <c r="T69" s="63"/>
      <c r="U69" s="63"/>
      <c r="V69" s="207"/>
      <c r="AF69" s="207"/>
      <c r="AP69" s="207"/>
      <c r="AZ69" s="207"/>
    </row>
    <row r="70" spans="3:52" s="49" customFormat="1" ht="15.75" x14ac:dyDescent="0.25">
      <c r="C70" s="48"/>
      <c r="D70" s="60"/>
      <c r="E70" s="60"/>
      <c r="F70" s="60"/>
      <c r="G70" s="50"/>
      <c r="H70" s="61"/>
      <c r="I70" s="61"/>
      <c r="J70" s="61"/>
      <c r="K70" s="61"/>
      <c r="L70" s="61"/>
      <c r="M70" s="62"/>
      <c r="N70" s="62"/>
      <c r="O70" s="62"/>
      <c r="P70" s="62"/>
      <c r="Q70" s="63"/>
      <c r="R70" s="63"/>
      <c r="S70" s="63"/>
      <c r="T70" s="63"/>
      <c r="U70" s="63"/>
      <c r="V70" s="207"/>
      <c r="AF70" s="207"/>
      <c r="AP70" s="207"/>
      <c r="AZ70" s="207"/>
    </row>
    <row r="71" spans="3:52" s="49" customFormat="1" ht="15.75" x14ac:dyDescent="0.25">
      <c r="C71" s="48"/>
      <c r="D71" s="60"/>
      <c r="E71" s="60"/>
      <c r="F71" s="60"/>
      <c r="G71" s="50"/>
      <c r="H71" s="61"/>
      <c r="I71" s="61"/>
      <c r="J71" s="61"/>
      <c r="K71" s="61"/>
      <c r="L71" s="61"/>
      <c r="M71" s="62"/>
      <c r="N71" s="62"/>
      <c r="O71" s="62"/>
      <c r="P71" s="62"/>
      <c r="Q71" s="63"/>
      <c r="R71" s="63"/>
      <c r="S71" s="63"/>
      <c r="T71" s="63"/>
      <c r="U71" s="63"/>
      <c r="V71" s="207"/>
      <c r="AF71" s="207"/>
      <c r="AP71" s="207"/>
      <c r="AZ71" s="207"/>
    </row>
    <row r="72" spans="3:52" s="49" customFormat="1" ht="15.75" x14ac:dyDescent="0.25">
      <c r="C72" s="48"/>
      <c r="D72" s="60"/>
      <c r="E72" s="60"/>
      <c r="F72" s="60"/>
      <c r="G72" s="50"/>
      <c r="H72" s="61"/>
      <c r="I72" s="61"/>
      <c r="J72" s="61"/>
      <c r="K72" s="61"/>
      <c r="L72" s="61"/>
      <c r="M72" s="62"/>
      <c r="N72" s="62"/>
      <c r="O72" s="62"/>
      <c r="P72" s="62"/>
      <c r="Q72" s="63"/>
      <c r="R72" s="63"/>
      <c r="S72" s="63"/>
      <c r="T72" s="63"/>
      <c r="U72" s="63"/>
      <c r="V72" s="207"/>
      <c r="AF72" s="207"/>
      <c r="AP72" s="207"/>
      <c r="AZ72" s="207"/>
    </row>
    <row r="73" spans="3:52" s="49" customFormat="1" ht="15.75" x14ac:dyDescent="0.25">
      <c r="C73" s="48"/>
      <c r="D73" s="60"/>
      <c r="E73" s="60"/>
      <c r="F73" s="60"/>
      <c r="G73" s="50"/>
      <c r="H73" s="61"/>
      <c r="I73" s="61"/>
      <c r="J73" s="61"/>
      <c r="K73" s="61"/>
      <c r="L73" s="61"/>
      <c r="M73" s="62"/>
      <c r="N73" s="62"/>
      <c r="O73" s="62"/>
      <c r="P73" s="62"/>
      <c r="Q73" s="63"/>
      <c r="R73" s="63"/>
      <c r="S73" s="63"/>
      <c r="T73" s="63"/>
      <c r="U73" s="63"/>
      <c r="V73" s="207"/>
      <c r="AF73" s="207"/>
      <c r="AP73" s="207"/>
      <c r="AZ73" s="207"/>
    </row>
    <row r="74" spans="3:52" s="49" customFormat="1" ht="15.75" x14ac:dyDescent="0.25">
      <c r="C74" s="48"/>
      <c r="D74" s="60"/>
      <c r="E74" s="60"/>
      <c r="F74" s="60"/>
      <c r="G74" s="50"/>
      <c r="H74" s="61"/>
      <c r="I74" s="61"/>
      <c r="J74" s="61"/>
      <c r="K74" s="61"/>
      <c r="L74" s="61"/>
      <c r="M74" s="62"/>
      <c r="N74" s="62"/>
      <c r="O74" s="62"/>
      <c r="P74" s="62"/>
      <c r="Q74" s="63"/>
      <c r="R74" s="63"/>
      <c r="S74" s="63"/>
      <c r="T74" s="63"/>
      <c r="U74" s="63"/>
      <c r="V74" s="207"/>
      <c r="AF74" s="207"/>
      <c r="AP74" s="207"/>
      <c r="AZ74" s="207"/>
    </row>
    <row r="75" spans="3:52" s="49" customFormat="1" ht="15.75" x14ac:dyDescent="0.25">
      <c r="C75" s="48"/>
      <c r="D75" s="60"/>
      <c r="E75" s="60"/>
      <c r="F75" s="60"/>
      <c r="G75" s="50"/>
      <c r="H75" s="61"/>
      <c r="I75" s="61"/>
      <c r="J75" s="61"/>
      <c r="K75" s="61"/>
      <c r="L75" s="61"/>
      <c r="M75" s="62"/>
      <c r="N75" s="62"/>
      <c r="O75" s="62"/>
      <c r="P75" s="62"/>
      <c r="Q75" s="63"/>
      <c r="R75" s="63"/>
      <c r="S75" s="63"/>
      <c r="T75" s="63"/>
      <c r="U75" s="63"/>
      <c r="V75" s="207"/>
      <c r="AF75" s="207"/>
      <c r="AP75" s="207"/>
      <c r="AZ75" s="207"/>
    </row>
    <row r="76" spans="3:52" s="49" customFormat="1" ht="15.75" x14ac:dyDescent="0.25">
      <c r="C76" s="48"/>
      <c r="D76" s="60"/>
      <c r="E76" s="60"/>
      <c r="F76" s="60"/>
      <c r="G76" s="50"/>
      <c r="H76" s="61"/>
      <c r="I76" s="61"/>
      <c r="J76" s="61"/>
      <c r="K76" s="61"/>
      <c r="L76" s="61"/>
      <c r="M76" s="62"/>
      <c r="N76" s="62"/>
      <c r="O76" s="62"/>
      <c r="P76" s="62"/>
      <c r="Q76" s="63"/>
      <c r="R76" s="63"/>
      <c r="S76" s="63"/>
      <c r="T76" s="63"/>
      <c r="U76" s="63"/>
      <c r="V76" s="207"/>
      <c r="AF76" s="207"/>
      <c r="AP76" s="207"/>
      <c r="AZ76" s="207"/>
    </row>
    <row r="77" spans="3:52" s="49" customFormat="1" ht="15.75" x14ac:dyDescent="0.25">
      <c r="C77" s="48"/>
      <c r="D77" s="60"/>
      <c r="E77" s="60"/>
      <c r="F77" s="60"/>
      <c r="G77" s="50"/>
      <c r="H77" s="61"/>
      <c r="I77" s="61"/>
      <c r="J77" s="61"/>
      <c r="K77" s="61"/>
      <c r="L77" s="61"/>
      <c r="M77" s="62"/>
      <c r="N77" s="62"/>
      <c r="O77" s="62"/>
      <c r="P77" s="62"/>
      <c r="Q77" s="63"/>
      <c r="R77" s="63"/>
      <c r="S77" s="63"/>
      <c r="T77" s="63"/>
      <c r="U77" s="63"/>
      <c r="V77" s="207"/>
      <c r="AF77" s="207"/>
      <c r="AP77" s="207"/>
      <c r="AZ77" s="207"/>
    </row>
    <row r="78" spans="3:52" s="49" customFormat="1" ht="15.75" x14ac:dyDescent="0.25">
      <c r="C78" s="48"/>
      <c r="D78" s="60"/>
      <c r="E78" s="60"/>
      <c r="F78" s="60"/>
      <c r="G78" s="50"/>
      <c r="H78" s="61"/>
      <c r="I78" s="61"/>
      <c r="J78" s="61"/>
      <c r="K78" s="61"/>
      <c r="L78" s="61"/>
      <c r="M78" s="62"/>
      <c r="N78" s="62"/>
      <c r="O78" s="62"/>
      <c r="P78" s="62"/>
      <c r="Q78" s="63"/>
      <c r="R78" s="63"/>
      <c r="S78" s="63"/>
      <c r="T78" s="63"/>
      <c r="U78" s="63"/>
      <c r="V78" s="207"/>
      <c r="AF78" s="207"/>
      <c r="AP78" s="207"/>
      <c r="AZ78" s="207"/>
    </row>
    <row r="79" spans="3:52" s="49" customFormat="1" ht="15.75" x14ac:dyDescent="0.25">
      <c r="C79" s="48"/>
      <c r="D79" s="60"/>
      <c r="E79" s="60"/>
      <c r="F79" s="60"/>
      <c r="G79" s="50"/>
      <c r="H79" s="61"/>
      <c r="I79" s="61"/>
      <c r="J79" s="61"/>
      <c r="K79" s="61"/>
      <c r="L79" s="61"/>
      <c r="M79" s="62"/>
      <c r="N79" s="62"/>
      <c r="O79" s="62"/>
      <c r="P79" s="62"/>
      <c r="Q79" s="63"/>
      <c r="R79" s="63"/>
      <c r="S79" s="63"/>
      <c r="T79" s="63"/>
      <c r="U79" s="63"/>
      <c r="V79" s="207"/>
      <c r="AF79" s="207"/>
      <c r="AP79" s="207"/>
      <c r="AZ79" s="207"/>
    </row>
    <row r="80" spans="3:52" s="49" customFormat="1" ht="15.75" x14ac:dyDescent="0.25">
      <c r="C80" s="48"/>
      <c r="D80" s="60"/>
      <c r="E80" s="60"/>
      <c r="F80" s="60"/>
      <c r="G80" s="50"/>
      <c r="H80" s="61"/>
      <c r="I80" s="61"/>
      <c r="J80" s="61"/>
      <c r="K80" s="61"/>
      <c r="L80" s="61"/>
      <c r="M80" s="62"/>
      <c r="N80" s="62"/>
      <c r="O80" s="62"/>
      <c r="P80" s="62"/>
      <c r="Q80" s="63"/>
      <c r="R80" s="63"/>
      <c r="S80" s="63"/>
      <c r="T80" s="63"/>
      <c r="U80" s="63"/>
      <c r="V80" s="207"/>
      <c r="AF80" s="207"/>
      <c r="AP80" s="207"/>
      <c r="AZ80" s="207"/>
    </row>
    <row r="81" spans="3:52" s="49" customFormat="1" ht="15.75" x14ac:dyDescent="0.25">
      <c r="C81" s="48"/>
      <c r="D81" s="60"/>
      <c r="E81" s="60"/>
      <c r="F81" s="60"/>
      <c r="G81" s="50"/>
      <c r="H81" s="61"/>
      <c r="I81" s="61"/>
      <c r="J81" s="61"/>
      <c r="K81" s="61"/>
      <c r="L81" s="61"/>
      <c r="M81" s="62"/>
      <c r="N81" s="62"/>
      <c r="O81" s="62"/>
      <c r="P81" s="62"/>
      <c r="Q81" s="63"/>
      <c r="R81" s="63"/>
      <c r="S81" s="63"/>
      <c r="T81" s="63"/>
      <c r="U81" s="63"/>
      <c r="V81" s="207"/>
      <c r="AF81" s="207"/>
      <c r="AP81" s="207"/>
      <c r="AZ81" s="207"/>
    </row>
    <row r="82" spans="3:52" s="49" customFormat="1" ht="15.75" x14ac:dyDescent="0.25">
      <c r="C82" s="48"/>
      <c r="D82" s="60"/>
      <c r="E82" s="60"/>
      <c r="F82" s="60"/>
      <c r="G82" s="50"/>
      <c r="H82" s="61"/>
      <c r="I82" s="61"/>
      <c r="J82" s="61"/>
      <c r="K82" s="61"/>
      <c r="L82" s="61"/>
      <c r="M82" s="62"/>
      <c r="N82" s="62"/>
      <c r="O82" s="62"/>
      <c r="P82" s="62"/>
      <c r="Q82" s="63"/>
      <c r="R82" s="63"/>
      <c r="S82" s="63"/>
      <c r="T82" s="63"/>
      <c r="U82" s="63"/>
      <c r="V82" s="207"/>
      <c r="AF82" s="207"/>
      <c r="AP82" s="207"/>
      <c r="AZ82" s="207"/>
    </row>
    <row r="83" spans="3:52" s="49" customFormat="1" ht="15.75" x14ac:dyDescent="0.25">
      <c r="C83" s="48"/>
      <c r="D83" s="60"/>
      <c r="E83" s="60"/>
      <c r="F83" s="60"/>
      <c r="G83" s="50"/>
      <c r="H83" s="61"/>
      <c r="I83" s="61"/>
      <c r="J83" s="61"/>
      <c r="K83" s="61"/>
      <c r="L83" s="61"/>
      <c r="M83" s="62"/>
      <c r="N83" s="62"/>
      <c r="O83" s="62"/>
      <c r="P83" s="62"/>
      <c r="Q83" s="63"/>
      <c r="R83" s="63"/>
      <c r="S83" s="63"/>
      <c r="T83" s="63"/>
      <c r="U83" s="63"/>
      <c r="V83" s="207"/>
      <c r="AF83" s="207"/>
      <c r="AP83" s="207"/>
      <c r="AZ83" s="207"/>
    </row>
    <row r="84" spans="3:52" s="49" customFormat="1" ht="15.75" x14ac:dyDescent="0.25">
      <c r="C84" s="48"/>
      <c r="D84" s="60"/>
      <c r="E84" s="60"/>
      <c r="F84" s="60"/>
      <c r="G84" s="50"/>
      <c r="H84" s="61"/>
      <c r="I84" s="61"/>
      <c r="J84" s="61"/>
      <c r="K84" s="61"/>
      <c r="L84" s="61"/>
      <c r="M84" s="62"/>
      <c r="N84" s="62"/>
      <c r="O84" s="62"/>
      <c r="P84" s="62"/>
      <c r="Q84" s="63"/>
      <c r="R84" s="63"/>
      <c r="S84" s="63"/>
      <c r="T84" s="63"/>
      <c r="U84" s="63"/>
      <c r="V84" s="207"/>
      <c r="AF84" s="207"/>
      <c r="AP84" s="207"/>
      <c r="AZ84" s="207"/>
    </row>
    <row r="85" spans="3:52" s="49" customFormat="1" ht="15.75" x14ac:dyDescent="0.25">
      <c r="C85" s="48"/>
      <c r="D85" s="60"/>
      <c r="E85" s="60"/>
      <c r="F85" s="60"/>
      <c r="G85" s="50"/>
      <c r="H85" s="61"/>
      <c r="I85" s="61"/>
      <c r="J85" s="61"/>
      <c r="K85" s="61"/>
      <c r="L85" s="61"/>
      <c r="M85" s="62"/>
      <c r="N85" s="62"/>
      <c r="O85" s="62"/>
      <c r="P85" s="62"/>
      <c r="Q85" s="63"/>
      <c r="R85" s="63"/>
      <c r="S85" s="63"/>
      <c r="T85" s="63"/>
      <c r="U85" s="63"/>
      <c r="V85" s="207"/>
      <c r="AF85" s="207"/>
      <c r="AP85" s="207"/>
      <c r="AZ85" s="207"/>
    </row>
    <row r="86" spans="3:52" s="49" customFormat="1" ht="15.75" x14ac:dyDescent="0.25">
      <c r="C86" s="48"/>
      <c r="D86" s="60"/>
      <c r="E86" s="60"/>
      <c r="F86" s="60"/>
      <c r="G86" s="50"/>
      <c r="H86" s="61"/>
      <c r="I86" s="61"/>
      <c r="J86" s="61"/>
      <c r="K86" s="61"/>
      <c r="L86" s="61"/>
      <c r="M86" s="62"/>
      <c r="N86" s="62"/>
      <c r="O86" s="62"/>
      <c r="P86" s="62"/>
      <c r="Q86" s="63"/>
      <c r="R86" s="63"/>
      <c r="S86" s="63"/>
      <c r="T86" s="63"/>
      <c r="U86" s="63"/>
      <c r="V86" s="207"/>
      <c r="AF86" s="207"/>
      <c r="AP86" s="207"/>
      <c r="AZ86" s="207"/>
    </row>
    <row r="87" spans="3:52" s="49" customFormat="1" ht="15.75" x14ac:dyDescent="0.25">
      <c r="C87" s="48"/>
      <c r="D87" s="60"/>
      <c r="E87" s="60"/>
      <c r="F87" s="60"/>
      <c r="G87" s="50"/>
      <c r="H87" s="61"/>
      <c r="I87" s="61"/>
      <c r="J87" s="61"/>
      <c r="K87" s="61"/>
      <c r="L87" s="61"/>
      <c r="M87" s="62"/>
      <c r="N87" s="62"/>
      <c r="O87" s="62"/>
      <c r="P87" s="62"/>
      <c r="Q87" s="63"/>
      <c r="R87" s="63"/>
      <c r="S87" s="63"/>
      <c r="T87" s="63"/>
      <c r="U87" s="63"/>
      <c r="V87" s="207"/>
      <c r="AF87" s="207"/>
      <c r="AP87" s="207"/>
      <c r="AZ87" s="207"/>
    </row>
    <row r="88" spans="3:52" s="49" customFormat="1" ht="15.75" x14ac:dyDescent="0.25">
      <c r="C88" s="48"/>
      <c r="D88" s="60"/>
      <c r="E88" s="60"/>
      <c r="F88" s="60"/>
      <c r="G88" s="50"/>
      <c r="H88" s="61"/>
      <c r="I88" s="61"/>
      <c r="J88" s="61"/>
      <c r="K88" s="61"/>
      <c r="L88" s="61"/>
      <c r="M88" s="62"/>
      <c r="N88" s="62"/>
      <c r="O88" s="62"/>
      <c r="P88" s="62"/>
      <c r="Q88" s="63"/>
      <c r="R88" s="63"/>
      <c r="S88" s="63"/>
      <c r="T88" s="63"/>
      <c r="U88" s="63"/>
      <c r="V88" s="207"/>
      <c r="AF88" s="207"/>
      <c r="AP88" s="207"/>
      <c r="AZ88" s="207"/>
    </row>
    <row r="89" spans="3:52" s="49" customFormat="1" ht="15.75" x14ac:dyDescent="0.25">
      <c r="C89" s="48"/>
      <c r="D89" s="60"/>
      <c r="E89" s="60"/>
      <c r="F89" s="60"/>
      <c r="G89" s="50"/>
      <c r="H89" s="61"/>
      <c r="I89" s="61"/>
      <c r="J89" s="61"/>
      <c r="K89" s="61"/>
      <c r="L89" s="61"/>
      <c r="M89" s="62"/>
      <c r="N89" s="62"/>
      <c r="O89" s="62"/>
      <c r="P89" s="62"/>
      <c r="Q89" s="63"/>
      <c r="R89" s="63"/>
      <c r="S89" s="63"/>
      <c r="T89" s="63"/>
      <c r="U89" s="63"/>
      <c r="V89" s="207"/>
      <c r="AF89" s="207"/>
      <c r="AP89" s="207"/>
      <c r="AZ89" s="207"/>
    </row>
    <row r="90" spans="3:52" s="49" customFormat="1" ht="15.75" x14ac:dyDescent="0.25">
      <c r="C90" s="48"/>
      <c r="D90" s="60"/>
      <c r="E90" s="60"/>
      <c r="F90" s="60"/>
      <c r="G90" s="50"/>
      <c r="H90" s="61"/>
      <c r="I90" s="61"/>
      <c r="J90" s="61"/>
      <c r="K90" s="61"/>
      <c r="L90" s="61"/>
      <c r="M90" s="62"/>
      <c r="N90" s="62"/>
      <c r="O90" s="62"/>
      <c r="P90" s="62"/>
      <c r="Q90" s="63"/>
      <c r="R90" s="63"/>
      <c r="S90" s="63"/>
      <c r="T90" s="63"/>
      <c r="U90" s="63"/>
      <c r="V90" s="207"/>
      <c r="AF90" s="207"/>
      <c r="AP90" s="207"/>
      <c r="AZ90" s="207"/>
    </row>
    <row r="91" spans="3:52" s="49" customFormat="1" ht="15.75" x14ac:dyDescent="0.25">
      <c r="C91" s="48"/>
      <c r="D91" s="60"/>
      <c r="E91" s="60"/>
      <c r="F91" s="60"/>
      <c r="G91" s="50"/>
      <c r="H91" s="61"/>
      <c r="I91" s="61"/>
      <c r="J91" s="61"/>
      <c r="K91" s="61"/>
      <c r="L91" s="61"/>
      <c r="M91" s="62"/>
      <c r="N91" s="62"/>
      <c r="O91" s="62"/>
      <c r="P91" s="62"/>
      <c r="Q91" s="63"/>
      <c r="R91" s="63"/>
      <c r="S91" s="63"/>
      <c r="T91" s="63"/>
      <c r="U91" s="63"/>
      <c r="V91" s="207"/>
      <c r="AF91" s="207"/>
      <c r="AP91" s="207"/>
      <c r="AZ91" s="207"/>
    </row>
    <row r="92" spans="3:52" s="49" customFormat="1" ht="15.75" x14ac:dyDescent="0.25">
      <c r="C92" s="48"/>
      <c r="D92" s="60"/>
      <c r="E92" s="60"/>
      <c r="F92" s="60"/>
      <c r="G92" s="50"/>
      <c r="H92" s="61"/>
      <c r="I92" s="61"/>
      <c r="J92" s="61"/>
      <c r="K92" s="61"/>
      <c r="L92" s="61"/>
      <c r="M92" s="62"/>
      <c r="N92" s="62"/>
      <c r="O92" s="62"/>
      <c r="P92" s="62"/>
      <c r="Q92" s="63"/>
      <c r="R92" s="63"/>
      <c r="S92" s="63"/>
      <c r="T92" s="63"/>
      <c r="U92" s="63"/>
      <c r="V92" s="207"/>
      <c r="AF92" s="207"/>
      <c r="AP92" s="207"/>
      <c r="AZ92" s="207"/>
    </row>
    <row r="93" spans="3:52" s="49" customFormat="1" ht="15.75" x14ac:dyDescent="0.25">
      <c r="C93" s="48"/>
      <c r="D93" s="60"/>
      <c r="E93" s="60"/>
      <c r="F93" s="60"/>
      <c r="G93" s="50"/>
      <c r="H93" s="61"/>
      <c r="I93" s="61"/>
      <c r="J93" s="61"/>
      <c r="K93" s="61"/>
      <c r="L93" s="61"/>
      <c r="M93" s="62"/>
      <c r="N93" s="62"/>
      <c r="O93" s="62"/>
      <c r="P93" s="62"/>
      <c r="Q93" s="63"/>
      <c r="R93" s="63"/>
      <c r="S93" s="63"/>
      <c r="T93" s="63"/>
      <c r="U93" s="63"/>
      <c r="V93" s="207"/>
      <c r="AF93" s="207"/>
      <c r="AP93" s="207"/>
      <c r="AZ93" s="207"/>
    </row>
    <row r="94" spans="3:52" s="49" customFormat="1" ht="15.75" x14ac:dyDescent="0.25">
      <c r="C94" s="48"/>
      <c r="D94" s="60"/>
      <c r="E94" s="60"/>
      <c r="F94" s="60"/>
      <c r="G94" s="50"/>
      <c r="H94" s="61"/>
      <c r="I94" s="61"/>
      <c r="J94" s="61"/>
      <c r="K94" s="61"/>
      <c r="L94" s="61"/>
      <c r="M94" s="62"/>
      <c r="N94" s="62"/>
      <c r="O94" s="62"/>
      <c r="P94" s="62"/>
      <c r="Q94" s="63"/>
      <c r="R94" s="63"/>
      <c r="S94" s="63"/>
      <c r="T94" s="63"/>
      <c r="U94" s="63"/>
      <c r="V94" s="207"/>
      <c r="AF94" s="207"/>
      <c r="AP94" s="207"/>
      <c r="AZ94" s="207"/>
    </row>
    <row r="95" spans="3:52" s="49" customFormat="1" ht="15.75" x14ac:dyDescent="0.25">
      <c r="C95" s="48"/>
      <c r="D95" s="60"/>
      <c r="E95" s="60"/>
      <c r="F95" s="60"/>
      <c r="G95" s="50"/>
      <c r="H95" s="61"/>
      <c r="I95" s="61"/>
      <c r="J95" s="61"/>
      <c r="K95" s="61"/>
      <c r="L95" s="61"/>
      <c r="M95" s="62"/>
      <c r="N95" s="62"/>
      <c r="O95" s="62"/>
      <c r="P95" s="62"/>
      <c r="Q95" s="63"/>
      <c r="R95" s="63"/>
      <c r="S95" s="63"/>
      <c r="T95" s="63"/>
      <c r="U95" s="63"/>
      <c r="V95" s="207"/>
      <c r="AF95" s="207"/>
      <c r="AP95" s="207"/>
      <c r="AZ95" s="207"/>
    </row>
    <row r="96" spans="3:52" s="49" customFormat="1" ht="15.75" x14ac:dyDescent="0.25">
      <c r="C96" s="48"/>
      <c r="D96" s="60"/>
      <c r="E96" s="60"/>
      <c r="F96" s="60"/>
      <c r="G96" s="50"/>
      <c r="H96" s="61"/>
      <c r="I96" s="61"/>
      <c r="J96" s="61"/>
      <c r="K96" s="61"/>
      <c r="L96" s="61"/>
      <c r="M96" s="62"/>
      <c r="N96" s="62"/>
      <c r="O96" s="62"/>
      <c r="P96" s="62"/>
      <c r="Q96" s="63"/>
      <c r="R96" s="63"/>
      <c r="S96" s="63"/>
      <c r="T96" s="63"/>
      <c r="U96" s="63"/>
      <c r="V96" s="207"/>
      <c r="AF96" s="207"/>
      <c r="AP96" s="207"/>
      <c r="AZ96" s="207"/>
    </row>
    <row r="97" spans="3:52" s="49" customFormat="1" ht="15.75" x14ac:dyDescent="0.25">
      <c r="C97" s="48"/>
      <c r="D97" s="60"/>
      <c r="E97" s="60"/>
      <c r="F97" s="60"/>
      <c r="G97" s="50"/>
      <c r="H97" s="61"/>
      <c r="I97" s="61"/>
      <c r="J97" s="61"/>
      <c r="K97" s="61"/>
      <c r="L97" s="61"/>
      <c r="M97" s="62"/>
      <c r="N97" s="62"/>
      <c r="O97" s="62"/>
      <c r="P97" s="62"/>
      <c r="Q97" s="63"/>
      <c r="R97" s="63"/>
      <c r="S97" s="63"/>
      <c r="T97" s="63"/>
      <c r="U97" s="63"/>
      <c r="V97" s="207"/>
      <c r="AF97" s="207"/>
      <c r="AP97" s="207"/>
      <c r="AZ97" s="207"/>
    </row>
    <row r="98" spans="3:52" s="49" customFormat="1" ht="15.75" x14ac:dyDescent="0.25">
      <c r="C98" s="48"/>
      <c r="D98" s="60"/>
      <c r="E98" s="60"/>
      <c r="F98" s="60"/>
      <c r="G98" s="50"/>
      <c r="H98" s="61"/>
      <c r="I98" s="61"/>
      <c r="J98" s="61"/>
      <c r="K98" s="61"/>
      <c r="L98" s="61"/>
      <c r="M98" s="62"/>
      <c r="N98" s="62"/>
      <c r="O98" s="62"/>
      <c r="P98" s="62"/>
      <c r="Q98" s="63"/>
      <c r="R98" s="63"/>
      <c r="S98" s="63"/>
      <c r="T98" s="63"/>
      <c r="U98" s="63"/>
      <c r="V98" s="207"/>
      <c r="AF98" s="207"/>
      <c r="AP98" s="207"/>
      <c r="AZ98" s="207"/>
    </row>
    <row r="99" spans="3:52" s="49" customFormat="1" ht="15.75" x14ac:dyDescent="0.25">
      <c r="C99" s="48"/>
      <c r="D99" s="60"/>
      <c r="E99" s="60"/>
      <c r="F99" s="60"/>
      <c r="G99" s="50"/>
      <c r="H99" s="61"/>
      <c r="I99" s="61"/>
      <c r="J99" s="61"/>
      <c r="K99" s="61"/>
      <c r="L99" s="61"/>
      <c r="M99" s="62"/>
      <c r="N99" s="62"/>
      <c r="O99" s="62"/>
      <c r="P99" s="62"/>
      <c r="Q99" s="63"/>
      <c r="R99" s="63"/>
      <c r="S99" s="63"/>
      <c r="T99" s="63"/>
      <c r="U99" s="63"/>
      <c r="V99" s="207"/>
      <c r="AF99" s="207"/>
      <c r="AP99" s="207"/>
      <c r="AZ99" s="207"/>
    </row>
    <row r="100" spans="3:52" s="49" customFormat="1" ht="15.75" x14ac:dyDescent="0.25">
      <c r="C100" s="48"/>
      <c r="D100" s="60"/>
      <c r="E100" s="60"/>
      <c r="F100" s="60"/>
      <c r="G100" s="50"/>
      <c r="H100" s="61"/>
      <c r="I100" s="61"/>
      <c r="J100" s="61"/>
      <c r="K100" s="61"/>
      <c r="L100" s="61"/>
      <c r="M100" s="62"/>
      <c r="N100" s="62"/>
      <c r="O100" s="62"/>
      <c r="P100" s="62"/>
      <c r="Q100" s="63"/>
      <c r="R100" s="63"/>
      <c r="S100" s="63"/>
      <c r="T100" s="63"/>
      <c r="U100" s="63"/>
      <c r="V100" s="207"/>
      <c r="AF100" s="207"/>
      <c r="AP100" s="207"/>
      <c r="AZ100" s="207"/>
    </row>
    <row r="101" spans="3:52" s="49" customFormat="1" ht="15.75" x14ac:dyDescent="0.25">
      <c r="C101" s="48"/>
      <c r="D101" s="60"/>
      <c r="E101" s="60"/>
      <c r="F101" s="60"/>
      <c r="G101" s="50"/>
      <c r="H101" s="61"/>
      <c r="I101" s="61"/>
      <c r="J101" s="61"/>
      <c r="K101" s="61"/>
      <c r="L101" s="61"/>
      <c r="M101" s="62"/>
      <c r="N101" s="62"/>
      <c r="O101" s="62"/>
      <c r="P101" s="62"/>
      <c r="Q101" s="63"/>
      <c r="R101" s="63"/>
      <c r="S101" s="63"/>
      <c r="T101" s="63"/>
      <c r="U101" s="63"/>
      <c r="V101" s="207"/>
      <c r="AF101" s="207"/>
      <c r="AP101" s="207"/>
      <c r="AZ101" s="207"/>
    </row>
    <row r="102" spans="3:52" s="49" customFormat="1" ht="15.75" x14ac:dyDescent="0.25">
      <c r="C102" s="48"/>
      <c r="D102" s="60"/>
      <c r="E102" s="60"/>
      <c r="F102" s="60"/>
      <c r="G102" s="50"/>
      <c r="H102" s="61"/>
      <c r="I102" s="61"/>
      <c r="J102" s="61"/>
      <c r="K102" s="61"/>
      <c r="L102" s="61"/>
      <c r="M102" s="62"/>
      <c r="N102" s="62"/>
      <c r="O102" s="62"/>
      <c r="P102" s="62"/>
      <c r="Q102" s="63"/>
      <c r="R102" s="63"/>
      <c r="S102" s="63"/>
      <c r="T102" s="63"/>
      <c r="U102" s="63"/>
      <c r="V102" s="207"/>
      <c r="AF102" s="207"/>
      <c r="AP102" s="207"/>
      <c r="AZ102" s="207"/>
    </row>
    <row r="103" spans="3:52" s="49" customFormat="1" ht="15.75" x14ac:dyDescent="0.25">
      <c r="C103" s="48"/>
      <c r="D103" s="60"/>
      <c r="E103" s="60"/>
      <c r="F103" s="60"/>
      <c r="G103" s="50"/>
      <c r="H103" s="61"/>
      <c r="I103" s="61"/>
      <c r="J103" s="61"/>
      <c r="K103" s="61"/>
      <c r="L103" s="61"/>
      <c r="M103" s="62"/>
      <c r="N103" s="62"/>
      <c r="O103" s="62"/>
      <c r="P103" s="62"/>
      <c r="Q103" s="63"/>
      <c r="R103" s="63"/>
      <c r="S103" s="63"/>
      <c r="T103" s="63"/>
      <c r="U103" s="63"/>
      <c r="V103" s="207"/>
      <c r="AF103" s="207"/>
      <c r="AP103" s="207"/>
      <c r="AZ103" s="207"/>
    </row>
    <row r="104" spans="3:52" s="49" customFormat="1" ht="15.75" x14ac:dyDescent="0.25">
      <c r="C104" s="48"/>
      <c r="D104" s="60"/>
      <c r="E104" s="60"/>
      <c r="F104" s="60"/>
      <c r="G104" s="50"/>
      <c r="H104" s="61"/>
      <c r="I104" s="61"/>
      <c r="J104" s="61"/>
      <c r="K104" s="61"/>
      <c r="L104" s="61"/>
      <c r="M104" s="62"/>
      <c r="N104" s="62"/>
      <c r="O104" s="62"/>
      <c r="P104" s="62"/>
      <c r="Q104" s="63"/>
      <c r="R104" s="63"/>
      <c r="S104" s="63"/>
      <c r="T104" s="63"/>
      <c r="U104" s="63"/>
      <c r="V104" s="207"/>
      <c r="AF104" s="207"/>
      <c r="AP104" s="207"/>
      <c r="AZ104" s="207"/>
    </row>
    <row r="105" spans="3:52" s="49" customFormat="1" ht="15.75" x14ac:dyDescent="0.25">
      <c r="C105" s="48"/>
      <c r="D105" s="60"/>
      <c r="E105" s="60"/>
      <c r="F105" s="60"/>
      <c r="G105" s="50"/>
      <c r="H105" s="61"/>
      <c r="I105" s="61"/>
      <c r="J105" s="61"/>
      <c r="K105" s="61"/>
      <c r="L105" s="61"/>
      <c r="M105" s="62"/>
      <c r="N105" s="62"/>
      <c r="O105" s="62"/>
      <c r="P105" s="62"/>
      <c r="Q105" s="63"/>
      <c r="R105" s="63"/>
      <c r="S105" s="63"/>
      <c r="T105" s="63"/>
      <c r="U105" s="63"/>
      <c r="V105" s="207"/>
      <c r="AF105" s="207"/>
      <c r="AP105" s="207"/>
      <c r="AZ105" s="207"/>
    </row>
    <row r="106" spans="3:52" s="49" customFormat="1" ht="15.75" x14ac:dyDescent="0.25">
      <c r="C106" s="48"/>
      <c r="D106" s="60"/>
      <c r="E106" s="60"/>
      <c r="F106" s="60"/>
      <c r="G106" s="50"/>
      <c r="H106" s="61"/>
      <c r="I106" s="61"/>
      <c r="J106" s="61"/>
      <c r="K106" s="61"/>
      <c r="L106" s="61"/>
      <c r="M106" s="62"/>
      <c r="N106" s="62"/>
      <c r="O106" s="62"/>
      <c r="P106" s="62"/>
      <c r="Q106" s="63"/>
      <c r="R106" s="63"/>
      <c r="S106" s="63"/>
      <c r="T106" s="63"/>
      <c r="U106" s="63"/>
      <c r="V106" s="207"/>
      <c r="AF106" s="207"/>
      <c r="AP106" s="207"/>
      <c r="AZ106" s="207"/>
    </row>
    <row r="107" spans="3:52" s="49" customFormat="1" ht="15.75" x14ac:dyDescent="0.25">
      <c r="C107" s="48"/>
      <c r="D107" s="60"/>
      <c r="E107" s="60"/>
      <c r="F107" s="60"/>
      <c r="G107" s="50"/>
      <c r="H107" s="61"/>
      <c r="I107" s="61"/>
      <c r="J107" s="61"/>
      <c r="K107" s="61"/>
      <c r="L107" s="61"/>
      <c r="M107" s="62"/>
      <c r="N107" s="62"/>
      <c r="O107" s="62"/>
      <c r="P107" s="62"/>
      <c r="Q107" s="63"/>
      <c r="R107" s="63"/>
      <c r="S107" s="63"/>
      <c r="T107" s="63"/>
      <c r="U107" s="63"/>
      <c r="V107" s="207"/>
      <c r="AF107" s="207"/>
      <c r="AP107" s="207"/>
      <c r="AZ107" s="207"/>
    </row>
    <row r="108" spans="3:52" s="49" customFormat="1" ht="15.75" x14ac:dyDescent="0.25">
      <c r="C108" s="48"/>
      <c r="D108" s="60"/>
      <c r="E108" s="60"/>
      <c r="F108" s="60"/>
      <c r="G108" s="50"/>
      <c r="H108" s="61"/>
      <c r="I108" s="61"/>
      <c r="J108" s="61"/>
      <c r="K108" s="61"/>
      <c r="L108" s="61"/>
      <c r="M108" s="62"/>
      <c r="N108" s="62"/>
      <c r="O108" s="62"/>
      <c r="P108" s="62"/>
      <c r="Q108" s="63"/>
      <c r="R108" s="63"/>
      <c r="S108" s="63"/>
      <c r="T108" s="63"/>
      <c r="U108" s="63"/>
      <c r="V108" s="207"/>
      <c r="AF108" s="207"/>
      <c r="AP108" s="207"/>
      <c r="AZ108" s="207"/>
    </row>
    <row r="109" spans="3:52" s="49" customFormat="1" ht="15.75" x14ac:dyDescent="0.25">
      <c r="C109" s="48"/>
      <c r="D109" s="60"/>
      <c r="E109" s="60"/>
      <c r="F109" s="60"/>
      <c r="G109" s="50"/>
      <c r="H109" s="61"/>
      <c r="I109" s="61"/>
      <c r="J109" s="61"/>
      <c r="K109" s="61"/>
      <c r="L109" s="61"/>
      <c r="M109" s="62"/>
      <c r="N109" s="62"/>
      <c r="O109" s="62"/>
      <c r="P109" s="62"/>
      <c r="Q109" s="63"/>
      <c r="R109" s="63"/>
      <c r="S109" s="63"/>
      <c r="T109" s="63"/>
      <c r="U109" s="63"/>
      <c r="V109" s="207"/>
      <c r="AF109" s="207"/>
      <c r="AP109" s="207"/>
      <c r="AZ109" s="207"/>
    </row>
    <row r="110" spans="3:52" s="49" customFormat="1" ht="15.75" x14ac:dyDescent="0.25">
      <c r="C110" s="48"/>
      <c r="D110" s="60"/>
      <c r="E110" s="60"/>
      <c r="F110" s="60"/>
      <c r="G110" s="50"/>
      <c r="H110" s="61"/>
      <c r="I110" s="61"/>
      <c r="J110" s="61"/>
      <c r="K110" s="61"/>
      <c r="L110" s="61"/>
      <c r="M110" s="62"/>
      <c r="N110" s="62"/>
      <c r="O110" s="62"/>
      <c r="P110" s="62"/>
      <c r="Q110" s="63"/>
      <c r="R110" s="63"/>
      <c r="S110" s="63"/>
      <c r="T110" s="63"/>
      <c r="U110" s="63"/>
      <c r="V110" s="207"/>
      <c r="AF110" s="207"/>
      <c r="AP110" s="207"/>
      <c r="AZ110" s="207"/>
    </row>
    <row r="111" spans="3:52" s="49" customFormat="1" ht="15.75" x14ac:dyDescent="0.25">
      <c r="C111" s="48"/>
      <c r="D111" s="60"/>
      <c r="E111" s="60"/>
      <c r="F111" s="60"/>
      <c r="G111" s="50"/>
      <c r="H111" s="61"/>
      <c r="I111" s="61"/>
      <c r="J111" s="61"/>
      <c r="K111" s="61"/>
      <c r="L111" s="61"/>
      <c r="M111" s="62"/>
      <c r="N111" s="62"/>
      <c r="O111" s="62"/>
      <c r="P111" s="62"/>
      <c r="Q111" s="63"/>
      <c r="R111" s="63"/>
      <c r="S111" s="63"/>
      <c r="T111" s="63"/>
      <c r="U111" s="63"/>
      <c r="V111" s="207"/>
      <c r="AF111" s="207"/>
      <c r="AP111" s="207"/>
      <c r="AZ111" s="207"/>
    </row>
    <row r="112" spans="3:52" s="49" customFormat="1" ht="15.75" x14ac:dyDescent="0.25">
      <c r="C112" s="48"/>
      <c r="D112" s="60"/>
      <c r="E112" s="60"/>
      <c r="F112" s="60"/>
      <c r="G112" s="50"/>
      <c r="H112" s="61"/>
      <c r="I112" s="61"/>
      <c r="J112" s="61"/>
      <c r="K112" s="61"/>
      <c r="L112" s="61"/>
      <c r="M112" s="44"/>
      <c r="N112" s="44"/>
      <c r="O112" s="44"/>
      <c r="P112" s="44"/>
      <c r="Q112" s="64"/>
      <c r="R112" s="64"/>
      <c r="V112" s="207"/>
      <c r="AF112" s="207"/>
      <c r="AP112" s="207"/>
      <c r="AZ112" s="207"/>
    </row>
    <row r="113" spans="3:52" s="49" customFormat="1" ht="15.75" x14ac:dyDescent="0.25">
      <c r="C113" s="48"/>
      <c r="D113" s="60"/>
      <c r="E113" s="60"/>
      <c r="F113" s="60"/>
      <c r="G113" s="50"/>
      <c r="H113" s="61"/>
      <c r="I113" s="61"/>
      <c r="J113" s="61"/>
      <c r="K113" s="61"/>
      <c r="L113" s="61"/>
      <c r="M113" s="44"/>
      <c r="N113" s="44"/>
      <c r="O113" s="44"/>
      <c r="P113" s="44"/>
      <c r="Q113" s="64"/>
      <c r="R113" s="64"/>
      <c r="V113" s="207"/>
      <c r="AF113" s="207"/>
      <c r="AP113" s="207"/>
      <c r="AZ113" s="207"/>
    </row>
    <row r="114" spans="3:52" s="49" customFormat="1" ht="15.75" x14ac:dyDescent="0.25">
      <c r="C114" s="48"/>
      <c r="D114" s="60"/>
      <c r="E114" s="60"/>
      <c r="F114" s="60"/>
      <c r="G114" s="50"/>
      <c r="H114" s="61"/>
      <c r="I114" s="61"/>
      <c r="J114" s="61"/>
      <c r="K114" s="61"/>
      <c r="L114" s="61"/>
      <c r="M114" s="44"/>
      <c r="N114" s="44"/>
      <c r="O114" s="44"/>
      <c r="P114" s="44"/>
      <c r="Q114" s="64"/>
      <c r="R114" s="64"/>
      <c r="V114" s="207"/>
      <c r="AF114" s="207"/>
      <c r="AP114" s="207"/>
      <c r="AZ114" s="207"/>
    </row>
    <row r="115" spans="3:52" s="49" customFormat="1" ht="15.75" x14ac:dyDescent="0.25">
      <c r="C115" s="48"/>
      <c r="D115" s="60"/>
      <c r="E115" s="60"/>
      <c r="F115" s="60"/>
      <c r="G115" s="50"/>
      <c r="H115" s="61"/>
      <c r="I115" s="61"/>
      <c r="J115" s="61"/>
      <c r="K115" s="61"/>
      <c r="L115" s="61"/>
      <c r="M115" s="44"/>
      <c r="N115" s="44"/>
      <c r="O115" s="44"/>
      <c r="P115" s="44"/>
      <c r="Q115" s="64"/>
      <c r="R115" s="64"/>
      <c r="V115" s="207"/>
      <c r="AF115" s="207"/>
      <c r="AP115" s="207"/>
      <c r="AZ115" s="207"/>
    </row>
    <row r="116" spans="3:52" s="49" customFormat="1" ht="15.75" x14ac:dyDescent="0.25">
      <c r="C116" s="48"/>
      <c r="D116" s="60"/>
      <c r="E116" s="60"/>
      <c r="F116" s="60"/>
      <c r="G116" s="50"/>
      <c r="H116" s="61"/>
      <c r="I116" s="61"/>
      <c r="J116" s="61"/>
      <c r="K116" s="61"/>
      <c r="L116" s="61"/>
      <c r="M116" s="44"/>
      <c r="N116" s="44"/>
      <c r="O116" s="44"/>
      <c r="P116" s="44"/>
      <c r="Q116" s="64"/>
      <c r="R116" s="64"/>
      <c r="V116" s="207"/>
      <c r="AF116" s="207"/>
      <c r="AP116" s="207"/>
      <c r="AZ116" s="207"/>
    </row>
    <row r="117" spans="3:52" s="49" customFormat="1" ht="15.75" x14ac:dyDescent="0.25">
      <c r="C117" s="48"/>
      <c r="D117" s="60"/>
      <c r="E117" s="60"/>
      <c r="F117" s="60"/>
      <c r="G117" s="50"/>
      <c r="H117" s="61"/>
      <c r="I117" s="61"/>
      <c r="J117" s="61"/>
      <c r="K117" s="61"/>
      <c r="L117" s="61"/>
      <c r="M117" s="44"/>
      <c r="N117" s="44"/>
      <c r="O117" s="44"/>
      <c r="P117" s="44"/>
      <c r="Q117" s="64"/>
      <c r="R117" s="64"/>
      <c r="V117" s="207"/>
      <c r="AF117" s="207"/>
      <c r="AP117" s="207"/>
      <c r="AZ117" s="207"/>
    </row>
    <row r="118" spans="3:52" s="49" customFormat="1" ht="15.75" x14ac:dyDescent="0.25">
      <c r="C118" s="48"/>
      <c r="D118" s="60"/>
      <c r="E118" s="60"/>
      <c r="F118" s="60"/>
      <c r="G118" s="50"/>
      <c r="H118" s="61"/>
      <c r="I118" s="61"/>
      <c r="J118" s="61"/>
      <c r="K118" s="61"/>
      <c r="L118" s="61"/>
      <c r="M118" s="44"/>
      <c r="N118" s="44"/>
      <c r="O118" s="44"/>
      <c r="P118" s="44"/>
      <c r="Q118" s="64"/>
      <c r="R118" s="64"/>
      <c r="V118" s="207"/>
      <c r="AF118" s="207"/>
      <c r="AP118" s="207"/>
      <c r="AZ118" s="207"/>
    </row>
    <row r="119" spans="3:52" s="49" customFormat="1" ht="15.75" x14ac:dyDescent="0.25">
      <c r="C119" s="48"/>
      <c r="D119" s="60"/>
      <c r="E119" s="60"/>
      <c r="F119" s="60"/>
      <c r="G119" s="50"/>
      <c r="H119" s="61"/>
      <c r="I119" s="61"/>
      <c r="J119" s="61"/>
      <c r="K119" s="61"/>
      <c r="L119" s="61"/>
      <c r="M119" s="44"/>
      <c r="N119" s="44"/>
      <c r="O119" s="44"/>
      <c r="P119" s="44"/>
      <c r="Q119" s="64"/>
      <c r="R119" s="64"/>
      <c r="V119" s="207"/>
      <c r="AF119" s="207"/>
      <c r="AP119" s="207"/>
      <c r="AZ119" s="207"/>
    </row>
    <row r="120" spans="3:52" s="49" customFormat="1" ht="15.75" x14ac:dyDescent="0.25">
      <c r="C120" s="48"/>
      <c r="D120" s="60"/>
      <c r="E120" s="60"/>
      <c r="F120" s="60"/>
      <c r="G120" s="50"/>
      <c r="H120" s="61"/>
      <c r="I120" s="61"/>
      <c r="J120" s="61"/>
      <c r="K120" s="61"/>
      <c r="L120" s="61"/>
      <c r="M120" s="44"/>
      <c r="N120" s="44"/>
      <c r="O120" s="44"/>
      <c r="P120" s="44"/>
      <c r="Q120" s="64"/>
      <c r="R120" s="64"/>
      <c r="V120" s="207"/>
      <c r="AF120" s="207"/>
      <c r="AP120" s="207"/>
      <c r="AZ120" s="207"/>
    </row>
    <row r="121" spans="3:52" s="49" customFormat="1" ht="15.75" x14ac:dyDescent="0.25">
      <c r="C121" s="48"/>
      <c r="D121" s="60"/>
      <c r="E121" s="60"/>
      <c r="F121" s="60"/>
      <c r="G121" s="50"/>
      <c r="H121" s="61"/>
      <c r="I121" s="61"/>
      <c r="J121" s="61"/>
      <c r="K121" s="61"/>
      <c r="L121" s="61"/>
      <c r="M121" s="44"/>
      <c r="N121" s="44"/>
      <c r="O121" s="44"/>
      <c r="P121" s="44"/>
      <c r="Q121" s="64"/>
      <c r="R121" s="64"/>
      <c r="V121" s="207"/>
      <c r="AF121" s="207"/>
      <c r="AP121" s="207"/>
      <c r="AZ121" s="207"/>
    </row>
    <row r="122" spans="3:52" s="49" customFormat="1" ht="15.75" x14ac:dyDescent="0.25">
      <c r="C122" s="48"/>
      <c r="D122" s="60"/>
      <c r="E122" s="60"/>
      <c r="F122" s="60"/>
      <c r="G122" s="50"/>
      <c r="H122" s="61"/>
      <c r="I122" s="61"/>
      <c r="J122" s="61"/>
      <c r="K122" s="61"/>
      <c r="L122" s="61"/>
      <c r="M122" s="44"/>
      <c r="N122" s="44"/>
      <c r="O122" s="44"/>
      <c r="P122" s="44"/>
      <c r="Q122" s="64"/>
      <c r="R122" s="64"/>
      <c r="V122" s="207"/>
      <c r="AF122" s="207"/>
      <c r="AP122" s="207"/>
      <c r="AZ122" s="207"/>
    </row>
    <row r="123" spans="3:52" s="49" customFormat="1" ht="15.75" x14ac:dyDescent="0.25">
      <c r="C123" s="48"/>
      <c r="D123" s="60"/>
      <c r="E123" s="60"/>
      <c r="F123" s="60"/>
      <c r="G123" s="50"/>
      <c r="H123" s="61"/>
      <c r="I123" s="61"/>
      <c r="J123" s="61"/>
      <c r="K123" s="61"/>
      <c r="L123" s="61"/>
      <c r="M123" s="44"/>
      <c r="N123" s="44"/>
      <c r="O123" s="44"/>
      <c r="P123" s="44"/>
      <c r="Q123" s="64"/>
      <c r="R123" s="64"/>
      <c r="V123" s="207"/>
      <c r="AF123" s="207"/>
      <c r="AP123" s="207"/>
      <c r="AZ123" s="207"/>
    </row>
    <row r="124" spans="3:52" s="49" customFormat="1" ht="15.75" x14ac:dyDescent="0.25">
      <c r="C124" s="48"/>
      <c r="D124" s="60"/>
      <c r="E124" s="60"/>
      <c r="F124" s="60"/>
      <c r="G124" s="50"/>
      <c r="H124" s="61"/>
      <c r="I124" s="61"/>
      <c r="J124" s="61"/>
      <c r="K124" s="61"/>
      <c r="L124" s="61"/>
      <c r="M124" s="44"/>
      <c r="N124" s="44"/>
      <c r="O124" s="44"/>
      <c r="P124" s="44"/>
      <c r="Q124" s="64"/>
      <c r="R124" s="64"/>
      <c r="V124" s="207"/>
      <c r="AF124" s="207"/>
      <c r="AP124" s="207"/>
      <c r="AZ124" s="207"/>
    </row>
    <row r="125" spans="3:52" s="49" customFormat="1" ht="15.75" x14ac:dyDescent="0.25">
      <c r="C125" s="48"/>
      <c r="D125" s="60"/>
      <c r="E125" s="60"/>
      <c r="F125" s="60"/>
      <c r="G125" s="50"/>
      <c r="H125" s="61"/>
      <c r="I125" s="61"/>
      <c r="J125" s="61"/>
      <c r="K125" s="61"/>
      <c r="L125" s="61"/>
      <c r="M125" s="44"/>
      <c r="N125" s="44"/>
      <c r="O125" s="44"/>
      <c r="P125" s="44"/>
      <c r="Q125" s="64"/>
      <c r="R125" s="64"/>
      <c r="V125" s="207"/>
      <c r="AF125" s="207"/>
      <c r="AP125" s="207"/>
      <c r="AZ125" s="207"/>
    </row>
    <row r="126" spans="3:52" s="49" customFormat="1" ht="15.75" x14ac:dyDescent="0.25">
      <c r="C126" s="48"/>
      <c r="D126" s="60"/>
      <c r="E126" s="60"/>
      <c r="F126" s="60"/>
      <c r="G126" s="50"/>
      <c r="H126" s="61"/>
      <c r="I126" s="61"/>
      <c r="J126" s="61"/>
      <c r="K126" s="61"/>
      <c r="L126" s="61"/>
      <c r="M126" s="44"/>
      <c r="N126" s="44"/>
      <c r="O126" s="44"/>
      <c r="P126" s="44"/>
      <c r="Q126" s="64"/>
      <c r="R126" s="64"/>
      <c r="V126" s="207"/>
      <c r="AF126" s="207"/>
      <c r="AP126" s="207"/>
      <c r="AZ126" s="207"/>
    </row>
    <row r="127" spans="3:52" s="49" customFormat="1" ht="15.75" x14ac:dyDescent="0.25">
      <c r="C127" s="48"/>
      <c r="D127" s="60"/>
      <c r="E127" s="60"/>
      <c r="F127" s="60"/>
      <c r="G127" s="50"/>
      <c r="H127" s="61"/>
      <c r="I127" s="61"/>
      <c r="J127" s="61"/>
      <c r="K127" s="61"/>
      <c r="L127" s="61"/>
      <c r="M127" s="44"/>
      <c r="N127" s="44"/>
      <c r="O127" s="44"/>
      <c r="P127" s="44"/>
      <c r="Q127" s="64"/>
      <c r="R127" s="64"/>
      <c r="V127" s="207"/>
      <c r="AF127" s="207"/>
      <c r="AP127" s="207"/>
      <c r="AZ127" s="207"/>
    </row>
    <row r="128" spans="3:52" s="49" customFormat="1" ht="15.75" x14ac:dyDescent="0.25">
      <c r="C128" s="48"/>
      <c r="D128" s="60"/>
      <c r="E128" s="60"/>
      <c r="F128" s="60"/>
      <c r="G128" s="50"/>
      <c r="H128" s="61"/>
      <c r="I128" s="61"/>
      <c r="J128" s="61"/>
      <c r="K128" s="61"/>
      <c r="L128" s="61"/>
      <c r="M128" s="44"/>
      <c r="N128" s="44"/>
      <c r="O128" s="44"/>
      <c r="P128" s="44"/>
      <c r="Q128" s="64"/>
      <c r="R128" s="64"/>
      <c r="V128" s="207"/>
      <c r="AF128" s="207"/>
      <c r="AP128" s="207"/>
      <c r="AZ128" s="207"/>
    </row>
    <row r="129" spans="3:52" s="49" customFormat="1" ht="15.75" x14ac:dyDescent="0.25">
      <c r="C129" s="48"/>
      <c r="D129" s="60"/>
      <c r="E129" s="60"/>
      <c r="F129" s="60"/>
      <c r="G129" s="50"/>
      <c r="H129" s="61"/>
      <c r="I129" s="61"/>
      <c r="J129" s="61"/>
      <c r="K129" s="61"/>
      <c r="L129" s="61"/>
      <c r="M129" s="44"/>
      <c r="N129" s="44"/>
      <c r="O129" s="44"/>
      <c r="P129" s="44"/>
      <c r="Q129" s="64"/>
      <c r="R129" s="64"/>
      <c r="V129" s="207"/>
      <c r="AF129" s="207"/>
      <c r="AP129" s="207"/>
      <c r="AZ129" s="207"/>
    </row>
    <row r="130" spans="3:52" s="49" customFormat="1" ht="15.75" x14ac:dyDescent="0.25">
      <c r="C130" s="48"/>
      <c r="D130" s="60"/>
      <c r="E130" s="60"/>
      <c r="F130" s="60"/>
      <c r="G130" s="50"/>
      <c r="H130" s="61"/>
      <c r="I130" s="61"/>
      <c r="J130" s="61"/>
      <c r="K130" s="61"/>
      <c r="L130" s="61"/>
      <c r="M130" s="44"/>
      <c r="N130" s="44"/>
      <c r="O130" s="44"/>
      <c r="P130" s="44"/>
      <c r="Q130" s="64"/>
      <c r="R130" s="64"/>
      <c r="V130" s="207"/>
      <c r="AF130" s="207"/>
      <c r="AP130" s="207"/>
      <c r="AZ130" s="207"/>
    </row>
    <row r="131" spans="3:52" s="49" customFormat="1" ht="15.75" x14ac:dyDescent="0.25">
      <c r="C131" s="48"/>
      <c r="D131" s="60"/>
      <c r="E131" s="60"/>
      <c r="F131" s="60"/>
      <c r="G131" s="50"/>
      <c r="H131" s="61"/>
      <c r="I131" s="61"/>
      <c r="J131" s="61"/>
      <c r="K131" s="61"/>
      <c r="L131" s="61"/>
      <c r="M131" s="44"/>
      <c r="N131" s="44"/>
      <c r="O131" s="44"/>
      <c r="P131" s="44"/>
      <c r="Q131" s="64"/>
      <c r="R131" s="64"/>
      <c r="V131" s="207"/>
      <c r="AF131" s="207"/>
      <c r="AP131" s="207"/>
      <c r="AZ131" s="207"/>
    </row>
    <row r="132" spans="3:52" s="49" customFormat="1" ht="15.75" x14ac:dyDescent="0.25">
      <c r="C132" s="48"/>
      <c r="D132" s="60"/>
      <c r="E132" s="60"/>
      <c r="F132" s="60"/>
      <c r="G132" s="50"/>
      <c r="H132" s="61"/>
      <c r="I132" s="61"/>
      <c r="J132" s="61"/>
      <c r="K132" s="61"/>
      <c r="L132" s="61"/>
      <c r="M132" s="44"/>
      <c r="N132" s="44"/>
      <c r="O132" s="44"/>
      <c r="P132" s="44"/>
      <c r="Q132" s="64"/>
      <c r="R132" s="64"/>
      <c r="V132" s="207"/>
      <c r="AF132" s="207"/>
      <c r="AP132" s="207"/>
      <c r="AZ132" s="207"/>
    </row>
    <row r="133" spans="3:52" s="49" customFormat="1" ht="15.75" x14ac:dyDescent="0.25">
      <c r="C133" s="48"/>
      <c r="D133" s="60"/>
      <c r="E133" s="60"/>
      <c r="F133" s="60"/>
      <c r="G133" s="50"/>
      <c r="H133" s="61"/>
      <c r="I133" s="61"/>
      <c r="J133" s="61"/>
      <c r="K133" s="61"/>
      <c r="L133" s="61"/>
      <c r="M133" s="44"/>
      <c r="N133" s="44"/>
      <c r="O133" s="44"/>
      <c r="P133" s="44"/>
      <c r="Q133" s="64"/>
      <c r="R133" s="64"/>
      <c r="V133" s="207"/>
      <c r="AF133" s="207"/>
      <c r="AP133" s="207"/>
      <c r="AZ133" s="207"/>
    </row>
    <row r="134" spans="3:52" s="49" customFormat="1" ht="15.75" x14ac:dyDescent="0.25">
      <c r="C134" s="48"/>
      <c r="D134" s="60"/>
      <c r="E134" s="60"/>
      <c r="F134" s="60"/>
      <c r="G134" s="50"/>
      <c r="H134" s="61"/>
      <c r="I134" s="61"/>
      <c r="J134" s="61"/>
      <c r="K134" s="61"/>
      <c r="L134" s="61"/>
      <c r="M134" s="44"/>
      <c r="N134" s="44"/>
      <c r="O134" s="44"/>
      <c r="P134" s="44"/>
      <c r="Q134" s="64"/>
      <c r="R134" s="64"/>
      <c r="V134" s="207"/>
      <c r="AF134" s="207"/>
      <c r="AP134" s="207"/>
      <c r="AZ134" s="207"/>
    </row>
    <row r="135" spans="3:52" s="49" customFormat="1" ht="15.75" x14ac:dyDescent="0.25">
      <c r="C135" s="48"/>
      <c r="D135" s="60"/>
      <c r="E135" s="60"/>
      <c r="F135" s="60"/>
      <c r="G135" s="50"/>
      <c r="H135" s="61"/>
      <c r="I135" s="61"/>
      <c r="J135" s="61"/>
      <c r="K135" s="61"/>
      <c r="L135" s="61"/>
      <c r="M135" s="44"/>
      <c r="N135" s="44"/>
      <c r="O135" s="44"/>
      <c r="P135" s="44"/>
      <c r="Q135" s="64"/>
      <c r="R135" s="64"/>
      <c r="V135" s="207"/>
      <c r="AF135" s="207"/>
      <c r="AP135" s="207"/>
      <c r="AZ135" s="207"/>
    </row>
    <row r="136" spans="3:52" s="49" customFormat="1" ht="15.75" x14ac:dyDescent="0.25">
      <c r="C136" s="48"/>
      <c r="D136" s="60"/>
      <c r="E136" s="60"/>
      <c r="F136" s="60"/>
      <c r="G136" s="50"/>
      <c r="H136" s="61"/>
      <c r="I136" s="61"/>
      <c r="J136" s="61"/>
      <c r="K136" s="61"/>
      <c r="L136" s="61"/>
      <c r="M136" s="44"/>
      <c r="N136" s="44"/>
      <c r="O136" s="44"/>
      <c r="P136" s="44"/>
      <c r="Q136" s="64"/>
      <c r="R136" s="64"/>
      <c r="V136" s="207"/>
      <c r="AF136" s="207"/>
      <c r="AP136" s="207"/>
      <c r="AZ136" s="207"/>
    </row>
    <row r="137" spans="3:52" s="49" customFormat="1" ht="15.75" x14ac:dyDescent="0.25">
      <c r="C137" s="48"/>
      <c r="D137" s="60"/>
      <c r="E137" s="60"/>
      <c r="F137" s="60"/>
      <c r="G137" s="50"/>
      <c r="H137" s="61"/>
      <c r="I137" s="61"/>
      <c r="J137" s="61"/>
      <c r="K137" s="61"/>
      <c r="L137" s="61"/>
      <c r="M137" s="44"/>
      <c r="N137" s="44"/>
      <c r="O137" s="44"/>
      <c r="P137" s="44"/>
      <c r="Q137" s="64"/>
      <c r="R137" s="64"/>
      <c r="V137" s="207"/>
      <c r="AF137" s="207"/>
      <c r="AP137" s="207"/>
      <c r="AZ137" s="207"/>
    </row>
    <row r="138" spans="3:52" s="49" customFormat="1" ht="15.75" x14ac:dyDescent="0.25">
      <c r="C138" s="48"/>
      <c r="D138" s="60"/>
      <c r="E138" s="60"/>
      <c r="F138" s="60"/>
      <c r="G138" s="50"/>
      <c r="H138" s="61"/>
      <c r="I138" s="61"/>
      <c r="J138" s="61"/>
      <c r="K138" s="61"/>
      <c r="L138" s="61"/>
      <c r="M138" s="44"/>
      <c r="N138" s="44"/>
      <c r="O138" s="44"/>
      <c r="P138" s="44"/>
      <c r="Q138" s="64"/>
      <c r="R138" s="64"/>
      <c r="V138" s="207"/>
      <c r="AF138" s="207"/>
      <c r="AP138" s="207"/>
      <c r="AZ138" s="207"/>
    </row>
    <row r="139" spans="3:52" s="49" customFormat="1" ht="15.75" x14ac:dyDescent="0.25">
      <c r="C139" s="48"/>
      <c r="D139" s="60"/>
      <c r="E139" s="60"/>
      <c r="F139" s="60"/>
      <c r="G139" s="50"/>
      <c r="H139" s="61"/>
      <c r="I139" s="61"/>
      <c r="J139" s="61"/>
      <c r="K139" s="61"/>
      <c r="L139" s="61"/>
      <c r="M139" s="44"/>
      <c r="N139" s="44"/>
      <c r="O139" s="44"/>
      <c r="P139" s="44"/>
      <c r="Q139" s="64"/>
      <c r="R139" s="64"/>
      <c r="V139" s="207"/>
      <c r="AF139" s="207"/>
      <c r="AP139" s="207"/>
      <c r="AZ139" s="207"/>
    </row>
    <row r="140" spans="3:52" s="49" customFormat="1" ht="15.75" x14ac:dyDescent="0.25">
      <c r="C140" s="48"/>
      <c r="D140" s="60"/>
      <c r="E140" s="60"/>
      <c r="F140" s="60"/>
      <c r="G140" s="50"/>
      <c r="H140" s="61"/>
      <c r="I140" s="61"/>
      <c r="J140" s="61"/>
      <c r="K140" s="61"/>
      <c r="L140" s="61"/>
      <c r="M140" s="44"/>
      <c r="N140" s="44"/>
      <c r="O140" s="44"/>
      <c r="P140" s="44"/>
      <c r="Q140" s="64"/>
      <c r="R140" s="64"/>
      <c r="V140" s="207"/>
      <c r="AF140" s="207"/>
      <c r="AP140" s="207"/>
      <c r="AZ140" s="207"/>
    </row>
    <row r="141" spans="3:52" s="49" customFormat="1" ht="15.75" x14ac:dyDescent="0.25">
      <c r="C141" s="48"/>
      <c r="D141" s="60"/>
      <c r="E141" s="60"/>
      <c r="F141" s="60"/>
      <c r="G141" s="50"/>
      <c r="H141" s="61"/>
      <c r="I141" s="61"/>
      <c r="J141" s="61"/>
      <c r="K141" s="61"/>
      <c r="L141" s="61"/>
      <c r="M141" s="44"/>
      <c r="N141" s="44"/>
      <c r="O141" s="44"/>
      <c r="P141" s="44"/>
      <c r="Q141" s="64"/>
      <c r="R141" s="64"/>
      <c r="V141" s="207"/>
      <c r="AF141" s="207"/>
      <c r="AP141" s="207"/>
      <c r="AZ141" s="207"/>
    </row>
    <row r="142" spans="3:52" s="49" customFormat="1" ht="15.75" x14ac:dyDescent="0.25">
      <c r="C142" s="48"/>
      <c r="D142" s="60"/>
      <c r="E142" s="60"/>
      <c r="F142" s="60"/>
      <c r="G142" s="50"/>
      <c r="H142" s="61"/>
      <c r="I142" s="61"/>
      <c r="J142" s="61"/>
      <c r="K142" s="61"/>
      <c r="L142" s="61"/>
      <c r="M142" s="44"/>
      <c r="N142" s="44"/>
      <c r="O142" s="44"/>
      <c r="P142" s="44"/>
      <c r="Q142" s="64"/>
      <c r="R142" s="64"/>
      <c r="V142" s="207"/>
      <c r="AF142" s="207"/>
      <c r="AP142" s="207"/>
      <c r="AZ142" s="207"/>
    </row>
    <row r="143" spans="3:52" s="49" customFormat="1" ht="15.75" x14ac:dyDescent="0.25">
      <c r="C143" s="48"/>
      <c r="D143" s="60"/>
      <c r="E143" s="60"/>
      <c r="F143" s="60"/>
      <c r="G143" s="50"/>
      <c r="H143" s="61"/>
      <c r="I143" s="61"/>
      <c r="J143" s="61"/>
      <c r="K143" s="61"/>
      <c r="L143" s="61"/>
      <c r="M143" s="44"/>
      <c r="N143" s="44"/>
      <c r="O143" s="44"/>
      <c r="P143" s="44"/>
      <c r="Q143" s="64"/>
      <c r="R143" s="64"/>
      <c r="V143" s="207"/>
      <c r="AF143" s="207"/>
      <c r="AP143" s="207"/>
      <c r="AZ143" s="207"/>
    </row>
    <row r="144" spans="3:52" s="49" customFormat="1" ht="15.75" x14ac:dyDescent="0.25">
      <c r="C144" s="48"/>
      <c r="D144" s="60"/>
      <c r="E144" s="60"/>
      <c r="F144" s="60"/>
      <c r="G144" s="50"/>
      <c r="H144" s="61"/>
      <c r="I144" s="61"/>
      <c r="J144" s="61"/>
      <c r="K144" s="61"/>
      <c r="L144" s="61"/>
      <c r="M144" s="44"/>
      <c r="N144" s="44"/>
      <c r="O144" s="44"/>
      <c r="P144" s="44"/>
      <c r="Q144" s="64"/>
      <c r="R144" s="64"/>
      <c r="V144" s="207"/>
      <c r="AF144" s="207"/>
      <c r="AP144" s="207"/>
      <c r="AZ144" s="207"/>
    </row>
    <row r="145" spans="3:52" s="49" customFormat="1" ht="15.75" x14ac:dyDescent="0.25">
      <c r="C145" s="48"/>
      <c r="D145" s="60"/>
      <c r="E145" s="60"/>
      <c r="F145" s="60"/>
      <c r="G145" s="50"/>
      <c r="H145" s="61"/>
      <c r="I145" s="61"/>
      <c r="J145" s="61"/>
      <c r="K145" s="61"/>
      <c r="L145" s="61"/>
      <c r="M145" s="44"/>
      <c r="N145" s="44"/>
      <c r="O145" s="44"/>
      <c r="P145" s="44"/>
      <c r="Q145" s="64"/>
      <c r="R145" s="64"/>
      <c r="V145" s="207"/>
      <c r="AF145" s="207"/>
      <c r="AP145" s="207"/>
      <c r="AZ145" s="207"/>
    </row>
    <row r="146" spans="3:52" s="49" customFormat="1" ht="15.75" x14ac:dyDescent="0.25">
      <c r="C146" s="48"/>
      <c r="D146" s="60"/>
      <c r="E146" s="60"/>
      <c r="F146" s="60"/>
      <c r="G146" s="50"/>
      <c r="H146" s="61"/>
      <c r="I146" s="61"/>
      <c r="J146" s="61"/>
      <c r="K146" s="61"/>
      <c r="L146" s="61"/>
      <c r="M146" s="44"/>
      <c r="N146" s="44"/>
      <c r="O146" s="44"/>
      <c r="P146" s="44"/>
      <c r="Q146" s="64"/>
      <c r="R146" s="64"/>
      <c r="V146" s="207"/>
      <c r="AF146" s="207"/>
      <c r="AP146" s="207"/>
      <c r="AZ146" s="207"/>
    </row>
    <row r="147" spans="3:52" s="49" customFormat="1" ht="15.75" x14ac:dyDescent="0.25">
      <c r="C147" s="48"/>
      <c r="D147" s="60"/>
      <c r="E147" s="60"/>
      <c r="F147" s="60"/>
      <c r="G147" s="50"/>
      <c r="H147" s="61"/>
      <c r="I147" s="61"/>
      <c r="J147" s="61"/>
      <c r="K147" s="61"/>
      <c r="L147" s="61"/>
      <c r="M147" s="44"/>
      <c r="N147" s="44"/>
      <c r="O147" s="44"/>
      <c r="P147" s="44"/>
      <c r="Q147" s="64"/>
      <c r="R147" s="64"/>
      <c r="V147" s="207"/>
      <c r="AF147" s="207"/>
      <c r="AP147" s="207"/>
      <c r="AZ147" s="207"/>
    </row>
    <row r="148" spans="3:52" s="49" customFormat="1" ht="15.75" x14ac:dyDescent="0.25">
      <c r="C148" s="48"/>
      <c r="D148" s="60"/>
      <c r="E148" s="60"/>
      <c r="F148" s="60"/>
      <c r="G148" s="50"/>
      <c r="H148" s="61"/>
      <c r="I148" s="61"/>
      <c r="J148" s="61"/>
      <c r="K148" s="61"/>
      <c r="L148" s="61"/>
      <c r="M148" s="44"/>
      <c r="N148" s="44"/>
      <c r="O148" s="44"/>
      <c r="P148" s="44"/>
      <c r="Q148" s="64"/>
      <c r="R148" s="64"/>
      <c r="V148" s="207"/>
      <c r="AF148" s="207"/>
      <c r="AP148" s="207"/>
      <c r="AZ148" s="207"/>
    </row>
    <row r="149" spans="3:52" s="49" customFormat="1" ht="15.75" x14ac:dyDescent="0.25">
      <c r="C149" s="48"/>
      <c r="D149" s="60"/>
      <c r="E149" s="60"/>
      <c r="F149" s="60"/>
      <c r="G149" s="50"/>
      <c r="H149" s="61"/>
      <c r="I149" s="61"/>
      <c r="J149" s="61"/>
      <c r="K149" s="61"/>
      <c r="L149" s="61"/>
      <c r="M149" s="44"/>
      <c r="N149" s="44"/>
      <c r="O149" s="44"/>
      <c r="P149" s="44"/>
      <c r="Q149" s="64"/>
      <c r="R149" s="64"/>
      <c r="V149" s="207"/>
      <c r="AF149" s="207"/>
      <c r="AP149" s="207"/>
      <c r="AZ149" s="207"/>
    </row>
    <row r="150" spans="3:52" s="49" customFormat="1" ht="15.75" x14ac:dyDescent="0.25">
      <c r="C150" s="48"/>
      <c r="D150" s="60"/>
      <c r="E150" s="60"/>
      <c r="F150" s="60"/>
      <c r="G150" s="50"/>
      <c r="H150" s="61"/>
      <c r="I150" s="61"/>
      <c r="J150" s="61"/>
      <c r="K150" s="61"/>
      <c r="L150" s="61"/>
      <c r="M150" s="44"/>
      <c r="N150" s="44"/>
      <c r="O150" s="44"/>
      <c r="P150" s="44"/>
      <c r="Q150" s="64"/>
      <c r="R150" s="64"/>
      <c r="V150" s="207"/>
      <c r="AF150" s="207"/>
      <c r="AP150" s="207"/>
      <c r="AZ150" s="207"/>
    </row>
    <row r="151" spans="3:52" s="49" customFormat="1" ht="15.75" x14ac:dyDescent="0.25">
      <c r="C151" s="48"/>
      <c r="D151" s="60"/>
      <c r="E151" s="60"/>
      <c r="F151" s="60"/>
      <c r="G151" s="50"/>
      <c r="H151" s="61"/>
      <c r="I151" s="61"/>
      <c r="J151" s="61"/>
      <c r="K151" s="61"/>
      <c r="L151" s="61"/>
      <c r="M151" s="44"/>
      <c r="N151" s="44"/>
      <c r="O151" s="44"/>
      <c r="P151" s="44"/>
      <c r="Q151" s="64"/>
      <c r="R151" s="64"/>
      <c r="V151" s="207"/>
      <c r="AF151" s="207"/>
      <c r="AP151" s="207"/>
      <c r="AZ151" s="207"/>
    </row>
    <row r="152" spans="3:52" s="49" customFormat="1" ht="15.75" x14ac:dyDescent="0.25">
      <c r="C152" s="48"/>
      <c r="D152" s="60"/>
      <c r="E152" s="60"/>
      <c r="F152" s="60"/>
      <c r="G152" s="50"/>
      <c r="H152" s="61"/>
      <c r="I152" s="61"/>
      <c r="J152" s="61"/>
      <c r="K152" s="61"/>
      <c r="L152" s="61"/>
      <c r="M152" s="44"/>
      <c r="N152" s="44"/>
      <c r="O152" s="44"/>
      <c r="P152" s="44"/>
      <c r="Q152" s="64"/>
      <c r="R152" s="64"/>
      <c r="V152" s="207"/>
      <c r="AF152" s="207"/>
      <c r="AP152" s="207"/>
      <c r="AZ152" s="207"/>
    </row>
    <row r="153" spans="3:52" s="49" customFormat="1" ht="15.75" x14ac:dyDescent="0.25">
      <c r="C153" s="48"/>
      <c r="D153" s="60"/>
      <c r="E153" s="60"/>
      <c r="F153" s="60"/>
      <c r="G153" s="50"/>
      <c r="H153" s="61"/>
      <c r="I153" s="61"/>
      <c r="J153" s="61"/>
      <c r="K153" s="61"/>
      <c r="L153" s="61"/>
      <c r="M153" s="44"/>
      <c r="N153" s="44"/>
      <c r="O153" s="44"/>
      <c r="P153" s="44"/>
      <c r="Q153" s="64"/>
      <c r="R153" s="64"/>
      <c r="V153" s="207"/>
      <c r="AF153" s="207"/>
      <c r="AP153" s="207"/>
      <c r="AZ153" s="207"/>
    </row>
    <row r="154" spans="3:52" s="49" customFormat="1" ht="15.75" x14ac:dyDescent="0.25">
      <c r="C154" s="48"/>
      <c r="D154" s="60"/>
      <c r="E154" s="60"/>
      <c r="F154" s="60"/>
      <c r="G154" s="50"/>
      <c r="H154" s="61"/>
      <c r="I154" s="61"/>
      <c r="J154" s="61"/>
      <c r="K154" s="61"/>
      <c r="L154" s="61"/>
      <c r="M154" s="44"/>
      <c r="N154" s="44"/>
      <c r="O154" s="44"/>
      <c r="P154" s="44"/>
      <c r="Q154" s="64"/>
      <c r="R154" s="64"/>
      <c r="V154" s="207"/>
      <c r="AF154" s="207"/>
      <c r="AP154" s="207"/>
      <c r="AZ154" s="207"/>
    </row>
    <row r="155" spans="3:52" s="49" customFormat="1" ht="15.75" x14ac:dyDescent="0.25">
      <c r="C155" s="48"/>
      <c r="D155" s="60"/>
      <c r="E155" s="60"/>
      <c r="F155" s="60"/>
      <c r="G155" s="50"/>
      <c r="H155" s="61"/>
      <c r="I155" s="61"/>
      <c r="J155" s="61"/>
      <c r="K155" s="61"/>
      <c r="L155" s="61"/>
      <c r="M155" s="44"/>
      <c r="N155" s="44"/>
      <c r="O155" s="44"/>
      <c r="P155" s="44"/>
      <c r="Q155" s="64"/>
      <c r="R155" s="64"/>
      <c r="V155" s="207"/>
      <c r="AF155" s="207"/>
      <c r="AP155" s="207"/>
      <c r="AZ155" s="207"/>
    </row>
    <row r="156" spans="3:52" s="49" customFormat="1" ht="15.75" x14ac:dyDescent="0.25">
      <c r="C156" s="48"/>
      <c r="D156" s="60"/>
      <c r="E156" s="60"/>
      <c r="F156" s="60"/>
      <c r="G156" s="50"/>
      <c r="H156" s="61"/>
      <c r="I156" s="61"/>
      <c r="J156" s="61"/>
      <c r="K156" s="61"/>
      <c r="L156" s="61"/>
      <c r="M156" s="44"/>
      <c r="N156" s="44"/>
      <c r="O156" s="44"/>
      <c r="P156" s="44"/>
      <c r="Q156" s="64"/>
      <c r="R156" s="64"/>
      <c r="V156" s="207"/>
      <c r="AF156" s="207"/>
      <c r="AP156" s="207"/>
      <c r="AZ156" s="207"/>
    </row>
    <row r="157" spans="3:52" s="49" customFormat="1" ht="15.75" x14ac:dyDescent="0.25">
      <c r="C157" s="48"/>
      <c r="D157" s="60"/>
      <c r="E157" s="60"/>
      <c r="F157" s="60"/>
      <c r="G157" s="50"/>
      <c r="H157" s="61"/>
      <c r="I157" s="61"/>
      <c r="J157" s="61"/>
      <c r="K157" s="61"/>
      <c r="L157" s="61"/>
      <c r="M157" s="44"/>
      <c r="N157" s="44"/>
      <c r="O157" s="44"/>
      <c r="P157" s="44"/>
      <c r="Q157" s="64"/>
      <c r="R157" s="64"/>
      <c r="V157" s="207"/>
      <c r="AF157" s="207"/>
      <c r="AP157" s="207"/>
      <c r="AZ157" s="207"/>
    </row>
    <row r="158" spans="3:52" s="49" customFormat="1" ht="15.75" x14ac:dyDescent="0.25">
      <c r="C158" s="48"/>
      <c r="D158" s="60"/>
      <c r="E158" s="60"/>
      <c r="F158" s="60"/>
      <c r="G158" s="50"/>
      <c r="H158" s="61"/>
      <c r="I158" s="61"/>
      <c r="J158" s="61"/>
      <c r="K158" s="61"/>
      <c r="L158" s="61"/>
      <c r="M158" s="44"/>
      <c r="N158" s="44"/>
      <c r="O158" s="44"/>
      <c r="P158" s="44"/>
      <c r="Q158" s="64"/>
      <c r="R158" s="64"/>
      <c r="V158" s="207"/>
      <c r="AF158" s="207"/>
      <c r="AP158" s="207"/>
      <c r="AZ158" s="207"/>
    </row>
    <row r="159" spans="3:52" s="49" customFormat="1" ht="15.75" x14ac:dyDescent="0.25">
      <c r="C159" s="48"/>
      <c r="D159" s="60"/>
      <c r="E159" s="60"/>
      <c r="F159" s="60"/>
      <c r="G159" s="50"/>
      <c r="H159" s="61"/>
      <c r="I159" s="61"/>
      <c r="J159" s="61"/>
      <c r="K159" s="61"/>
      <c r="L159" s="61"/>
      <c r="M159" s="44"/>
      <c r="N159" s="44"/>
      <c r="O159" s="44"/>
      <c r="P159" s="44"/>
      <c r="Q159" s="64"/>
      <c r="R159" s="64"/>
      <c r="V159" s="207"/>
      <c r="AF159" s="207"/>
      <c r="AP159" s="207"/>
      <c r="AZ159" s="207"/>
    </row>
    <row r="160" spans="3:52" s="49" customFormat="1" ht="15.75" x14ac:dyDescent="0.25">
      <c r="C160" s="48"/>
      <c r="D160" s="60"/>
      <c r="E160" s="60"/>
      <c r="F160" s="60"/>
      <c r="G160" s="50"/>
      <c r="H160" s="61"/>
      <c r="I160" s="61"/>
      <c r="J160" s="61"/>
      <c r="K160" s="61"/>
      <c r="L160" s="61"/>
      <c r="M160" s="44"/>
      <c r="N160" s="44"/>
      <c r="O160" s="44"/>
      <c r="P160" s="44"/>
      <c r="Q160" s="64"/>
      <c r="R160" s="64"/>
      <c r="V160" s="207"/>
      <c r="AF160" s="207"/>
      <c r="AP160" s="207"/>
      <c r="AZ160" s="207"/>
    </row>
    <row r="161" spans="3:52" s="49" customFormat="1" ht="15.75" x14ac:dyDescent="0.25">
      <c r="C161" s="48"/>
      <c r="D161" s="60"/>
      <c r="E161" s="60"/>
      <c r="F161" s="60"/>
      <c r="G161" s="50"/>
      <c r="H161" s="61"/>
      <c r="I161" s="61"/>
      <c r="J161" s="61"/>
      <c r="K161" s="61"/>
      <c r="L161" s="61"/>
      <c r="M161" s="44"/>
      <c r="N161" s="44"/>
      <c r="O161" s="44"/>
      <c r="P161" s="44"/>
      <c r="Q161" s="64"/>
      <c r="R161" s="64"/>
      <c r="V161" s="207"/>
      <c r="AF161" s="207"/>
      <c r="AP161" s="207"/>
      <c r="AZ161" s="207"/>
    </row>
    <row r="162" spans="3:52" s="49" customFormat="1" ht="15.75" x14ac:dyDescent="0.25">
      <c r="C162" s="48"/>
      <c r="D162" s="60"/>
      <c r="E162" s="60"/>
      <c r="F162" s="60"/>
      <c r="G162" s="50"/>
      <c r="H162" s="61"/>
      <c r="I162" s="61"/>
      <c r="J162" s="61"/>
      <c r="K162" s="61"/>
      <c r="L162" s="61"/>
      <c r="M162" s="44"/>
      <c r="N162" s="44"/>
      <c r="O162" s="44"/>
      <c r="P162" s="44"/>
      <c r="Q162" s="64"/>
      <c r="R162" s="64"/>
      <c r="V162" s="207"/>
      <c r="AF162" s="207"/>
      <c r="AP162" s="207"/>
      <c r="AZ162" s="207"/>
    </row>
    <row r="163" spans="3:52" s="49" customFormat="1" ht="15.75" x14ac:dyDescent="0.25">
      <c r="C163" s="48"/>
      <c r="D163" s="60"/>
      <c r="E163" s="60"/>
      <c r="F163" s="60"/>
      <c r="G163" s="50"/>
      <c r="H163" s="61"/>
      <c r="I163" s="61"/>
      <c r="J163" s="61"/>
      <c r="K163" s="61"/>
      <c r="L163" s="61"/>
      <c r="M163" s="44"/>
      <c r="N163" s="44"/>
      <c r="O163" s="44"/>
      <c r="P163" s="44"/>
      <c r="Q163" s="64"/>
      <c r="R163" s="64"/>
      <c r="V163" s="207"/>
      <c r="AF163" s="207"/>
      <c r="AP163" s="207"/>
      <c r="AZ163" s="207"/>
    </row>
    <row r="164" spans="3:52" s="49" customFormat="1" ht="15.75" x14ac:dyDescent="0.25">
      <c r="C164" s="48"/>
      <c r="D164" s="60"/>
      <c r="E164" s="60"/>
      <c r="F164" s="60"/>
      <c r="G164" s="50"/>
      <c r="H164" s="61"/>
      <c r="I164" s="61"/>
      <c r="J164" s="61"/>
      <c r="K164" s="61"/>
      <c r="L164" s="61"/>
      <c r="M164" s="44"/>
      <c r="N164" s="44"/>
      <c r="O164" s="44"/>
      <c r="P164" s="44"/>
      <c r="Q164" s="64"/>
      <c r="R164" s="64"/>
      <c r="V164" s="207"/>
      <c r="AF164" s="207"/>
      <c r="AP164" s="207"/>
      <c r="AZ164" s="207"/>
    </row>
    <row r="165" spans="3:52" s="49" customFormat="1" ht="15.75" x14ac:dyDescent="0.25">
      <c r="C165" s="48"/>
      <c r="D165" s="60"/>
      <c r="E165" s="60"/>
      <c r="F165" s="60"/>
      <c r="G165" s="50"/>
      <c r="H165" s="61"/>
      <c r="I165" s="61"/>
      <c r="J165" s="61"/>
      <c r="K165" s="61"/>
      <c r="L165" s="61"/>
      <c r="M165" s="44"/>
      <c r="N165" s="44"/>
      <c r="O165" s="44"/>
      <c r="P165" s="44"/>
      <c r="Q165" s="64"/>
      <c r="R165" s="64"/>
      <c r="V165" s="207"/>
      <c r="AF165" s="207"/>
      <c r="AP165" s="207"/>
      <c r="AZ165" s="207"/>
    </row>
    <row r="166" spans="3:52" s="49" customFormat="1" ht="15.75" x14ac:dyDescent="0.25">
      <c r="C166" s="48"/>
      <c r="D166" s="60"/>
      <c r="E166" s="60"/>
      <c r="F166" s="60"/>
      <c r="G166" s="50"/>
      <c r="H166" s="61"/>
      <c r="I166" s="61"/>
      <c r="J166" s="61"/>
      <c r="K166" s="61"/>
      <c r="L166" s="61"/>
      <c r="M166" s="44"/>
      <c r="N166" s="44"/>
      <c r="O166" s="44"/>
      <c r="P166" s="44"/>
      <c r="Q166" s="64"/>
      <c r="R166" s="64"/>
      <c r="V166" s="207"/>
      <c r="AF166" s="207"/>
      <c r="AP166" s="207"/>
      <c r="AZ166" s="207"/>
    </row>
    <row r="167" spans="3:52" s="49" customFormat="1" ht="15.75" x14ac:dyDescent="0.25">
      <c r="C167" s="48"/>
      <c r="D167" s="60"/>
      <c r="E167" s="60"/>
      <c r="F167" s="60"/>
      <c r="G167" s="50"/>
      <c r="H167" s="61"/>
      <c r="I167" s="61"/>
      <c r="J167" s="61"/>
      <c r="K167" s="61"/>
      <c r="L167" s="61"/>
      <c r="M167" s="44"/>
      <c r="N167" s="44"/>
      <c r="O167" s="44"/>
      <c r="P167" s="44"/>
      <c r="Q167" s="64"/>
      <c r="R167" s="64"/>
      <c r="V167" s="207"/>
      <c r="AF167" s="207"/>
      <c r="AP167" s="207"/>
      <c r="AZ167" s="207"/>
    </row>
    <row r="168" spans="3:52" s="49" customFormat="1" ht="15.75" x14ac:dyDescent="0.25">
      <c r="C168" s="48"/>
      <c r="D168" s="60"/>
      <c r="E168" s="60"/>
      <c r="F168" s="60"/>
      <c r="G168" s="50"/>
      <c r="H168" s="61"/>
      <c r="I168" s="61"/>
      <c r="J168" s="61"/>
      <c r="K168" s="61"/>
      <c r="L168" s="61"/>
      <c r="M168" s="44"/>
      <c r="N168" s="44"/>
      <c r="O168" s="44"/>
      <c r="P168" s="44"/>
      <c r="Q168" s="64"/>
      <c r="R168" s="64"/>
      <c r="V168" s="207"/>
      <c r="AF168" s="207"/>
      <c r="AP168" s="207"/>
      <c r="AZ168" s="207"/>
    </row>
    <row r="169" spans="3:52" s="49" customFormat="1" ht="15.75" x14ac:dyDescent="0.25">
      <c r="C169" s="48"/>
      <c r="D169" s="60"/>
      <c r="E169" s="60"/>
      <c r="F169" s="60"/>
      <c r="G169" s="50"/>
      <c r="H169" s="61"/>
      <c r="I169" s="61"/>
      <c r="J169" s="61"/>
      <c r="K169" s="61"/>
      <c r="L169" s="61"/>
      <c r="M169" s="44"/>
      <c r="N169" s="44"/>
      <c r="O169" s="44"/>
      <c r="P169" s="44"/>
      <c r="Q169" s="64"/>
      <c r="R169" s="64"/>
      <c r="V169" s="207"/>
      <c r="AF169" s="207"/>
      <c r="AP169" s="207"/>
      <c r="AZ169" s="207"/>
    </row>
    <row r="170" spans="3:52" s="49" customFormat="1" ht="15.75" x14ac:dyDescent="0.25">
      <c r="C170" s="48"/>
      <c r="D170" s="60"/>
      <c r="E170" s="60"/>
      <c r="F170" s="60"/>
      <c r="G170" s="50"/>
      <c r="H170" s="61"/>
      <c r="I170" s="61"/>
      <c r="J170" s="61"/>
      <c r="K170" s="61"/>
      <c r="L170" s="61"/>
      <c r="M170" s="44"/>
      <c r="N170" s="44"/>
      <c r="O170" s="44"/>
      <c r="P170" s="44"/>
      <c r="Q170" s="64"/>
      <c r="R170" s="64"/>
      <c r="V170" s="207"/>
      <c r="AF170" s="207"/>
      <c r="AP170" s="207"/>
      <c r="AZ170" s="207"/>
    </row>
    <row r="171" spans="3:52" s="49" customFormat="1" ht="15.75" x14ac:dyDescent="0.25">
      <c r="C171" s="48"/>
      <c r="D171" s="60"/>
      <c r="E171" s="60"/>
      <c r="F171" s="60"/>
      <c r="G171" s="50"/>
      <c r="H171" s="61"/>
      <c r="I171" s="61"/>
      <c r="J171" s="61"/>
      <c r="K171" s="61"/>
      <c r="L171" s="61"/>
      <c r="M171" s="44"/>
      <c r="N171" s="44"/>
      <c r="O171" s="44"/>
      <c r="P171" s="44"/>
      <c r="Q171" s="64"/>
      <c r="R171" s="64"/>
      <c r="V171" s="207"/>
      <c r="AF171" s="207"/>
      <c r="AP171" s="207"/>
      <c r="AZ171" s="207"/>
    </row>
    <row r="172" spans="3:52" s="49" customFormat="1" ht="15.75" x14ac:dyDescent="0.25">
      <c r="C172" s="48"/>
      <c r="D172" s="60"/>
      <c r="E172" s="60"/>
      <c r="F172" s="60"/>
      <c r="G172" s="50"/>
      <c r="H172" s="61"/>
      <c r="I172" s="61"/>
      <c r="J172" s="61"/>
      <c r="K172" s="61"/>
      <c r="L172" s="61"/>
      <c r="M172" s="44"/>
      <c r="N172" s="44"/>
      <c r="O172" s="44"/>
      <c r="P172" s="44"/>
      <c r="Q172" s="64"/>
      <c r="R172" s="64"/>
      <c r="V172" s="207"/>
      <c r="AF172" s="207"/>
      <c r="AP172" s="207"/>
      <c r="AZ172" s="207"/>
    </row>
    <row r="173" spans="3:52" s="49" customFormat="1" ht="15.75" x14ac:dyDescent="0.25">
      <c r="C173" s="48"/>
      <c r="D173" s="60"/>
      <c r="E173" s="60"/>
      <c r="F173" s="60"/>
      <c r="G173" s="50"/>
      <c r="H173" s="61"/>
      <c r="I173" s="61"/>
      <c r="J173" s="61"/>
      <c r="K173" s="61"/>
      <c r="L173" s="61"/>
      <c r="M173" s="44"/>
      <c r="N173" s="44"/>
      <c r="O173" s="44"/>
      <c r="P173" s="44"/>
      <c r="Q173" s="64"/>
      <c r="R173" s="64"/>
      <c r="V173" s="207"/>
      <c r="AF173" s="207"/>
      <c r="AP173" s="207"/>
      <c r="AZ173" s="207"/>
    </row>
    <row r="174" spans="3:52" s="49" customFormat="1" ht="15.75" x14ac:dyDescent="0.25">
      <c r="C174" s="48"/>
      <c r="D174" s="60"/>
      <c r="E174" s="60"/>
      <c r="F174" s="60"/>
      <c r="G174" s="50"/>
      <c r="H174" s="61"/>
      <c r="I174" s="61"/>
      <c r="J174" s="61"/>
      <c r="K174" s="61"/>
      <c r="L174" s="61"/>
      <c r="M174" s="44"/>
      <c r="N174" s="44"/>
      <c r="O174" s="44"/>
      <c r="P174" s="44"/>
      <c r="Q174" s="64"/>
      <c r="R174" s="64"/>
      <c r="V174" s="207"/>
      <c r="AF174" s="207"/>
      <c r="AP174" s="207"/>
      <c r="AZ174" s="207"/>
    </row>
    <row r="175" spans="3:52" s="49" customFormat="1" ht="15.75" x14ac:dyDescent="0.25">
      <c r="C175" s="48"/>
      <c r="D175" s="60"/>
      <c r="E175" s="60"/>
      <c r="F175" s="60"/>
      <c r="G175" s="50"/>
      <c r="H175" s="61"/>
      <c r="I175" s="61"/>
      <c r="J175" s="61"/>
      <c r="K175" s="61"/>
      <c r="L175" s="61"/>
      <c r="M175" s="44"/>
      <c r="N175" s="44"/>
      <c r="O175" s="44"/>
      <c r="P175" s="44"/>
      <c r="Q175" s="64"/>
      <c r="R175" s="64"/>
      <c r="V175" s="207"/>
      <c r="AF175" s="207"/>
      <c r="AP175" s="207"/>
      <c r="AZ175" s="207"/>
    </row>
    <row r="176" spans="3:52" s="49" customFormat="1" ht="15.75" x14ac:dyDescent="0.25">
      <c r="C176" s="48"/>
      <c r="D176" s="60"/>
      <c r="E176" s="60"/>
      <c r="F176" s="60"/>
      <c r="G176" s="50"/>
      <c r="H176" s="61"/>
      <c r="I176" s="61"/>
      <c r="J176" s="61"/>
      <c r="K176" s="61"/>
      <c r="L176" s="61"/>
      <c r="M176" s="44"/>
      <c r="N176" s="44"/>
      <c r="O176" s="44"/>
      <c r="P176" s="44"/>
      <c r="Q176" s="64"/>
      <c r="R176" s="64"/>
      <c r="V176" s="207"/>
      <c r="AF176" s="207"/>
      <c r="AP176" s="207"/>
      <c r="AZ176" s="207"/>
    </row>
    <row r="177" spans="3:52" s="49" customFormat="1" ht="15.75" x14ac:dyDescent="0.25">
      <c r="C177" s="48"/>
      <c r="D177" s="60"/>
      <c r="E177" s="60"/>
      <c r="F177" s="60"/>
      <c r="G177" s="50"/>
      <c r="H177" s="61"/>
      <c r="I177" s="61"/>
      <c r="J177" s="61"/>
      <c r="K177" s="61"/>
      <c r="L177" s="61"/>
      <c r="M177" s="44"/>
      <c r="N177" s="44"/>
      <c r="O177" s="44"/>
      <c r="P177" s="44"/>
      <c r="Q177" s="64"/>
      <c r="R177" s="64"/>
      <c r="V177" s="207"/>
      <c r="AF177" s="207"/>
      <c r="AP177" s="207"/>
      <c r="AZ177" s="207"/>
    </row>
    <row r="178" spans="3:52" s="49" customFormat="1" ht="15.75" x14ac:dyDescent="0.25">
      <c r="C178" s="48"/>
      <c r="D178" s="60"/>
      <c r="E178" s="60"/>
      <c r="F178" s="60"/>
      <c r="G178" s="50"/>
      <c r="H178" s="61"/>
      <c r="I178" s="61"/>
      <c r="J178" s="61"/>
      <c r="K178" s="61"/>
      <c r="L178" s="61"/>
      <c r="M178" s="44"/>
      <c r="N178" s="44"/>
      <c r="O178" s="44"/>
      <c r="P178" s="44"/>
      <c r="Q178" s="64"/>
      <c r="R178" s="64"/>
      <c r="V178" s="207"/>
      <c r="AF178" s="207"/>
      <c r="AP178" s="207"/>
      <c r="AZ178" s="207"/>
    </row>
    <row r="179" spans="3:52" s="49" customFormat="1" ht="15.75" x14ac:dyDescent="0.25">
      <c r="C179" s="48"/>
      <c r="D179" s="60"/>
      <c r="E179" s="60"/>
      <c r="F179" s="60"/>
      <c r="G179" s="50"/>
      <c r="H179" s="61"/>
      <c r="I179" s="61"/>
      <c r="J179" s="61"/>
      <c r="K179" s="61"/>
      <c r="L179" s="61"/>
      <c r="M179" s="44"/>
      <c r="N179" s="44"/>
      <c r="O179" s="44"/>
      <c r="P179" s="44"/>
      <c r="Q179" s="64"/>
      <c r="R179" s="64"/>
      <c r="V179" s="207"/>
      <c r="AF179" s="207"/>
      <c r="AP179" s="207"/>
      <c r="AZ179" s="207"/>
    </row>
    <row r="180" spans="3:52" s="49" customFormat="1" ht="15.75" x14ac:dyDescent="0.25">
      <c r="C180" s="48"/>
      <c r="D180" s="60"/>
      <c r="E180" s="60"/>
      <c r="F180" s="60"/>
      <c r="G180" s="50"/>
      <c r="H180" s="61"/>
      <c r="I180" s="61"/>
      <c r="J180" s="61"/>
      <c r="K180" s="61"/>
      <c r="L180" s="61"/>
      <c r="M180" s="44"/>
      <c r="N180" s="44"/>
      <c r="O180" s="44"/>
      <c r="P180" s="44"/>
      <c r="Q180" s="64"/>
      <c r="R180" s="64"/>
      <c r="V180" s="207"/>
      <c r="AF180" s="207"/>
      <c r="AP180" s="207"/>
      <c r="AZ180" s="207"/>
    </row>
    <row r="181" spans="3:52" s="49" customFormat="1" ht="15.75" x14ac:dyDescent="0.25">
      <c r="C181" s="48"/>
      <c r="D181" s="60"/>
      <c r="E181" s="60"/>
      <c r="F181" s="60"/>
      <c r="G181" s="50"/>
      <c r="H181" s="61"/>
      <c r="I181" s="61"/>
      <c r="J181" s="61"/>
      <c r="K181" s="61"/>
      <c r="L181" s="61"/>
      <c r="M181" s="44"/>
      <c r="N181" s="44"/>
      <c r="O181" s="44"/>
      <c r="P181" s="44"/>
      <c r="Q181" s="64"/>
      <c r="R181" s="64"/>
      <c r="V181" s="207"/>
      <c r="AF181" s="207"/>
      <c r="AP181" s="207"/>
      <c r="AZ181" s="207"/>
    </row>
    <row r="182" spans="3:52" s="49" customFormat="1" ht="15.75" x14ac:dyDescent="0.25">
      <c r="C182" s="48"/>
      <c r="D182" s="60"/>
      <c r="E182" s="60"/>
      <c r="F182" s="60"/>
      <c r="G182" s="50"/>
      <c r="H182" s="61"/>
      <c r="I182" s="61"/>
      <c r="J182" s="61"/>
      <c r="K182" s="61"/>
      <c r="L182" s="61"/>
      <c r="M182" s="44"/>
      <c r="N182" s="44"/>
      <c r="O182" s="44"/>
      <c r="P182" s="44"/>
      <c r="Q182" s="64"/>
      <c r="R182" s="64"/>
      <c r="V182" s="207"/>
      <c r="AF182" s="207"/>
      <c r="AP182" s="207"/>
      <c r="AZ182" s="207"/>
    </row>
    <row r="183" spans="3:52" s="49" customFormat="1" ht="15.75" x14ac:dyDescent="0.25">
      <c r="C183" s="48"/>
      <c r="D183" s="60"/>
      <c r="E183" s="60"/>
      <c r="F183" s="60"/>
      <c r="G183" s="50"/>
      <c r="H183" s="61"/>
      <c r="I183" s="61"/>
      <c r="J183" s="61"/>
      <c r="K183" s="61"/>
      <c r="L183" s="61"/>
      <c r="M183" s="44"/>
      <c r="N183" s="44"/>
      <c r="O183" s="44"/>
      <c r="P183" s="44"/>
      <c r="Q183" s="64"/>
      <c r="R183" s="64"/>
      <c r="V183" s="207"/>
      <c r="AF183" s="207"/>
      <c r="AP183" s="207"/>
      <c r="AZ183" s="207"/>
    </row>
    <row r="184" spans="3:52" s="49" customFormat="1" ht="15.75" x14ac:dyDescent="0.25">
      <c r="C184" s="48"/>
      <c r="D184" s="60"/>
      <c r="E184" s="60"/>
      <c r="F184" s="60"/>
      <c r="G184" s="50"/>
      <c r="H184" s="61"/>
      <c r="I184" s="61"/>
      <c r="J184" s="61"/>
      <c r="K184" s="61"/>
      <c r="L184" s="61"/>
      <c r="M184" s="44"/>
      <c r="N184" s="44"/>
      <c r="O184" s="44"/>
      <c r="P184" s="44"/>
      <c r="Q184" s="64"/>
      <c r="R184" s="64"/>
      <c r="V184" s="207"/>
      <c r="AF184" s="207"/>
      <c r="AP184" s="207"/>
      <c r="AZ184" s="207"/>
    </row>
    <row r="185" spans="3:52" s="49" customFormat="1" ht="15.75" x14ac:dyDescent="0.25">
      <c r="C185" s="48"/>
      <c r="D185" s="60"/>
      <c r="E185" s="60"/>
      <c r="F185" s="60"/>
      <c r="G185" s="50"/>
      <c r="H185" s="61"/>
      <c r="I185" s="61"/>
      <c r="J185" s="61"/>
      <c r="K185" s="61"/>
      <c r="L185" s="61"/>
      <c r="M185" s="44"/>
      <c r="N185" s="44"/>
      <c r="O185" s="44"/>
      <c r="P185" s="44"/>
      <c r="Q185" s="64"/>
      <c r="R185" s="64"/>
      <c r="V185" s="207"/>
      <c r="AF185" s="207"/>
      <c r="AP185" s="207"/>
      <c r="AZ185" s="207"/>
    </row>
    <row r="186" spans="3:52" s="49" customFormat="1" ht="15.75" x14ac:dyDescent="0.25">
      <c r="C186" s="48"/>
      <c r="D186" s="60"/>
      <c r="E186" s="60"/>
      <c r="F186" s="60"/>
      <c r="G186" s="50"/>
      <c r="H186" s="61"/>
      <c r="I186" s="61"/>
      <c r="J186" s="61"/>
      <c r="K186" s="61"/>
      <c r="L186" s="61"/>
      <c r="M186" s="44"/>
      <c r="N186" s="44"/>
      <c r="O186" s="44"/>
      <c r="P186" s="44"/>
      <c r="Q186" s="64"/>
      <c r="R186" s="64"/>
      <c r="V186" s="207"/>
      <c r="AF186" s="207"/>
      <c r="AP186" s="207"/>
      <c r="AZ186" s="207"/>
    </row>
    <row r="187" spans="3:52" s="49" customFormat="1" ht="15.75" x14ac:dyDescent="0.25">
      <c r="C187" s="48"/>
      <c r="D187" s="60"/>
      <c r="E187" s="60"/>
      <c r="F187" s="60"/>
      <c r="G187" s="50"/>
      <c r="H187" s="61"/>
      <c r="I187" s="61"/>
      <c r="J187" s="61"/>
      <c r="K187" s="61"/>
      <c r="L187" s="61"/>
      <c r="M187" s="44"/>
      <c r="N187" s="44"/>
      <c r="O187" s="44"/>
      <c r="P187" s="44"/>
      <c r="Q187" s="64"/>
      <c r="R187" s="64"/>
      <c r="V187" s="207"/>
      <c r="AF187" s="207"/>
      <c r="AP187" s="207"/>
      <c r="AZ187" s="207"/>
    </row>
    <row r="188" spans="3:52" s="49" customFormat="1" ht="15.75" x14ac:dyDescent="0.25">
      <c r="C188" s="48"/>
      <c r="D188" s="60"/>
      <c r="E188" s="60"/>
      <c r="F188" s="60"/>
      <c r="G188" s="50"/>
      <c r="H188" s="61"/>
      <c r="I188" s="61"/>
      <c r="J188" s="61"/>
      <c r="K188" s="61"/>
      <c r="L188" s="61"/>
      <c r="M188" s="44"/>
      <c r="N188" s="44"/>
      <c r="O188" s="44"/>
      <c r="P188" s="44"/>
      <c r="Q188" s="64"/>
      <c r="R188" s="64"/>
      <c r="V188" s="207"/>
      <c r="AF188" s="207"/>
      <c r="AP188" s="207"/>
      <c r="AZ188" s="207"/>
    </row>
    <row r="189" spans="3:52" s="49" customFormat="1" ht="15.75" x14ac:dyDescent="0.25">
      <c r="C189" s="48"/>
      <c r="D189" s="60"/>
      <c r="E189" s="60"/>
      <c r="F189" s="60"/>
      <c r="G189" s="50"/>
      <c r="H189" s="61"/>
      <c r="I189" s="61"/>
      <c r="J189" s="61"/>
      <c r="K189" s="61"/>
      <c r="L189" s="61"/>
      <c r="M189" s="44"/>
      <c r="N189" s="44"/>
      <c r="O189" s="44"/>
      <c r="P189" s="44"/>
      <c r="Q189" s="64"/>
      <c r="R189" s="64"/>
      <c r="V189" s="207"/>
      <c r="AF189" s="207"/>
      <c r="AP189" s="207"/>
      <c r="AZ189" s="207"/>
    </row>
    <row r="190" spans="3:52" s="49" customFormat="1" ht="15.75" x14ac:dyDescent="0.25">
      <c r="C190" s="48"/>
      <c r="D190" s="60"/>
      <c r="E190" s="60"/>
      <c r="F190" s="60"/>
      <c r="G190" s="50"/>
      <c r="H190" s="61"/>
      <c r="I190" s="61"/>
      <c r="J190" s="61"/>
      <c r="K190" s="61"/>
      <c r="L190" s="61"/>
      <c r="M190" s="44"/>
      <c r="N190" s="44"/>
      <c r="O190" s="44"/>
      <c r="P190" s="44"/>
      <c r="Q190" s="64"/>
      <c r="R190" s="64"/>
      <c r="V190" s="207"/>
      <c r="AF190" s="207"/>
      <c r="AP190" s="207"/>
      <c r="AZ190" s="207"/>
    </row>
    <row r="191" spans="3:52" s="49" customFormat="1" ht="15.75" x14ac:dyDescent="0.25">
      <c r="C191" s="48"/>
      <c r="D191" s="60"/>
      <c r="E191" s="60"/>
      <c r="F191" s="60"/>
      <c r="G191" s="50"/>
      <c r="H191" s="61"/>
      <c r="I191" s="61"/>
      <c r="J191" s="61"/>
      <c r="K191" s="61"/>
      <c r="L191" s="61"/>
      <c r="M191" s="44"/>
      <c r="N191" s="44"/>
      <c r="O191" s="44"/>
      <c r="P191" s="44"/>
      <c r="Q191" s="64"/>
      <c r="R191" s="64"/>
      <c r="V191" s="207"/>
      <c r="AF191" s="207"/>
      <c r="AP191" s="207"/>
      <c r="AZ191" s="207"/>
    </row>
    <row r="192" spans="3:52" s="49" customFormat="1" ht="15.75" x14ac:dyDescent="0.25">
      <c r="C192" s="48"/>
      <c r="D192" s="60"/>
      <c r="E192" s="60"/>
      <c r="F192" s="60"/>
      <c r="G192" s="50"/>
      <c r="H192" s="61"/>
      <c r="I192" s="61"/>
      <c r="J192" s="61"/>
      <c r="K192" s="61"/>
      <c r="L192" s="61"/>
      <c r="M192" s="44"/>
      <c r="N192" s="44"/>
      <c r="O192" s="44"/>
      <c r="P192" s="44"/>
      <c r="Q192" s="64"/>
      <c r="R192" s="64"/>
      <c r="V192" s="207"/>
      <c r="AF192" s="207"/>
      <c r="AP192" s="207"/>
      <c r="AZ192" s="207"/>
    </row>
    <row r="193" spans="3:52" s="49" customFormat="1" ht="15.75" x14ac:dyDescent="0.25">
      <c r="C193" s="48"/>
      <c r="D193" s="60"/>
      <c r="E193" s="60"/>
      <c r="F193" s="60"/>
      <c r="G193" s="50"/>
      <c r="H193" s="61"/>
      <c r="I193" s="61"/>
      <c r="J193" s="61"/>
      <c r="K193" s="61"/>
      <c r="L193" s="61"/>
      <c r="M193" s="44"/>
      <c r="N193" s="44"/>
      <c r="O193" s="44"/>
      <c r="P193" s="44"/>
      <c r="Q193" s="64"/>
      <c r="R193" s="64"/>
      <c r="V193" s="207"/>
      <c r="AF193" s="207"/>
      <c r="AP193" s="207"/>
      <c r="AZ193" s="207"/>
    </row>
    <row r="194" spans="3:52" s="49" customFormat="1" ht="15.75" x14ac:dyDescent="0.25">
      <c r="C194" s="48"/>
      <c r="D194" s="60"/>
      <c r="E194" s="60"/>
      <c r="F194" s="60"/>
      <c r="G194" s="50"/>
      <c r="H194" s="61"/>
      <c r="I194" s="61"/>
      <c r="J194" s="61"/>
      <c r="K194" s="61"/>
      <c r="L194" s="61"/>
      <c r="M194" s="44"/>
      <c r="N194" s="44"/>
      <c r="O194" s="44"/>
      <c r="P194" s="44"/>
      <c r="Q194" s="64"/>
      <c r="R194" s="64"/>
      <c r="V194" s="207"/>
      <c r="AF194" s="207"/>
      <c r="AP194" s="207"/>
      <c r="AZ194" s="207"/>
    </row>
    <row r="195" spans="3:52" s="49" customFormat="1" ht="15.75" x14ac:dyDescent="0.25">
      <c r="C195" s="48"/>
      <c r="D195" s="60"/>
      <c r="E195" s="60"/>
      <c r="F195" s="60"/>
      <c r="G195" s="50"/>
      <c r="H195" s="61"/>
      <c r="I195" s="61"/>
      <c r="J195" s="61"/>
      <c r="K195" s="61"/>
      <c r="L195" s="61"/>
      <c r="M195" s="44"/>
      <c r="N195" s="44"/>
      <c r="O195" s="44"/>
      <c r="P195" s="44"/>
      <c r="Q195" s="64"/>
      <c r="R195" s="64"/>
      <c r="V195" s="207"/>
      <c r="AF195" s="207"/>
      <c r="AP195" s="207"/>
      <c r="AZ195" s="207"/>
    </row>
    <row r="196" spans="3:52" s="49" customFormat="1" ht="15.75" x14ac:dyDescent="0.25">
      <c r="C196" s="48"/>
      <c r="D196" s="60"/>
      <c r="E196" s="60"/>
      <c r="F196" s="60"/>
      <c r="G196" s="50"/>
      <c r="H196" s="61"/>
      <c r="I196" s="61"/>
      <c r="J196" s="61"/>
      <c r="K196" s="61"/>
      <c r="L196" s="61"/>
      <c r="M196" s="44"/>
      <c r="N196" s="44"/>
      <c r="O196" s="44"/>
      <c r="P196" s="44"/>
      <c r="Q196" s="64"/>
      <c r="R196" s="64"/>
      <c r="V196" s="207"/>
      <c r="AF196" s="207"/>
      <c r="AP196" s="207"/>
      <c r="AZ196" s="207"/>
    </row>
    <row r="197" spans="3:52" s="49" customFormat="1" ht="15.75" x14ac:dyDescent="0.25">
      <c r="C197" s="48"/>
      <c r="D197" s="60"/>
      <c r="E197" s="60"/>
      <c r="F197" s="60"/>
      <c r="G197" s="50"/>
      <c r="H197" s="61"/>
      <c r="I197" s="61"/>
      <c r="J197" s="61"/>
      <c r="K197" s="61"/>
      <c r="L197" s="61"/>
      <c r="M197" s="44"/>
      <c r="N197" s="44"/>
      <c r="O197" s="44"/>
      <c r="P197" s="44"/>
      <c r="Q197" s="64"/>
      <c r="R197" s="64"/>
      <c r="V197" s="207"/>
      <c r="AF197" s="207"/>
      <c r="AP197" s="207"/>
      <c r="AZ197" s="207"/>
    </row>
    <row r="198" spans="3:52" s="49" customFormat="1" ht="15.75" x14ac:dyDescent="0.25">
      <c r="C198" s="48"/>
      <c r="D198" s="60"/>
      <c r="E198" s="60"/>
      <c r="F198" s="60"/>
      <c r="G198" s="50"/>
      <c r="H198" s="61"/>
      <c r="I198" s="61"/>
      <c r="J198" s="61"/>
      <c r="K198" s="61"/>
      <c r="L198" s="61"/>
      <c r="M198" s="44"/>
      <c r="N198" s="44"/>
      <c r="O198" s="44"/>
      <c r="P198" s="44"/>
      <c r="Q198" s="64"/>
      <c r="R198" s="64"/>
      <c r="V198" s="207"/>
      <c r="AF198" s="207"/>
      <c r="AP198" s="207"/>
      <c r="AZ198" s="207"/>
    </row>
    <row r="199" spans="3:52" s="49" customFormat="1" ht="15.75" x14ac:dyDescent="0.25">
      <c r="C199" s="48"/>
      <c r="D199" s="60"/>
      <c r="E199" s="60"/>
      <c r="F199" s="60"/>
      <c r="G199" s="50"/>
      <c r="H199" s="61"/>
      <c r="I199" s="61"/>
      <c r="J199" s="61"/>
      <c r="K199" s="61"/>
      <c r="L199" s="61"/>
      <c r="M199" s="44"/>
      <c r="N199" s="44"/>
      <c r="O199" s="44"/>
      <c r="P199" s="44"/>
      <c r="Q199" s="64"/>
      <c r="R199" s="64"/>
      <c r="V199" s="207"/>
      <c r="AF199" s="207"/>
      <c r="AP199" s="207"/>
      <c r="AZ199" s="207"/>
    </row>
    <row r="200" spans="3:52" s="49" customFormat="1" ht="15.75" x14ac:dyDescent="0.25">
      <c r="C200" s="48"/>
      <c r="D200" s="60"/>
      <c r="E200" s="60"/>
      <c r="F200" s="60"/>
      <c r="G200" s="50"/>
      <c r="H200" s="61"/>
      <c r="I200" s="61"/>
      <c r="J200" s="61"/>
      <c r="K200" s="61"/>
      <c r="L200" s="61"/>
      <c r="M200" s="44"/>
      <c r="N200" s="44"/>
      <c r="O200" s="44"/>
      <c r="P200" s="44"/>
      <c r="Q200" s="64"/>
      <c r="R200" s="64"/>
      <c r="V200" s="207"/>
      <c r="AF200" s="207"/>
      <c r="AP200" s="207"/>
      <c r="AZ200" s="207"/>
    </row>
    <row r="201" spans="3:52" s="49" customFormat="1" ht="15.75" x14ac:dyDescent="0.25">
      <c r="C201" s="48"/>
      <c r="D201" s="60"/>
      <c r="E201" s="60"/>
      <c r="F201" s="60"/>
      <c r="G201" s="50"/>
      <c r="H201" s="61"/>
      <c r="I201" s="61"/>
      <c r="J201" s="61"/>
      <c r="K201" s="61"/>
      <c r="L201" s="61"/>
      <c r="M201" s="44"/>
      <c r="N201" s="44"/>
      <c r="O201" s="44"/>
      <c r="P201" s="44"/>
      <c r="Q201" s="64"/>
      <c r="R201" s="64"/>
      <c r="V201" s="207"/>
      <c r="AF201" s="207"/>
      <c r="AP201" s="207"/>
      <c r="AZ201" s="207"/>
    </row>
    <row r="202" spans="3:52" s="49" customFormat="1" ht="15.75" x14ac:dyDescent="0.25">
      <c r="C202" s="48"/>
      <c r="D202" s="60"/>
      <c r="E202" s="60"/>
      <c r="F202" s="60"/>
      <c r="G202" s="50"/>
      <c r="H202" s="61"/>
      <c r="I202" s="61"/>
      <c r="J202" s="61"/>
      <c r="K202" s="61"/>
      <c r="L202" s="61"/>
      <c r="M202" s="44"/>
      <c r="N202" s="44"/>
      <c r="O202" s="44"/>
      <c r="P202" s="44"/>
      <c r="Q202" s="64"/>
      <c r="R202" s="64"/>
      <c r="V202" s="207"/>
      <c r="AF202" s="207"/>
      <c r="AP202" s="207"/>
      <c r="AZ202" s="207"/>
    </row>
    <row r="203" spans="3:52" s="49" customFormat="1" ht="15.75" x14ac:dyDescent="0.25">
      <c r="C203" s="48"/>
      <c r="D203" s="60"/>
      <c r="E203" s="60"/>
      <c r="F203" s="60"/>
      <c r="G203" s="50"/>
      <c r="H203" s="61"/>
      <c r="I203" s="61"/>
      <c r="J203" s="61"/>
      <c r="K203" s="61"/>
      <c r="L203" s="61"/>
      <c r="M203" s="44"/>
      <c r="N203" s="44"/>
      <c r="O203" s="44"/>
      <c r="P203" s="44"/>
      <c r="Q203" s="64"/>
      <c r="R203" s="64"/>
      <c r="V203" s="207"/>
      <c r="AF203" s="207"/>
      <c r="AP203" s="207"/>
      <c r="AZ203" s="207"/>
    </row>
    <row r="204" spans="3:52" s="49" customFormat="1" ht="15.75" x14ac:dyDescent="0.25">
      <c r="C204" s="48"/>
      <c r="D204" s="60"/>
      <c r="E204" s="60"/>
      <c r="F204" s="60"/>
      <c r="G204" s="50"/>
      <c r="H204" s="61"/>
      <c r="I204" s="61"/>
      <c r="J204" s="61"/>
      <c r="K204" s="61"/>
      <c r="L204" s="61"/>
      <c r="M204" s="44"/>
      <c r="N204" s="44"/>
      <c r="O204" s="44"/>
      <c r="P204" s="44"/>
      <c r="Q204" s="64"/>
      <c r="R204" s="64"/>
      <c r="V204" s="207"/>
      <c r="AF204" s="207"/>
      <c r="AP204" s="207"/>
      <c r="AZ204" s="207"/>
    </row>
    <row r="205" spans="3:52" s="49" customFormat="1" ht="15.75" x14ac:dyDescent="0.25">
      <c r="C205" s="48"/>
      <c r="D205" s="60"/>
      <c r="E205" s="60"/>
      <c r="F205" s="60"/>
      <c r="G205" s="50"/>
      <c r="H205" s="61"/>
      <c r="I205" s="61"/>
      <c r="J205" s="61"/>
      <c r="K205" s="61"/>
      <c r="L205" s="61"/>
      <c r="M205" s="44"/>
      <c r="N205" s="44"/>
      <c r="O205" s="44"/>
      <c r="P205" s="44"/>
      <c r="Q205" s="64"/>
      <c r="R205" s="64"/>
      <c r="V205" s="207"/>
      <c r="AF205" s="207"/>
      <c r="AP205" s="207"/>
      <c r="AZ205" s="207"/>
    </row>
    <row r="206" spans="3:52" s="49" customFormat="1" ht="15.75" x14ac:dyDescent="0.25">
      <c r="C206" s="48"/>
      <c r="D206" s="60"/>
      <c r="E206" s="60"/>
      <c r="F206" s="60"/>
      <c r="G206" s="50"/>
      <c r="H206" s="61"/>
      <c r="I206" s="61"/>
      <c r="J206" s="61"/>
      <c r="K206" s="61"/>
      <c r="L206" s="61"/>
      <c r="M206" s="44"/>
      <c r="N206" s="44"/>
      <c r="O206" s="44"/>
      <c r="P206" s="44"/>
      <c r="Q206" s="64"/>
      <c r="R206" s="64"/>
      <c r="V206" s="207"/>
      <c r="AF206" s="207"/>
      <c r="AP206" s="207"/>
      <c r="AZ206" s="207"/>
    </row>
    <row r="207" spans="3:52" s="49" customFormat="1" ht="15.75" x14ac:dyDescent="0.25">
      <c r="C207" s="48"/>
      <c r="D207" s="60"/>
      <c r="E207" s="60"/>
      <c r="F207" s="60"/>
      <c r="G207" s="50"/>
      <c r="H207" s="61"/>
      <c r="I207" s="61"/>
      <c r="J207" s="61"/>
      <c r="K207" s="61"/>
      <c r="L207" s="61"/>
      <c r="M207" s="44"/>
      <c r="N207" s="44"/>
      <c r="O207" s="44"/>
      <c r="P207" s="44"/>
      <c r="Q207" s="64"/>
      <c r="R207" s="64"/>
      <c r="V207" s="207"/>
      <c r="AF207" s="207"/>
      <c r="AP207" s="207"/>
      <c r="AZ207" s="207"/>
    </row>
    <row r="208" spans="3:52" s="49" customFormat="1" ht="15.75" x14ac:dyDescent="0.25">
      <c r="C208" s="48"/>
      <c r="D208" s="60"/>
      <c r="E208" s="60"/>
      <c r="F208" s="60"/>
      <c r="G208" s="50"/>
      <c r="H208" s="61"/>
      <c r="I208" s="61"/>
      <c r="J208" s="61"/>
      <c r="K208" s="61"/>
      <c r="L208" s="61"/>
      <c r="M208" s="44"/>
      <c r="N208" s="44"/>
      <c r="O208" s="44"/>
      <c r="P208" s="44"/>
      <c r="Q208" s="64"/>
      <c r="R208" s="64"/>
      <c r="V208" s="207"/>
      <c r="AF208" s="207"/>
      <c r="AP208" s="207"/>
      <c r="AZ208" s="207"/>
    </row>
    <row r="209" spans="3:52" s="49" customFormat="1" ht="15.75" x14ac:dyDescent="0.25">
      <c r="C209" s="48"/>
      <c r="D209" s="60"/>
      <c r="E209" s="60"/>
      <c r="F209" s="60"/>
      <c r="G209" s="50"/>
      <c r="H209" s="61"/>
      <c r="I209" s="61"/>
      <c r="J209" s="61"/>
      <c r="K209" s="61"/>
      <c r="L209" s="61"/>
      <c r="M209" s="44"/>
      <c r="N209" s="44"/>
      <c r="O209" s="44"/>
      <c r="P209" s="44"/>
      <c r="Q209" s="64"/>
      <c r="R209" s="64"/>
      <c r="V209" s="207"/>
      <c r="AF209" s="207"/>
      <c r="AP209" s="207"/>
      <c r="AZ209" s="207"/>
    </row>
    <row r="210" spans="3:52" s="49" customFormat="1" ht="15.75" x14ac:dyDescent="0.25">
      <c r="C210" s="48"/>
      <c r="D210" s="60"/>
      <c r="E210" s="60"/>
      <c r="F210" s="60"/>
      <c r="G210" s="50"/>
      <c r="H210" s="61"/>
      <c r="I210" s="61"/>
      <c r="J210" s="61"/>
      <c r="K210" s="61"/>
      <c r="L210" s="61"/>
      <c r="M210" s="44"/>
      <c r="N210" s="44"/>
      <c r="O210" s="44"/>
      <c r="P210" s="44"/>
      <c r="Q210" s="64"/>
      <c r="R210" s="64"/>
      <c r="V210" s="207"/>
      <c r="AF210" s="207"/>
      <c r="AP210" s="207"/>
      <c r="AZ210" s="207"/>
    </row>
    <row r="211" spans="3:52" s="49" customFormat="1" ht="15.75" x14ac:dyDescent="0.25">
      <c r="C211" s="48"/>
      <c r="D211" s="60"/>
      <c r="E211" s="60"/>
      <c r="F211" s="60"/>
      <c r="G211" s="50"/>
      <c r="H211" s="61"/>
      <c r="I211" s="61"/>
      <c r="J211" s="61"/>
      <c r="K211" s="61"/>
      <c r="L211" s="61"/>
      <c r="M211" s="44"/>
      <c r="N211" s="44"/>
      <c r="O211" s="44"/>
      <c r="P211" s="44"/>
      <c r="Q211" s="64"/>
      <c r="R211" s="64"/>
      <c r="V211" s="207"/>
      <c r="AF211" s="207"/>
      <c r="AP211" s="207"/>
      <c r="AZ211" s="207"/>
    </row>
    <row r="212" spans="3:52" s="49" customFormat="1" ht="15.75" x14ac:dyDescent="0.25">
      <c r="C212" s="48"/>
      <c r="D212" s="60"/>
      <c r="E212" s="60"/>
      <c r="F212" s="60"/>
      <c r="G212" s="50"/>
      <c r="H212" s="61"/>
      <c r="I212" s="61"/>
      <c r="J212" s="61"/>
      <c r="K212" s="61"/>
      <c r="L212" s="61"/>
      <c r="M212" s="44"/>
      <c r="N212" s="44"/>
      <c r="O212" s="44"/>
      <c r="P212" s="44"/>
      <c r="Q212" s="64"/>
      <c r="R212" s="64"/>
      <c r="V212" s="207"/>
      <c r="AF212" s="207"/>
      <c r="AP212" s="207"/>
      <c r="AZ212" s="207"/>
    </row>
    <row r="213" spans="3:52" s="49" customFormat="1" ht="15.75" x14ac:dyDescent="0.25">
      <c r="C213" s="48"/>
      <c r="D213" s="60"/>
      <c r="E213" s="60"/>
      <c r="F213" s="60"/>
      <c r="G213" s="50"/>
      <c r="H213" s="61"/>
      <c r="I213" s="61"/>
      <c r="J213" s="61"/>
      <c r="K213" s="61"/>
      <c r="L213" s="61"/>
      <c r="M213" s="44"/>
      <c r="N213" s="44"/>
      <c r="O213" s="44"/>
      <c r="P213" s="44"/>
      <c r="Q213" s="64"/>
      <c r="R213" s="64"/>
      <c r="V213" s="207"/>
      <c r="AF213" s="207"/>
      <c r="AP213" s="207"/>
      <c r="AZ213" s="207"/>
    </row>
    <row r="214" spans="3:52" s="49" customFormat="1" ht="15.75" x14ac:dyDescent="0.25">
      <c r="C214" s="48"/>
      <c r="D214" s="60"/>
      <c r="E214" s="60"/>
      <c r="F214" s="60"/>
      <c r="G214" s="50"/>
      <c r="H214" s="61"/>
      <c r="I214" s="61"/>
      <c r="J214" s="61"/>
      <c r="K214" s="61"/>
      <c r="L214" s="61"/>
      <c r="M214" s="44"/>
      <c r="N214" s="44"/>
      <c r="O214" s="44"/>
      <c r="P214" s="44"/>
      <c r="Q214" s="64"/>
      <c r="R214" s="64"/>
      <c r="V214" s="207"/>
      <c r="AF214" s="207"/>
      <c r="AP214" s="207"/>
      <c r="AZ214" s="207"/>
    </row>
    <row r="215" spans="3:52" s="49" customFormat="1" ht="15.75" x14ac:dyDescent="0.25">
      <c r="C215" s="48"/>
      <c r="D215" s="60"/>
      <c r="E215" s="60"/>
      <c r="F215" s="60"/>
      <c r="G215" s="50"/>
      <c r="H215" s="61"/>
      <c r="I215" s="61"/>
      <c r="J215" s="61"/>
      <c r="K215" s="61"/>
      <c r="L215" s="61"/>
      <c r="M215" s="44"/>
      <c r="N215" s="44"/>
      <c r="O215" s="44"/>
      <c r="P215" s="44"/>
      <c r="Q215" s="64"/>
      <c r="R215" s="64"/>
      <c r="V215" s="207"/>
      <c r="AF215" s="207"/>
      <c r="AP215" s="207"/>
      <c r="AZ215" s="207"/>
    </row>
    <row r="216" spans="3:52" s="49" customFormat="1" ht="15.75" x14ac:dyDescent="0.25">
      <c r="C216" s="48"/>
      <c r="D216" s="60"/>
      <c r="E216" s="60"/>
      <c r="F216" s="60"/>
      <c r="G216" s="50"/>
      <c r="H216" s="61"/>
      <c r="I216" s="61"/>
      <c r="J216" s="61"/>
      <c r="K216" s="61"/>
      <c r="L216" s="61"/>
      <c r="M216" s="44"/>
      <c r="N216" s="44"/>
      <c r="O216" s="44"/>
      <c r="P216" s="44"/>
      <c r="Q216" s="64"/>
      <c r="R216" s="64"/>
      <c r="V216" s="207"/>
      <c r="AF216" s="207"/>
      <c r="AP216" s="207"/>
      <c r="AZ216" s="207"/>
    </row>
    <row r="217" spans="3:52" s="49" customFormat="1" ht="15.75" x14ac:dyDescent="0.25">
      <c r="C217" s="48"/>
      <c r="D217" s="60"/>
      <c r="E217" s="60"/>
      <c r="F217" s="60"/>
      <c r="G217" s="50"/>
      <c r="H217" s="61"/>
      <c r="I217" s="61"/>
      <c r="J217" s="61"/>
      <c r="K217" s="61"/>
      <c r="L217" s="61"/>
      <c r="M217" s="44"/>
      <c r="N217" s="44"/>
      <c r="O217" s="44"/>
      <c r="P217" s="44"/>
      <c r="Q217" s="64"/>
      <c r="R217" s="64"/>
      <c r="V217" s="207"/>
      <c r="AF217" s="207"/>
      <c r="AP217" s="207"/>
      <c r="AZ217" s="207"/>
    </row>
    <row r="218" spans="3:52" s="49" customFormat="1" ht="15.75" x14ac:dyDescent="0.25">
      <c r="C218" s="48"/>
      <c r="D218" s="60"/>
      <c r="E218" s="60"/>
      <c r="F218" s="60"/>
      <c r="G218" s="50"/>
      <c r="H218" s="61"/>
      <c r="I218" s="61"/>
      <c r="J218" s="61"/>
      <c r="K218" s="61"/>
      <c r="L218" s="61"/>
      <c r="M218" s="44"/>
      <c r="N218" s="44"/>
      <c r="O218" s="44"/>
      <c r="P218" s="44"/>
      <c r="Q218" s="64"/>
      <c r="R218" s="64"/>
      <c r="V218" s="207"/>
      <c r="AF218" s="207"/>
      <c r="AP218" s="207"/>
      <c r="AZ218" s="207"/>
    </row>
    <row r="219" spans="3:52" s="49" customFormat="1" ht="15.75" x14ac:dyDescent="0.25">
      <c r="C219" s="48"/>
      <c r="D219" s="60"/>
      <c r="E219" s="60"/>
      <c r="F219" s="60"/>
      <c r="G219" s="50"/>
      <c r="H219" s="61"/>
      <c r="I219" s="61"/>
      <c r="J219" s="61"/>
      <c r="K219" s="61"/>
      <c r="L219" s="61"/>
      <c r="M219" s="44"/>
      <c r="N219" s="44"/>
      <c r="O219" s="44"/>
      <c r="P219" s="44"/>
      <c r="Q219" s="64"/>
      <c r="R219" s="64"/>
      <c r="V219" s="207"/>
      <c r="AF219" s="207"/>
      <c r="AP219" s="207"/>
      <c r="AZ219" s="207"/>
    </row>
    <row r="220" spans="3:52" s="49" customFormat="1" ht="15.75" x14ac:dyDescent="0.25">
      <c r="C220" s="48"/>
      <c r="D220" s="60"/>
      <c r="E220" s="60"/>
      <c r="F220" s="60"/>
      <c r="G220" s="50"/>
      <c r="H220" s="61"/>
      <c r="I220" s="61"/>
      <c r="J220" s="61"/>
      <c r="K220" s="61"/>
      <c r="L220" s="61"/>
      <c r="M220" s="44"/>
      <c r="N220" s="44"/>
      <c r="O220" s="44"/>
      <c r="P220" s="44"/>
      <c r="Q220" s="64"/>
      <c r="R220" s="64"/>
      <c r="V220" s="207"/>
      <c r="AF220" s="207"/>
      <c r="AP220" s="207"/>
      <c r="AZ220" s="207"/>
    </row>
    <row r="221" spans="3:52" s="49" customFormat="1" ht="15.75" x14ac:dyDescent="0.25">
      <c r="C221" s="48"/>
      <c r="D221" s="60"/>
      <c r="E221" s="60"/>
      <c r="F221" s="60"/>
      <c r="G221" s="50"/>
      <c r="H221" s="61"/>
      <c r="I221" s="61"/>
      <c r="J221" s="61"/>
      <c r="K221" s="61"/>
      <c r="L221" s="61"/>
      <c r="M221" s="44"/>
      <c r="N221" s="44"/>
      <c r="O221" s="44"/>
      <c r="P221" s="44"/>
      <c r="Q221" s="64"/>
      <c r="R221" s="64"/>
      <c r="V221" s="207"/>
      <c r="AF221" s="207"/>
      <c r="AP221" s="207"/>
      <c r="AZ221" s="207"/>
    </row>
    <row r="222" spans="3:52" s="49" customFormat="1" ht="15.75" x14ac:dyDescent="0.25">
      <c r="C222" s="48"/>
      <c r="D222" s="60"/>
      <c r="E222" s="60"/>
      <c r="F222" s="60"/>
      <c r="G222" s="50"/>
      <c r="H222" s="61"/>
      <c r="I222" s="61"/>
      <c r="J222" s="61"/>
      <c r="K222" s="61"/>
      <c r="L222" s="61"/>
      <c r="M222" s="44"/>
      <c r="N222" s="44"/>
      <c r="O222" s="44"/>
      <c r="P222" s="44"/>
      <c r="Q222" s="64"/>
      <c r="R222" s="64"/>
      <c r="V222" s="207"/>
      <c r="AF222" s="207"/>
      <c r="AP222" s="207"/>
      <c r="AZ222" s="207"/>
    </row>
    <row r="223" spans="3:52" s="49" customFormat="1" ht="15.75" x14ac:dyDescent="0.25">
      <c r="C223" s="48"/>
      <c r="D223" s="60"/>
      <c r="E223" s="60"/>
      <c r="F223" s="60"/>
      <c r="G223" s="50"/>
      <c r="H223" s="61"/>
      <c r="I223" s="61"/>
      <c r="J223" s="61"/>
      <c r="K223" s="61"/>
      <c r="L223" s="61"/>
      <c r="M223" s="44"/>
      <c r="N223" s="44"/>
      <c r="O223" s="44"/>
      <c r="P223" s="44"/>
      <c r="Q223" s="64"/>
      <c r="R223" s="64"/>
      <c r="V223" s="207"/>
      <c r="AF223" s="207"/>
      <c r="AP223" s="207"/>
      <c r="AZ223" s="207"/>
    </row>
    <row r="224" spans="3:52" s="49" customFormat="1" ht="15.75" x14ac:dyDescent="0.25">
      <c r="C224" s="48"/>
      <c r="D224" s="60"/>
      <c r="E224" s="60"/>
      <c r="F224" s="60"/>
      <c r="G224" s="50"/>
      <c r="H224" s="61"/>
      <c r="I224" s="61"/>
      <c r="J224" s="61"/>
      <c r="K224" s="61"/>
      <c r="L224" s="61"/>
      <c r="M224" s="44"/>
      <c r="N224" s="44"/>
      <c r="O224" s="44"/>
      <c r="P224" s="44"/>
      <c r="Q224" s="64"/>
      <c r="R224" s="64"/>
      <c r="V224" s="207"/>
      <c r="AF224" s="207"/>
      <c r="AP224" s="207"/>
      <c r="AZ224" s="207"/>
    </row>
    <row r="225" spans="3:52" s="49" customFormat="1" ht="15.75" x14ac:dyDescent="0.25">
      <c r="C225" s="48"/>
      <c r="D225" s="60"/>
      <c r="E225" s="60"/>
      <c r="F225" s="60"/>
      <c r="G225" s="50"/>
      <c r="H225" s="61"/>
      <c r="I225" s="61"/>
      <c r="J225" s="61"/>
      <c r="K225" s="61"/>
      <c r="L225" s="61"/>
      <c r="M225" s="44"/>
      <c r="N225" s="44"/>
      <c r="O225" s="44"/>
      <c r="P225" s="44"/>
      <c r="Q225" s="64"/>
      <c r="R225" s="64"/>
      <c r="V225" s="207"/>
      <c r="AF225" s="207"/>
      <c r="AP225" s="207"/>
      <c r="AZ225" s="207"/>
    </row>
    <row r="226" spans="3:52" s="49" customFormat="1" ht="15.75" x14ac:dyDescent="0.25">
      <c r="C226" s="48"/>
      <c r="D226" s="60"/>
      <c r="E226" s="60"/>
      <c r="F226" s="60"/>
      <c r="G226" s="50"/>
      <c r="H226" s="61"/>
      <c r="I226" s="61"/>
      <c r="J226" s="61"/>
      <c r="K226" s="61"/>
      <c r="L226" s="61"/>
      <c r="M226" s="44"/>
      <c r="N226" s="44"/>
      <c r="O226" s="44"/>
      <c r="P226" s="44"/>
      <c r="Q226" s="64"/>
      <c r="R226" s="64"/>
      <c r="V226" s="207"/>
      <c r="AF226" s="207"/>
      <c r="AP226" s="207"/>
      <c r="AZ226" s="207"/>
    </row>
    <row r="227" spans="3:52" s="49" customFormat="1" ht="15.75" x14ac:dyDescent="0.25">
      <c r="C227" s="48"/>
      <c r="D227" s="60"/>
      <c r="E227" s="60"/>
      <c r="F227" s="60"/>
      <c r="G227" s="50"/>
      <c r="H227" s="61"/>
      <c r="I227" s="61"/>
      <c r="J227" s="61"/>
      <c r="K227" s="61"/>
      <c r="L227" s="61"/>
      <c r="M227" s="44"/>
      <c r="N227" s="44"/>
      <c r="O227" s="44"/>
      <c r="P227" s="44"/>
      <c r="Q227" s="64"/>
      <c r="R227" s="64"/>
      <c r="V227" s="207"/>
      <c r="AF227" s="207"/>
      <c r="AP227" s="207"/>
      <c r="AZ227" s="207"/>
    </row>
    <row r="228" spans="3:52" s="49" customFormat="1" ht="15.75" x14ac:dyDescent="0.25">
      <c r="C228" s="48"/>
      <c r="D228" s="60"/>
      <c r="E228" s="60"/>
      <c r="F228" s="60"/>
      <c r="G228" s="50"/>
      <c r="H228" s="61"/>
      <c r="I228" s="61"/>
      <c r="J228" s="61"/>
      <c r="K228" s="61"/>
      <c r="L228" s="61"/>
      <c r="M228" s="44"/>
      <c r="N228" s="44"/>
      <c r="O228" s="44"/>
      <c r="P228" s="44"/>
      <c r="Q228" s="64"/>
      <c r="R228" s="64"/>
      <c r="V228" s="207"/>
      <c r="AF228" s="207"/>
      <c r="AP228" s="207"/>
      <c r="AZ228" s="207"/>
    </row>
    <row r="229" spans="3:52" s="49" customFormat="1" ht="15.75" x14ac:dyDescent="0.25">
      <c r="C229" s="48"/>
      <c r="D229" s="60"/>
      <c r="E229" s="60"/>
      <c r="F229" s="60"/>
      <c r="G229" s="50"/>
      <c r="H229" s="61"/>
      <c r="I229" s="61"/>
      <c r="J229" s="61"/>
      <c r="K229" s="61"/>
      <c r="L229" s="61"/>
      <c r="M229" s="44"/>
      <c r="N229" s="44"/>
      <c r="O229" s="44"/>
      <c r="P229" s="44"/>
      <c r="Q229" s="64"/>
      <c r="R229" s="64"/>
      <c r="V229" s="207"/>
      <c r="AF229" s="207"/>
      <c r="AP229" s="207"/>
      <c r="AZ229" s="207"/>
    </row>
    <row r="230" spans="3:52" s="49" customFormat="1" ht="15.75" x14ac:dyDescent="0.25">
      <c r="C230" s="48"/>
      <c r="D230" s="60"/>
      <c r="E230" s="60"/>
      <c r="F230" s="60"/>
      <c r="G230" s="50"/>
      <c r="H230" s="61"/>
      <c r="I230" s="61"/>
      <c r="J230" s="61"/>
      <c r="K230" s="61"/>
      <c r="L230" s="61"/>
      <c r="M230" s="44"/>
      <c r="N230" s="44"/>
      <c r="O230" s="44"/>
      <c r="P230" s="44"/>
      <c r="Q230" s="64"/>
      <c r="R230" s="64"/>
      <c r="V230" s="207"/>
      <c r="AF230" s="207"/>
      <c r="AP230" s="207"/>
      <c r="AZ230" s="207"/>
    </row>
    <row r="231" spans="3:52" s="49" customFormat="1" ht="15.75" x14ac:dyDescent="0.25">
      <c r="C231" s="48"/>
      <c r="D231" s="60"/>
      <c r="E231" s="60"/>
      <c r="F231" s="60"/>
      <c r="G231" s="50"/>
      <c r="H231" s="61"/>
      <c r="I231" s="61"/>
      <c r="J231" s="61"/>
      <c r="K231" s="61"/>
      <c r="L231" s="61"/>
      <c r="M231" s="44"/>
      <c r="N231" s="44"/>
      <c r="O231" s="44"/>
      <c r="P231" s="44"/>
      <c r="Q231" s="64"/>
      <c r="R231" s="64"/>
      <c r="V231" s="207"/>
      <c r="AF231" s="207"/>
      <c r="AP231" s="207"/>
      <c r="AZ231" s="207"/>
    </row>
    <row r="232" spans="3:52" s="49" customFormat="1" ht="15.75" x14ac:dyDescent="0.25">
      <c r="C232" s="48"/>
      <c r="D232" s="60"/>
      <c r="E232" s="60"/>
      <c r="F232" s="60"/>
      <c r="G232" s="50"/>
      <c r="H232" s="61"/>
      <c r="I232" s="61"/>
      <c r="J232" s="61"/>
      <c r="K232" s="61"/>
      <c r="L232" s="61"/>
      <c r="M232" s="44"/>
      <c r="N232" s="44"/>
      <c r="O232" s="44"/>
      <c r="P232" s="44"/>
      <c r="Q232" s="64"/>
      <c r="R232" s="64"/>
      <c r="V232" s="207"/>
      <c r="AF232" s="207"/>
      <c r="AP232" s="207"/>
      <c r="AZ232" s="207"/>
    </row>
    <row r="233" spans="3:52" s="49" customFormat="1" ht="15.75" x14ac:dyDescent="0.25">
      <c r="C233" s="48"/>
      <c r="D233" s="60"/>
      <c r="E233" s="60"/>
      <c r="F233" s="60"/>
      <c r="G233" s="50"/>
      <c r="H233" s="61"/>
      <c r="I233" s="61"/>
      <c r="J233" s="61"/>
      <c r="K233" s="61"/>
      <c r="L233" s="61"/>
      <c r="M233" s="44"/>
      <c r="N233" s="44"/>
      <c r="O233" s="44"/>
      <c r="P233" s="44"/>
      <c r="Q233" s="64"/>
      <c r="R233" s="64"/>
      <c r="V233" s="207"/>
      <c r="AF233" s="207"/>
      <c r="AP233" s="207"/>
      <c r="AZ233" s="207"/>
    </row>
    <row r="234" spans="3:52" s="49" customFormat="1" ht="15.75" x14ac:dyDescent="0.25">
      <c r="C234" s="48"/>
      <c r="D234" s="60"/>
      <c r="E234" s="60"/>
      <c r="F234" s="60"/>
      <c r="G234" s="50"/>
      <c r="H234" s="61"/>
      <c r="I234" s="61"/>
      <c r="J234" s="61"/>
      <c r="K234" s="61"/>
      <c r="L234" s="61"/>
      <c r="M234" s="44"/>
      <c r="N234" s="44"/>
      <c r="O234" s="44"/>
      <c r="P234" s="44"/>
      <c r="Q234" s="64"/>
      <c r="R234" s="64"/>
      <c r="V234" s="207"/>
      <c r="AF234" s="207"/>
      <c r="AP234" s="207"/>
      <c r="AZ234" s="207"/>
    </row>
    <row r="235" spans="3:52" s="49" customFormat="1" ht="15.75" x14ac:dyDescent="0.25">
      <c r="C235" s="48"/>
      <c r="D235" s="60"/>
      <c r="E235" s="60"/>
      <c r="F235" s="60"/>
      <c r="G235" s="50"/>
      <c r="H235" s="61"/>
      <c r="I235" s="61"/>
      <c r="J235" s="61"/>
      <c r="K235" s="61"/>
      <c r="L235" s="61"/>
      <c r="M235" s="44"/>
      <c r="N235" s="44"/>
      <c r="O235" s="44"/>
      <c r="P235" s="44"/>
      <c r="Q235" s="64"/>
      <c r="R235" s="64"/>
      <c r="V235" s="207"/>
      <c r="AF235" s="207"/>
      <c r="AP235" s="207"/>
      <c r="AZ235" s="207"/>
    </row>
    <row r="236" spans="3:52" s="49" customFormat="1" ht="15.75" x14ac:dyDescent="0.25">
      <c r="C236" s="48"/>
      <c r="D236" s="60"/>
      <c r="E236" s="60"/>
      <c r="F236" s="60"/>
      <c r="G236" s="50"/>
      <c r="H236" s="61"/>
      <c r="I236" s="61"/>
      <c r="J236" s="61"/>
      <c r="K236" s="61"/>
      <c r="L236" s="61"/>
      <c r="M236" s="44"/>
      <c r="N236" s="44"/>
      <c r="O236" s="44"/>
      <c r="P236" s="44"/>
      <c r="Q236" s="64"/>
      <c r="R236" s="64"/>
      <c r="V236" s="207"/>
      <c r="AF236" s="207"/>
      <c r="AP236" s="207"/>
      <c r="AZ236" s="207"/>
    </row>
    <row r="237" spans="3:52" s="49" customFormat="1" ht="15.75" x14ac:dyDescent="0.25">
      <c r="C237" s="48"/>
      <c r="D237" s="60"/>
      <c r="E237" s="60"/>
      <c r="F237" s="60"/>
      <c r="G237" s="50"/>
      <c r="H237" s="61"/>
      <c r="I237" s="61"/>
      <c r="J237" s="61"/>
      <c r="K237" s="61"/>
      <c r="L237" s="61"/>
      <c r="M237" s="44"/>
      <c r="N237" s="44"/>
      <c r="O237" s="44"/>
      <c r="P237" s="44"/>
      <c r="Q237" s="64"/>
      <c r="R237" s="64"/>
      <c r="V237" s="207"/>
      <c r="AF237" s="207"/>
      <c r="AP237" s="207"/>
      <c r="AZ237" s="207"/>
    </row>
    <row r="238" spans="3:52" s="49" customFormat="1" ht="15.75" x14ac:dyDescent="0.25">
      <c r="C238" s="48"/>
      <c r="D238" s="60"/>
      <c r="E238" s="60"/>
      <c r="F238" s="60"/>
      <c r="G238" s="50"/>
      <c r="H238" s="61"/>
      <c r="I238" s="61"/>
      <c r="J238" s="61"/>
      <c r="K238" s="61"/>
      <c r="L238" s="61"/>
      <c r="M238" s="44"/>
      <c r="N238" s="44"/>
      <c r="O238" s="44"/>
      <c r="P238" s="44"/>
      <c r="Q238" s="64"/>
      <c r="R238" s="64"/>
      <c r="V238" s="207"/>
      <c r="AF238" s="207"/>
      <c r="AP238" s="207"/>
      <c r="AZ238" s="207"/>
    </row>
    <row r="239" spans="3:52" s="49" customFormat="1" ht="15.75" x14ac:dyDescent="0.25">
      <c r="C239" s="48"/>
      <c r="D239" s="60"/>
      <c r="E239" s="60"/>
      <c r="F239" s="60"/>
      <c r="G239" s="50"/>
      <c r="H239" s="61"/>
      <c r="I239" s="61"/>
      <c r="J239" s="61"/>
      <c r="K239" s="61"/>
      <c r="L239" s="61"/>
      <c r="M239" s="44"/>
      <c r="N239" s="44"/>
      <c r="O239" s="44"/>
      <c r="P239" s="44"/>
      <c r="Q239" s="64"/>
      <c r="R239" s="64"/>
      <c r="V239" s="207"/>
      <c r="AF239" s="207"/>
      <c r="AP239" s="207"/>
      <c r="AZ239" s="207"/>
    </row>
    <row r="240" spans="3:52" s="49" customFormat="1" ht="15.75" x14ac:dyDescent="0.25">
      <c r="C240" s="48"/>
      <c r="D240" s="60"/>
      <c r="E240" s="60"/>
      <c r="F240" s="60"/>
      <c r="G240" s="50"/>
      <c r="H240" s="61"/>
      <c r="I240" s="61"/>
      <c r="J240" s="61"/>
      <c r="K240" s="61"/>
      <c r="L240" s="61"/>
      <c r="M240" s="44"/>
      <c r="N240" s="44"/>
      <c r="O240" s="44"/>
      <c r="P240" s="44"/>
      <c r="Q240" s="64"/>
      <c r="R240" s="64"/>
      <c r="V240" s="207"/>
      <c r="AF240" s="207"/>
      <c r="AP240" s="207"/>
      <c r="AZ240" s="207"/>
    </row>
    <row r="241" spans="3:52" s="49" customFormat="1" ht="15.75" x14ac:dyDescent="0.25">
      <c r="C241" s="48"/>
      <c r="D241" s="60"/>
      <c r="E241" s="60"/>
      <c r="F241" s="60"/>
      <c r="G241" s="50"/>
      <c r="H241" s="61"/>
      <c r="I241" s="61"/>
      <c r="J241" s="61"/>
      <c r="K241" s="61"/>
      <c r="L241" s="61"/>
      <c r="M241" s="44"/>
      <c r="N241" s="44"/>
      <c r="O241" s="44"/>
      <c r="P241" s="44"/>
      <c r="Q241" s="64"/>
      <c r="R241" s="64"/>
      <c r="V241" s="207"/>
      <c r="AF241" s="207"/>
      <c r="AP241" s="207"/>
      <c r="AZ241" s="207"/>
    </row>
    <row r="242" spans="3:52" s="49" customFormat="1" ht="15.75" x14ac:dyDescent="0.25">
      <c r="C242" s="48"/>
      <c r="D242" s="60"/>
      <c r="E242" s="60"/>
      <c r="F242" s="60"/>
      <c r="G242" s="50"/>
      <c r="H242" s="61"/>
      <c r="I242" s="61"/>
      <c r="J242" s="61"/>
      <c r="K242" s="61"/>
      <c r="L242" s="61"/>
      <c r="M242" s="44"/>
      <c r="N242" s="44"/>
      <c r="O242" s="44"/>
      <c r="P242" s="44"/>
      <c r="Q242" s="64"/>
      <c r="R242" s="64"/>
      <c r="V242" s="207"/>
      <c r="AF242" s="207"/>
      <c r="AP242" s="207"/>
      <c r="AZ242" s="207"/>
    </row>
    <row r="243" spans="3:52" s="49" customFormat="1" ht="15.75" x14ac:dyDescent="0.25">
      <c r="C243" s="48"/>
      <c r="D243" s="60"/>
      <c r="E243" s="60"/>
      <c r="F243" s="60"/>
      <c r="G243" s="50"/>
      <c r="H243" s="61"/>
      <c r="I243" s="61"/>
      <c r="J243" s="61"/>
      <c r="K243" s="61"/>
      <c r="L243" s="61"/>
      <c r="M243" s="44"/>
      <c r="N243" s="44"/>
      <c r="O243" s="44"/>
      <c r="P243" s="44"/>
      <c r="Q243" s="64"/>
      <c r="R243" s="64"/>
      <c r="V243" s="207"/>
      <c r="AF243" s="207"/>
      <c r="AP243" s="207"/>
      <c r="AZ243" s="207"/>
    </row>
    <row r="244" spans="3:52" s="49" customFormat="1" ht="15.75" x14ac:dyDescent="0.25">
      <c r="C244" s="48"/>
      <c r="D244" s="60"/>
      <c r="E244" s="60"/>
      <c r="F244" s="60"/>
      <c r="G244" s="50"/>
      <c r="H244" s="61"/>
      <c r="I244" s="61"/>
      <c r="J244" s="61"/>
      <c r="K244" s="61"/>
      <c r="L244" s="61"/>
      <c r="M244" s="44"/>
      <c r="N244" s="44"/>
      <c r="O244" s="44"/>
      <c r="P244" s="44"/>
      <c r="Q244" s="64"/>
      <c r="R244" s="64"/>
      <c r="V244" s="207"/>
      <c r="AF244" s="207"/>
      <c r="AP244" s="207"/>
      <c r="AZ244" s="207"/>
    </row>
    <row r="245" spans="3:52" s="49" customFormat="1" ht="15.75" x14ac:dyDescent="0.25">
      <c r="C245" s="48"/>
      <c r="D245" s="60"/>
      <c r="E245" s="60"/>
      <c r="F245" s="60"/>
      <c r="G245" s="50"/>
      <c r="H245" s="61"/>
      <c r="I245" s="61"/>
      <c r="J245" s="61"/>
      <c r="K245" s="61"/>
      <c r="L245" s="61"/>
      <c r="M245" s="44"/>
      <c r="N245" s="44"/>
      <c r="O245" s="44"/>
      <c r="P245" s="44"/>
      <c r="Q245" s="64"/>
      <c r="R245" s="64"/>
      <c r="V245" s="207"/>
      <c r="AF245" s="207"/>
      <c r="AP245" s="207"/>
      <c r="AZ245" s="207"/>
    </row>
    <row r="246" spans="3:52" s="49" customFormat="1" ht="15.75" x14ac:dyDescent="0.25">
      <c r="C246" s="48"/>
      <c r="D246" s="60"/>
      <c r="E246" s="60"/>
      <c r="F246" s="60"/>
      <c r="G246" s="50"/>
      <c r="H246" s="61"/>
      <c r="I246" s="61"/>
      <c r="J246" s="61"/>
      <c r="K246" s="61"/>
      <c r="L246" s="61"/>
      <c r="M246" s="44"/>
      <c r="N246" s="44"/>
      <c r="O246" s="44"/>
      <c r="P246" s="44"/>
      <c r="Q246" s="64"/>
      <c r="R246" s="64"/>
      <c r="V246" s="207"/>
      <c r="AF246" s="207"/>
      <c r="AP246" s="207"/>
      <c r="AZ246" s="207"/>
    </row>
    <row r="247" spans="3:52" s="49" customFormat="1" ht="15.75" x14ac:dyDescent="0.25">
      <c r="C247" s="48"/>
      <c r="D247" s="60"/>
      <c r="E247" s="60"/>
      <c r="F247" s="60"/>
      <c r="G247" s="50"/>
      <c r="H247" s="61"/>
      <c r="I247" s="61"/>
      <c r="J247" s="61"/>
      <c r="K247" s="61"/>
      <c r="L247" s="61"/>
      <c r="M247" s="44"/>
      <c r="N247" s="44"/>
      <c r="O247" s="44"/>
      <c r="P247" s="44"/>
      <c r="Q247" s="64"/>
      <c r="R247" s="64"/>
      <c r="V247" s="207"/>
      <c r="AF247" s="207"/>
      <c r="AP247" s="207"/>
      <c r="AZ247" s="207"/>
    </row>
    <row r="248" spans="3:52" s="49" customFormat="1" ht="15.75" x14ac:dyDescent="0.25">
      <c r="C248" s="48"/>
      <c r="D248" s="60"/>
      <c r="E248" s="60"/>
      <c r="F248" s="60"/>
      <c r="G248" s="50"/>
      <c r="H248" s="61"/>
      <c r="I248" s="61"/>
      <c r="J248" s="61"/>
      <c r="K248" s="61"/>
      <c r="L248" s="61"/>
      <c r="M248" s="44"/>
      <c r="N248" s="44"/>
      <c r="O248" s="44"/>
      <c r="P248" s="44"/>
      <c r="Q248" s="64"/>
      <c r="R248" s="64"/>
      <c r="V248" s="207"/>
      <c r="AF248" s="207"/>
      <c r="AP248" s="207"/>
      <c r="AZ248" s="207"/>
    </row>
    <row r="249" spans="3:52" s="49" customFormat="1" ht="15.75" x14ac:dyDescent="0.25">
      <c r="C249" s="48"/>
      <c r="D249" s="60"/>
      <c r="E249" s="60"/>
      <c r="F249" s="60"/>
      <c r="G249" s="50"/>
      <c r="H249" s="61"/>
      <c r="I249" s="61"/>
      <c r="J249" s="61"/>
      <c r="K249" s="61"/>
      <c r="L249" s="61"/>
      <c r="M249" s="44"/>
      <c r="N249" s="44"/>
      <c r="O249" s="44"/>
      <c r="P249" s="44"/>
      <c r="Q249" s="64"/>
      <c r="R249" s="64"/>
      <c r="V249" s="207"/>
      <c r="AF249" s="207"/>
      <c r="AP249" s="207"/>
      <c r="AZ249" s="207"/>
    </row>
    <row r="250" spans="3:52" s="49" customFormat="1" ht="15.75" x14ac:dyDescent="0.25">
      <c r="C250" s="48"/>
      <c r="D250" s="60"/>
      <c r="E250" s="60"/>
      <c r="F250" s="60"/>
      <c r="G250" s="50"/>
      <c r="H250" s="61"/>
      <c r="I250" s="61"/>
      <c r="J250" s="61"/>
      <c r="K250" s="61"/>
      <c r="L250" s="61"/>
      <c r="M250" s="44"/>
      <c r="N250" s="44"/>
      <c r="O250" s="44"/>
      <c r="P250" s="44"/>
      <c r="Q250" s="64"/>
      <c r="R250" s="64"/>
      <c r="V250" s="207"/>
      <c r="AF250" s="207"/>
      <c r="AP250" s="207"/>
      <c r="AZ250" s="207"/>
    </row>
    <row r="251" spans="3:52" s="49" customFormat="1" ht="15.75" x14ac:dyDescent="0.25">
      <c r="C251" s="48"/>
      <c r="D251" s="60"/>
      <c r="E251" s="60"/>
      <c r="F251" s="60"/>
      <c r="G251" s="50"/>
      <c r="H251" s="61"/>
      <c r="I251" s="61"/>
      <c r="J251" s="61"/>
      <c r="K251" s="61"/>
      <c r="L251" s="61"/>
      <c r="M251" s="44"/>
      <c r="N251" s="44"/>
      <c r="O251" s="44"/>
      <c r="P251" s="44"/>
      <c r="Q251" s="64"/>
      <c r="R251" s="64"/>
      <c r="V251" s="207"/>
      <c r="AF251" s="207"/>
      <c r="AP251" s="207"/>
      <c r="AZ251" s="207"/>
    </row>
    <row r="252" spans="3:52" s="49" customFormat="1" ht="15.75" x14ac:dyDescent="0.25">
      <c r="C252" s="48"/>
      <c r="D252" s="60"/>
      <c r="E252" s="60"/>
      <c r="F252" s="60"/>
      <c r="G252" s="50"/>
      <c r="H252" s="61"/>
      <c r="I252" s="61"/>
      <c r="J252" s="61"/>
      <c r="K252" s="61"/>
      <c r="L252" s="61"/>
      <c r="M252" s="44"/>
      <c r="N252" s="44"/>
      <c r="O252" s="44"/>
      <c r="P252" s="44"/>
      <c r="Q252" s="64"/>
      <c r="R252" s="64"/>
      <c r="V252" s="207"/>
      <c r="AF252" s="207"/>
      <c r="AP252" s="207"/>
      <c r="AZ252" s="207"/>
    </row>
    <row r="253" spans="3:52" s="49" customFormat="1" ht="15.75" x14ac:dyDescent="0.25">
      <c r="C253" s="48"/>
      <c r="D253" s="60"/>
      <c r="E253" s="60"/>
      <c r="F253" s="60"/>
      <c r="G253" s="50"/>
      <c r="H253" s="61"/>
      <c r="I253" s="61"/>
      <c r="J253" s="61"/>
      <c r="K253" s="61"/>
      <c r="L253" s="61"/>
      <c r="M253" s="44"/>
      <c r="N253" s="44"/>
      <c r="O253" s="44"/>
      <c r="P253" s="44"/>
      <c r="Q253" s="64"/>
      <c r="R253" s="64"/>
      <c r="V253" s="207"/>
      <c r="AF253" s="207"/>
      <c r="AP253" s="207"/>
      <c r="AZ253" s="207"/>
    </row>
    <row r="254" spans="3:52" s="49" customFormat="1" ht="15.75" x14ac:dyDescent="0.25">
      <c r="C254" s="48"/>
      <c r="D254" s="60"/>
      <c r="E254" s="60"/>
      <c r="F254" s="60"/>
      <c r="G254" s="50"/>
      <c r="H254" s="61"/>
      <c r="I254" s="61"/>
      <c r="J254" s="61"/>
      <c r="K254" s="61"/>
      <c r="L254" s="61"/>
      <c r="M254" s="44"/>
      <c r="N254" s="44"/>
      <c r="O254" s="44"/>
      <c r="P254" s="44"/>
      <c r="Q254" s="64"/>
      <c r="R254" s="64"/>
      <c r="V254" s="207"/>
      <c r="AF254" s="207"/>
      <c r="AP254" s="207"/>
      <c r="AZ254" s="207"/>
    </row>
    <row r="255" spans="3:52" s="49" customFormat="1" ht="15.75" x14ac:dyDescent="0.25">
      <c r="C255" s="48"/>
      <c r="D255" s="60"/>
      <c r="E255" s="60"/>
      <c r="F255" s="60"/>
      <c r="G255" s="50"/>
      <c r="H255" s="61"/>
      <c r="I255" s="61"/>
      <c r="J255" s="61"/>
      <c r="K255" s="61"/>
      <c r="L255" s="61"/>
      <c r="M255" s="44"/>
      <c r="N255" s="44"/>
      <c r="O255" s="44"/>
      <c r="P255" s="44"/>
      <c r="Q255" s="64"/>
      <c r="R255" s="64"/>
      <c r="V255" s="207"/>
      <c r="AF255" s="207"/>
      <c r="AP255" s="207"/>
      <c r="AZ255" s="207"/>
    </row>
    <row r="256" spans="3:52" s="49" customFormat="1" ht="15.75" x14ac:dyDescent="0.25">
      <c r="C256" s="48"/>
      <c r="D256" s="60"/>
      <c r="E256" s="60"/>
      <c r="F256" s="60"/>
      <c r="G256" s="50"/>
      <c r="H256" s="61"/>
      <c r="I256" s="61"/>
      <c r="J256" s="61"/>
      <c r="K256" s="61"/>
      <c r="L256" s="61"/>
      <c r="M256" s="44"/>
      <c r="N256" s="44"/>
      <c r="O256" s="44"/>
      <c r="P256" s="44"/>
      <c r="Q256" s="64"/>
      <c r="R256" s="64"/>
      <c r="V256" s="207"/>
      <c r="AF256" s="207"/>
      <c r="AP256" s="207"/>
      <c r="AZ256" s="207"/>
    </row>
    <row r="257" spans="3:52" s="49" customFormat="1" ht="15.75" x14ac:dyDescent="0.25">
      <c r="C257" s="48"/>
      <c r="D257" s="60"/>
      <c r="E257" s="60"/>
      <c r="F257" s="60"/>
      <c r="G257" s="50"/>
      <c r="H257" s="61"/>
      <c r="I257" s="61"/>
      <c r="J257" s="61"/>
      <c r="K257" s="61"/>
      <c r="L257" s="61"/>
      <c r="M257" s="44"/>
      <c r="N257" s="44"/>
      <c r="O257" s="44"/>
      <c r="P257" s="44"/>
      <c r="Q257" s="64"/>
      <c r="R257" s="64"/>
      <c r="V257" s="207"/>
      <c r="AF257" s="207"/>
      <c r="AP257" s="207"/>
      <c r="AZ257" s="207"/>
    </row>
    <row r="258" spans="3:52" s="49" customFormat="1" ht="15.75" x14ac:dyDescent="0.25">
      <c r="C258" s="48"/>
      <c r="D258" s="60"/>
      <c r="E258" s="60"/>
      <c r="F258" s="60"/>
      <c r="G258" s="50"/>
      <c r="H258" s="61"/>
      <c r="I258" s="61"/>
      <c r="J258" s="61"/>
      <c r="K258" s="61"/>
      <c r="L258" s="61"/>
      <c r="M258" s="44"/>
      <c r="N258" s="44"/>
      <c r="O258" s="44"/>
      <c r="P258" s="44"/>
      <c r="Q258" s="64"/>
      <c r="R258" s="64"/>
      <c r="V258" s="207"/>
      <c r="AF258" s="207"/>
      <c r="AP258" s="207"/>
      <c r="AZ258" s="207"/>
    </row>
    <row r="259" spans="3:52" s="49" customFormat="1" ht="15.75" x14ac:dyDescent="0.25">
      <c r="C259" s="48"/>
      <c r="D259" s="60"/>
      <c r="E259" s="60"/>
      <c r="F259" s="60"/>
      <c r="G259" s="50"/>
      <c r="H259" s="61"/>
      <c r="I259" s="61"/>
      <c r="J259" s="61"/>
      <c r="K259" s="61"/>
      <c r="L259" s="61"/>
      <c r="M259" s="44"/>
      <c r="N259" s="44"/>
      <c r="O259" s="44"/>
      <c r="P259" s="44"/>
      <c r="Q259" s="64"/>
      <c r="R259" s="64"/>
      <c r="V259" s="207"/>
      <c r="AF259" s="207"/>
      <c r="AP259" s="207"/>
      <c r="AZ259" s="207"/>
    </row>
    <row r="260" spans="3:52" s="49" customFormat="1" ht="15.75" x14ac:dyDescent="0.25">
      <c r="C260" s="48"/>
      <c r="D260" s="60"/>
      <c r="E260" s="60"/>
      <c r="F260" s="60"/>
      <c r="G260" s="50"/>
      <c r="H260" s="61"/>
      <c r="I260" s="61"/>
      <c r="J260" s="61"/>
      <c r="K260" s="61"/>
      <c r="L260" s="61"/>
      <c r="M260" s="44"/>
      <c r="N260" s="44"/>
      <c r="O260" s="44"/>
      <c r="P260" s="44"/>
      <c r="Q260" s="64"/>
      <c r="R260" s="64"/>
      <c r="V260" s="207"/>
      <c r="AF260" s="207"/>
      <c r="AP260" s="207"/>
      <c r="AZ260" s="207"/>
    </row>
    <row r="261" spans="3:52" s="49" customFormat="1" ht="15.75" x14ac:dyDescent="0.25">
      <c r="C261" s="48"/>
      <c r="D261" s="60"/>
      <c r="E261" s="60"/>
      <c r="F261" s="60"/>
      <c r="G261" s="50"/>
      <c r="H261" s="61"/>
      <c r="I261" s="61"/>
      <c r="J261" s="61"/>
      <c r="K261" s="61"/>
      <c r="L261" s="61"/>
      <c r="M261" s="44"/>
      <c r="N261" s="44"/>
      <c r="O261" s="44"/>
      <c r="P261" s="44"/>
      <c r="Q261" s="64"/>
      <c r="R261" s="64"/>
      <c r="V261" s="207"/>
      <c r="AF261" s="207"/>
      <c r="AP261" s="207"/>
      <c r="AZ261" s="207"/>
    </row>
    <row r="262" spans="3:52" s="49" customFormat="1" ht="15.75" x14ac:dyDescent="0.25">
      <c r="C262" s="48"/>
      <c r="D262" s="60"/>
      <c r="E262" s="60"/>
      <c r="F262" s="60"/>
      <c r="G262" s="50"/>
      <c r="H262" s="61"/>
      <c r="I262" s="61"/>
      <c r="J262" s="61"/>
      <c r="K262" s="61"/>
      <c r="L262" s="61"/>
      <c r="M262" s="44"/>
      <c r="N262" s="44"/>
      <c r="O262" s="44"/>
      <c r="P262" s="44"/>
      <c r="Q262" s="64"/>
      <c r="R262" s="64"/>
      <c r="V262" s="207"/>
      <c r="AF262" s="207"/>
      <c r="AP262" s="207"/>
      <c r="AZ262" s="207"/>
    </row>
    <row r="263" spans="3:52" s="49" customFormat="1" ht="15.75" x14ac:dyDescent="0.25">
      <c r="C263" s="48"/>
      <c r="D263" s="60"/>
      <c r="E263" s="60"/>
      <c r="F263" s="60"/>
      <c r="G263" s="50"/>
      <c r="H263" s="61"/>
      <c r="I263" s="61"/>
      <c r="J263" s="61"/>
      <c r="K263" s="61"/>
      <c r="L263" s="61"/>
      <c r="M263" s="44"/>
      <c r="N263" s="44"/>
      <c r="O263" s="44"/>
      <c r="P263" s="44"/>
      <c r="Q263" s="64"/>
      <c r="R263" s="64"/>
      <c r="V263" s="207"/>
      <c r="AF263" s="207"/>
      <c r="AP263" s="207"/>
      <c r="AZ263" s="207"/>
    </row>
    <row r="264" spans="3:52" s="49" customFormat="1" ht="15.75" x14ac:dyDescent="0.25">
      <c r="C264" s="48"/>
      <c r="D264" s="60"/>
      <c r="E264" s="60"/>
      <c r="F264" s="60"/>
      <c r="G264" s="50"/>
      <c r="H264" s="61"/>
      <c r="I264" s="61"/>
      <c r="J264" s="61"/>
      <c r="K264" s="61"/>
      <c r="L264" s="61"/>
      <c r="M264" s="44"/>
      <c r="N264" s="44"/>
      <c r="O264" s="44"/>
      <c r="P264" s="44"/>
      <c r="Q264" s="64"/>
      <c r="R264" s="64"/>
      <c r="V264" s="207"/>
      <c r="AF264" s="207"/>
      <c r="AP264" s="207"/>
      <c r="AZ264" s="207"/>
    </row>
    <row r="265" spans="3:52" s="49" customFormat="1" ht="15.75" x14ac:dyDescent="0.25">
      <c r="C265" s="48"/>
      <c r="D265" s="60"/>
      <c r="E265" s="60"/>
      <c r="F265" s="60"/>
      <c r="G265" s="50"/>
      <c r="H265" s="61"/>
      <c r="I265" s="61"/>
      <c r="J265" s="61"/>
      <c r="K265" s="61"/>
      <c r="L265" s="61"/>
      <c r="M265" s="44"/>
      <c r="N265" s="44"/>
      <c r="O265" s="44"/>
      <c r="P265" s="44"/>
      <c r="Q265" s="64"/>
      <c r="R265" s="64"/>
      <c r="V265" s="207"/>
      <c r="AF265" s="207"/>
      <c r="AP265" s="207"/>
      <c r="AZ265" s="207"/>
    </row>
    <row r="266" spans="3:52" s="49" customFormat="1" ht="15.75" x14ac:dyDescent="0.25">
      <c r="C266" s="48"/>
      <c r="D266" s="60"/>
      <c r="E266" s="60"/>
      <c r="F266" s="60"/>
      <c r="G266" s="50"/>
      <c r="H266" s="61"/>
      <c r="I266" s="61"/>
      <c r="J266" s="61"/>
      <c r="K266" s="61"/>
      <c r="L266" s="61"/>
      <c r="M266" s="44"/>
      <c r="N266" s="44"/>
      <c r="O266" s="44"/>
      <c r="P266" s="44"/>
      <c r="Q266" s="64"/>
      <c r="R266" s="64"/>
      <c r="V266" s="207"/>
      <c r="AF266" s="207"/>
      <c r="AP266" s="207"/>
      <c r="AZ266" s="207"/>
    </row>
    <row r="267" spans="3:52" s="49" customFormat="1" ht="15.75" x14ac:dyDescent="0.25">
      <c r="C267" s="48"/>
      <c r="D267" s="60"/>
      <c r="E267" s="60"/>
      <c r="F267" s="60"/>
      <c r="G267" s="50"/>
      <c r="H267" s="61"/>
      <c r="I267" s="61"/>
      <c r="J267" s="61"/>
      <c r="K267" s="61"/>
      <c r="L267" s="61"/>
      <c r="M267" s="44"/>
      <c r="N267" s="44"/>
      <c r="O267" s="44"/>
      <c r="P267" s="44"/>
      <c r="Q267" s="64"/>
      <c r="R267" s="64"/>
      <c r="V267" s="207"/>
      <c r="AF267" s="207"/>
      <c r="AP267" s="207"/>
      <c r="AZ267" s="207"/>
    </row>
    <row r="268" spans="3:52" s="49" customFormat="1" ht="15.75" x14ac:dyDescent="0.25">
      <c r="C268" s="48"/>
      <c r="D268" s="60"/>
      <c r="E268" s="60"/>
      <c r="F268" s="60"/>
      <c r="G268" s="50"/>
      <c r="H268" s="61"/>
      <c r="I268" s="61"/>
      <c r="J268" s="61"/>
      <c r="K268" s="61"/>
      <c r="L268" s="61"/>
      <c r="M268" s="44"/>
      <c r="N268" s="44"/>
      <c r="O268" s="44"/>
      <c r="P268" s="44"/>
      <c r="Q268" s="64"/>
      <c r="R268" s="64"/>
      <c r="V268" s="207"/>
      <c r="AF268" s="207"/>
      <c r="AP268" s="207"/>
      <c r="AZ268" s="207"/>
    </row>
    <row r="269" spans="3:52" s="49" customFormat="1" ht="15.75" x14ac:dyDescent="0.25">
      <c r="C269" s="48"/>
      <c r="D269" s="60"/>
      <c r="E269" s="60"/>
      <c r="F269" s="60"/>
      <c r="G269" s="50"/>
      <c r="H269" s="61"/>
      <c r="I269" s="61"/>
      <c r="J269" s="61"/>
      <c r="K269" s="61"/>
      <c r="L269" s="61"/>
      <c r="M269" s="44"/>
      <c r="N269" s="44"/>
      <c r="O269" s="44"/>
      <c r="P269" s="44"/>
      <c r="Q269" s="64"/>
      <c r="R269" s="64"/>
      <c r="V269" s="207"/>
      <c r="AF269" s="207"/>
      <c r="AP269" s="207"/>
      <c r="AZ269" s="207"/>
    </row>
    <row r="270" spans="3:52" s="49" customFormat="1" ht="15.75" x14ac:dyDescent="0.25">
      <c r="C270" s="48"/>
      <c r="D270" s="60"/>
      <c r="E270" s="60"/>
      <c r="F270" s="60"/>
      <c r="G270" s="50"/>
      <c r="H270" s="61"/>
      <c r="I270" s="61"/>
      <c r="J270" s="61"/>
      <c r="K270" s="61"/>
      <c r="L270" s="61"/>
      <c r="M270" s="44"/>
      <c r="N270" s="44"/>
      <c r="O270" s="44"/>
      <c r="P270" s="44"/>
      <c r="Q270" s="64"/>
      <c r="R270" s="64"/>
      <c r="V270" s="207"/>
      <c r="AF270" s="207"/>
      <c r="AP270" s="207"/>
      <c r="AZ270" s="207"/>
    </row>
    <row r="271" spans="3:52" s="49" customFormat="1" ht="15.75" x14ac:dyDescent="0.25">
      <c r="C271" s="48"/>
      <c r="D271" s="60"/>
      <c r="E271" s="60"/>
      <c r="F271" s="60"/>
      <c r="G271" s="50"/>
      <c r="H271" s="61"/>
      <c r="I271" s="61"/>
      <c r="J271" s="61"/>
      <c r="K271" s="61"/>
      <c r="L271" s="61"/>
      <c r="M271" s="44"/>
      <c r="N271" s="44"/>
      <c r="O271" s="44"/>
      <c r="P271" s="44"/>
      <c r="Q271" s="64"/>
      <c r="R271" s="64"/>
      <c r="V271" s="207"/>
      <c r="AF271" s="207"/>
      <c r="AP271" s="207"/>
      <c r="AZ271" s="207"/>
    </row>
    <row r="272" spans="3:52" s="49" customFormat="1" ht="15.75" x14ac:dyDescent="0.25">
      <c r="C272" s="48"/>
      <c r="D272" s="60"/>
      <c r="E272" s="60"/>
      <c r="F272" s="60"/>
      <c r="G272" s="50"/>
      <c r="H272" s="61"/>
      <c r="I272" s="61"/>
      <c r="J272" s="61"/>
      <c r="K272" s="61"/>
      <c r="L272" s="61"/>
      <c r="M272" s="44"/>
      <c r="N272" s="44"/>
      <c r="O272" s="44"/>
      <c r="P272" s="44"/>
      <c r="Q272" s="64"/>
      <c r="R272" s="64"/>
      <c r="V272" s="207"/>
      <c r="AF272" s="207"/>
      <c r="AP272" s="207"/>
      <c r="AZ272" s="207"/>
    </row>
    <row r="273" spans="3:52" s="49" customFormat="1" ht="15.75" x14ac:dyDescent="0.25">
      <c r="C273" s="48"/>
      <c r="D273" s="60"/>
      <c r="E273" s="60"/>
      <c r="F273" s="60"/>
      <c r="G273" s="50"/>
      <c r="H273" s="61"/>
      <c r="I273" s="61"/>
      <c r="J273" s="61"/>
      <c r="K273" s="61"/>
      <c r="L273" s="61"/>
      <c r="M273" s="44"/>
      <c r="N273" s="44"/>
      <c r="O273" s="44"/>
      <c r="P273" s="44"/>
      <c r="Q273" s="64"/>
      <c r="R273" s="64"/>
      <c r="V273" s="207"/>
      <c r="AF273" s="207"/>
      <c r="AP273" s="207"/>
      <c r="AZ273" s="207"/>
    </row>
    <row r="274" spans="3:52" s="49" customFormat="1" ht="15.75" x14ac:dyDescent="0.25">
      <c r="C274" s="48"/>
      <c r="D274" s="60"/>
      <c r="E274" s="60"/>
      <c r="F274" s="60"/>
      <c r="G274" s="50"/>
      <c r="H274" s="61"/>
      <c r="I274" s="61"/>
      <c r="J274" s="61"/>
      <c r="K274" s="61"/>
      <c r="L274" s="61"/>
      <c r="M274" s="44"/>
      <c r="N274" s="44"/>
      <c r="O274" s="44"/>
      <c r="P274" s="44"/>
      <c r="Q274" s="64"/>
      <c r="R274" s="64"/>
      <c r="V274" s="207"/>
      <c r="AF274" s="207"/>
      <c r="AP274" s="207"/>
      <c r="AZ274" s="207"/>
    </row>
    <row r="275" spans="3:52" s="49" customFormat="1" ht="15.75" x14ac:dyDescent="0.25">
      <c r="C275" s="48"/>
      <c r="D275" s="60"/>
      <c r="E275" s="60"/>
      <c r="F275" s="60"/>
      <c r="G275" s="50"/>
      <c r="H275" s="61"/>
      <c r="I275" s="61"/>
      <c r="J275" s="61"/>
      <c r="K275" s="61"/>
      <c r="L275" s="61"/>
      <c r="M275" s="44"/>
      <c r="N275" s="44"/>
      <c r="O275" s="44"/>
      <c r="P275" s="44"/>
      <c r="Q275" s="64"/>
      <c r="R275" s="64"/>
      <c r="V275" s="207"/>
      <c r="AF275" s="207"/>
      <c r="AP275" s="207"/>
      <c r="AZ275" s="207"/>
    </row>
    <row r="276" spans="3:52" s="49" customFormat="1" ht="15.75" x14ac:dyDescent="0.25">
      <c r="C276" s="48"/>
      <c r="D276" s="60"/>
      <c r="E276" s="60"/>
      <c r="F276" s="60"/>
      <c r="G276" s="50"/>
      <c r="H276" s="61"/>
      <c r="I276" s="61"/>
      <c r="J276" s="61"/>
      <c r="K276" s="61"/>
      <c r="L276" s="61"/>
      <c r="M276" s="44"/>
      <c r="N276" s="44"/>
      <c r="O276" s="44"/>
      <c r="P276" s="44"/>
      <c r="Q276" s="64"/>
      <c r="R276" s="64"/>
      <c r="V276" s="207"/>
      <c r="AF276" s="207"/>
      <c r="AP276" s="207"/>
      <c r="AZ276" s="207"/>
    </row>
    <row r="277" spans="3:52" s="49" customFormat="1" ht="15.75" x14ac:dyDescent="0.25">
      <c r="C277" s="48"/>
      <c r="D277" s="60"/>
      <c r="E277" s="60"/>
      <c r="F277" s="60"/>
      <c r="G277" s="50"/>
      <c r="H277" s="61"/>
      <c r="I277" s="61"/>
      <c r="J277" s="61"/>
      <c r="K277" s="61"/>
      <c r="L277" s="61"/>
      <c r="M277" s="44"/>
      <c r="N277" s="44"/>
      <c r="O277" s="44"/>
      <c r="P277" s="44"/>
      <c r="Q277" s="64"/>
      <c r="R277" s="64"/>
      <c r="V277" s="207"/>
      <c r="AF277" s="207"/>
      <c r="AP277" s="207"/>
      <c r="AZ277" s="207"/>
    </row>
    <row r="278" spans="3:52" s="49" customFormat="1" ht="15.75" x14ac:dyDescent="0.25">
      <c r="C278" s="48"/>
      <c r="D278" s="60"/>
      <c r="E278" s="60"/>
      <c r="F278" s="60"/>
      <c r="G278" s="50"/>
      <c r="H278" s="61"/>
      <c r="I278" s="61"/>
      <c r="J278" s="61"/>
      <c r="K278" s="61"/>
      <c r="L278" s="61"/>
      <c r="M278" s="44"/>
      <c r="N278" s="44"/>
      <c r="O278" s="44"/>
      <c r="P278" s="44"/>
      <c r="Q278" s="64"/>
      <c r="R278" s="64"/>
      <c r="V278" s="207"/>
      <c r="AF278" s="207"/>
      <c r="AP278" s="207"/>
      <c r="AZ278" s="207"/>
    </row>
    <row r="279" spans="3:52" s="49" customFormat="1" ht="15.75" x14ac:dyDescent="0.25">
      <c r="C279" s="48"/>
      <c r="D279" s="60"/>
      <c r="E279" s="60"/>
      <c r="F279" s="60"/>
      <c r="G279" s="50"/>
      <c r="H279" s="61"/>
      <c r="I279" s="61"/>
      <c r="J279" s="61"/>
      <c r="K279" s="61"/>
      <c r="L279" s="61"/>
      <c r="M279" s="44"/>
      <c r="N279" s="44"/>
      <c r="O279" s="44"/>
      <c r="P279" s="44"/>
      <c r="Q279" s="64"/>
      <c r="R279" s="64"/>
      <c r="V279" s="207"/>
      <c r="AF279" s="207"/>
      <c r="AP279" s="207"/>
      <c r="AZ279" s="207"/>
    </row>
    <row r="280" spans="3:52" s="49" customFormat="1" ht="15.75" x14ac:dyDescent="0.25">
      <c r="C280" s="48"/>
      <c r="D280" s="60"/>
      <c r="E280" s="60"/>
      <c r="F280" s="60"/>
      <c r="G280" s="50"/>
      <c r="H280" s="61"/>
      <c r="I280" s="61"/>
      <c r="J280" s="61"/>
      <c r="K280" s="61"/>
      <c r="L280" s="61"/>
      <c r="M280" s="44"/>
      <c r="N280" s="44"/>
      <c r="O280" s="44"/>
      <c r="P280" s="44"/>
      <c r="Q280" s="64"/>
      <c r="R280" s="64"/>
      <c r="V280" s="207"/>
      <c r="AF280" s="207"/>
      <c r="AP280" s="207"/>
      <c r="AZ280" s="207"/>
    </row>
    <row r="281" spans="3:52" s="49" customFormat="1" ht="15.75" x14ac:dyDescent="0.25">
      <c r="C281" s="48"/>
      <c r="D281" s="60"/>
      <c r="E281" s="60"/>
      <c r="F281" s="60"/>
      <c r="G281" s="50"/>
      <c r="H281" s="61"/>
      <c r="I281" s="61"/>
      <c r="J281" s="61"/>
      <c r="K281" s="61"/>
      <c r="L281" s="61"/>
      <c r="M281" s="44"/>
      <c r="N281" s="44"/>
      <c r="O281" s="44"/>
      <c r="P281" s="44"/>
      <c r="Q281" s="64"/>
      <c r="R281" s="64"/>
      <c r="V281" s="207"/>
      <c r="AF281" s="207"/>
      <c r="AP281" s="207"/>
      <c r="AZ281" s="207"/>
    </row>
    <row r="282" spans="3:52" s="49" customFormat="1" ht="15.75" x14ac:dyDescent="0.25">
      <c r="C282" s="48"/>
      <c r="D282" s="60"/>
      <c r="E282" s="60"/>
      <c r="F282" s="60"/>
      <c r="G282" s="50"/>
      <c r="H282" s="61"/>
      <c r="I282" s="61"/>
      <c r="J282" s="61"/>
      <c r="K282" s="61"/>
      <c r="L282" s="61"/>
      <c r="M282" s="44"/>
      <c r="N282" s="44"/>
      <c r="O282" s="44"/>
      <c r="P282" s="44"/>
      <c r="Q282" s="64"/>
      <c r="R282" s="64"/>
      <c r="V282" s="207"/>
      <c r="AF282" s="207"/>
      <c r="AP282" s="207"/>
      <c r="AZ282" s="207"/>
    </row>
    <row r="283" spans="3:52" s="49" customFormat="1" ht="15.75" x14ac:dyDescent="0.25">
      <c r="C283" s="48"/>
      <c r="D283" s="60"/>
      <c r="E283" s="60"/>
      <c r="F283" s="60"/>
      <c r="G283" s="50"/>
      <c r="H283" s="61"/>
      <c r="I283" s="61"/>
      <c r="J283" s="61"/>
      <c r="K283" s="61"/>
      <c r="L283" s="61"/>
      <c r="M283" s="44"/>
      <c r="N283" s="44"/>
      <c r="O283" s="44"/>
      <c r="P283" s="44"/>
      <c r="Q283" s="64"/>
      <c r="R283" s="64"/>
      <c r="V283" s="207"/>
      <c r="AF283" s="207"/>
      <c r="AP283" s="207"/>
      <c r="AZ283" s="207"/>
    </row>
    <row r="284" spans="3:52" s="49" customFormat="1" ht="15.75" x14ac:dyDescent="0.25">
      <c r="C284" s="48"/>
      <c r="D284" s="60"/>
      <c r="E284" s="60"/>
      <c r="F284" s="60"/>
      <c r="G284" s="50"/>
      <c r="H284" s="61"/>
      <c r="I284" s="61"/>
      <c r="J284" s="61"/>
      <c r="K284" s="61"/>
      <c r="L284" s="61"/>
      <c r="M284" s="44"/>
      <c r="N284" s="44"/>
      <c r="O284" s="44"/>
      <c r="P284" s="44"/>
      <c r="Q284" s="64"/>
      <c r="R284" s="64"/>
      <c r="V284" s="207"/>
      <c r="AF284" s="207"/>
      <c r="AP284" s="207"/>
      <c r="AZ284" s="207"/>
    </row>
    <row r="285" spans="3:52" s="49" customFormat="1" ht="15.75" x14ac:dyDescent="0.25">
      <c r="C285" s="48"/>
      <c r="D285" s="60"/>
      <c r="E285" s="60"/>
      <c r="F285" s="60"/>
      <c r="G285" s="50"/>
      <c r="H285" s="61"/>
      <c r="I285" s="61"/>
      <c r="J285" s="61"/>
      <c r="K285" s="61"/>
      <c r="L285" s="61"/>
      <c r="M285" s="44"/>
      <c r="N285" s="44"/>
      <c r="O285" s="44"/>
      <c r="P285" s="44"/>
      <c r="Q285" s="64"/>
      <c r="R285" s="64"/>
      <c r="V285" s="207"/>
      <c r="AF285" s="207"/>
      <c r="AP285" s="207"/>
      <c r="AZ285" s="207"/>
    </row>
    <row r="286" spans="3:52" s="49" customFormat="1" ht="15.75" x14ac:dyDescent="0.25">
      <c r="C286" s="48"/>
      <c r="D286" s="60"/>
      <c r="E286" s="60"/>
      <c r="F286" s="60"/>
      <c r="G286" s="50"/>
      <c r="H286" s="61"/>
      <c r="I286" s="61"/>
      <c r="J286" s="61"/>
      <c r="K286" s="61"/>
      <c r="L286" s="61"/>
      <c r="M286" s="44"/>
      <c r="N286" s="44"/>
      <c r="O286" s="44"/>
      <c r="P286" s="44"/>
      <c r="Q286" s="64"/>
      <c r="R286" s="64"/>
      <c r="V286" s="207"/>
      <c r="AF286" s="207"/>
      <c r="AP286" s="207"/>
      <c r="AZ286" s="207"/>
    </row>
    <row r="287" spans="3:52" s="49" customFormat="1" ht="15.75" x14ac:dyDescent="0.25">
      <c r="C287" s="48"/>
      <c r="D287" s="60"/>
      <c r="E287" s="60"/>
      <c r="F287" s="60"/>
      <c r="G287" s="50"/>
      <c r="H287" s="61"/>
      <c r="I287" s="61"/>
      <c r="J287" s="61"/>
      <c r="K287" s="61"/>
      <c r="L287" s="61"/>
      <c r="M287" s="44"/>
      <c r="N287" s="44"/>
      <c r="O287" s="44"/>
      <c r="P287" s="44"/>
      <c r="Q287" s="64"/>
      <c r="R287" s="64"/>
      <c r="V287" s="207"/>
      <c r="AF287" s="207"/>
      <c r="AP287" s="207"/>
      <c r="AZ287" s="207"/>
    </row>
    <row r="288" spans="3:52" s="49" customFormat="1" ht="15.75" x14ac:dyDescent="0.25">
      <c r="C288" s="48"/>
      <c r="D288" s="60"/>
      <c r="E288" s="60"/>
      <c r="F288" s="60"/>
      <c r="G288" s="50"/>
      <c r="H288" s="61"/>
      <c r="I288" s="61"/>
      <c r="J288" s="61"/>
      <c r="K288" s="61"/>
      <c r="L288" s="61"/>
      <c r="M288" s="44"/>
      <c r="N288" s="44"/>
      <c r="O288" s="44"/>
      <c r="P288" s="44"/>
      <c r="Q288" s="64"/>
      <c r="R288" s="64"/>
      <c r="V288" s="207"/>
      <c r="AF288" s="207"/>
      <c r="AP288" s="207"/>
      <c r="AZ288" s="207"/>
    </row>
    <row r="289" spans="3:52" s="49" customFormat="1" ht="15.75" x14ac:dyDescent="0.25">
      <c r="C289" s="48"/>
      <c r="D289" s="60"/>
      <c r="E289" s="60"/>
      <c r="F289" s="60"/>
      <c r="G289" s="50"/>
      <c r="H289" s="61"/>
      <c r="I289" s="61"/>
      <c r="J289" s="61"/>
      <c r="K289" s="61"/>
      <c r="L289" s="61"/>
      <c r="M289" s="44"/>
      <c r="N289" s="44"/>
      <c r="O289" s="44"/>
      <c r="P289" s="44"/>
      <c r="Q289" s="64"/>
      <c r="R289" s="64"/>
      <c r="V289" s="207"/>
      <c r="AF289" s="207"/>
      <c r="AP289" s="207"/>
      <c r="AZ289" s="207"/>
    </row>
    <row r="290" spans="3:52" s="49" customFormat="1" ht="15.75" x14ac:dyDescent="0.25">
      <c r="C290" s="48"/>
      <c r="D290" s="60"/>
      <c r="E290" s="60"/>
      <c r="F290" s="60"/>
      <c r="G290" s="50"/>
      <c r="H290" s="61"/>
      <c r="I290" s="61"/>
      <c r="J290" s="61"/>
      <c r="K290" s="61"/>
      <c r="L290" s="61"/>
      <c r="M290" s="44"/>
      <c r="N290" s="44"/>
      <c r="O290" s="44"/>
      <c r="P290" s="44"/>
      <c r="Q290" s="64"/>
      <c r="R290" s="64"/>
      <c r="V290" s="207"/>
      <c r="AF290" s="207"/>
      <c r="AP290" s="207"/>
      <c r="AZ290" s="207"/>
    </row>
    <row r="291" spans="3:52" s="49" customFormat="1" ht="15.75" x14ac:dyDescent="0.25">
      <c r="C291" s="48"/>
      <c r="D291" s="60"/>
      <c r="E291" s="60"/>
      <c r="F291" s="60"/>
      <c r="G291" s="50"/>
      <c r="H291" s="61"/>
      <c r="I291" s="61"/>
      <c r="J291" s="61"/>
      <c r="K291" s="61"/>
      <c r="L291" s="61"/>
      <c r="M291" s="44"/>
      <c r="N291" s="44"/>
      <c r="O291" s="44"/>
      <c r="P291" s="44"/>
      <c r="Q291" s="64"/>
      <c r="R291" s="64"/>
      <c r="V291" s="207"/>
      <c r="AF291" s="207"/>
      <c r="AP291" s="207"/>
      <c r="AZ291" s="207"/>
    </row>
    <row r="292" spans="3:52" s="49" customFormat="1" ht="15.75" x14ac:dyDescent="0.25">
      <c r="C292" s="48"/>
      <c r="D292" s="60"/>
      <c r="E292" s="60"/>
      <c r="F292" s="60"/>
      <c r="G292" s="50"/>
      <c r="H292" s="61"/>
      <c r="I292" s="61"/>
      <c r="J292" s="61"/>
      <c r="K292" s="61"/>
      <c r="L292" s="61"/>
      <c r="M292" s="44"/>
      <c r="N292" s="44"/>
      <c r="O292" s="44"/>
      <c r="P292" s="44"/>
      <c r="Q292" s="64"/>
      <c r="R292" s="64"/>
      <c r="V292" s="207"/>
      <c r="AF292" s="207"/>
      <c r="AP292" s="207"/>
      <c r="AZ292" s="207"/>
    </row>
    <row r="293" spans="3:52" s="49" customFormat="1" ht="15.75" x14ac:dyDescent="0.25">
      <c r="C293" s="48"/>
      <c r="D293" s="60"/>
      <c r="E293" s="60"/>
      <c r="F293" s="60"/>
      <c r="G293" s="50"/>
      <c r="H293" s="61"/>
      <c r="I293" s="61"/>
      <c r="J293" s="61"/>
      <c r="K293" s="61"/>
      <c r="L293" s="61"/>
      <c r="M293" s="44"/>
      <c r="N293" s="44"/>
      <c r="O293" s="44"/>
      <c r="P293" s="44"/>
      <c r="Q293" s="64"/>
      <c r="R293" s="64"/>
      <c r="V293" s="207"/>
      <c r="AF293" s="207"/>
      <c r="AP293" s="207"/>
      <c r="AZ293" s="207"/>
    </row>
    <row r="294" spans="3:52" s="49" customFormat="1" ht="15.75" x14ac:dyDescent="0.25">
      <c r="C294" s="48"/>
      <c r="D294" s="60"/>
      <c r="E294" s="60"/>
      <c r="F294" s="60"/>
      <c r="G294" s="50"/>
      <c r="H294" s="61"/>
      <c r="I294" s="61"/>
      <c r="J294" s="61"/>
      <c r="K294" s="61"/>
      <c r="L294" s="61"/>
      <c r="M294" s="44"/>
      <c r="N294" s="44"/>
      <c r="O294" s="44"/>
      <c r="P294" s="44"/>
      <c r="Q294" s="64"/>
      <c r="R294" s="64"/>
      <c r="V294" s="207"/>
      <c r="AF294" s="207"/>
      <c r="AP294" s="207"/>
      <c r="AZ294" s="207"/>
    </row>
    <row r="295" spans="3:52" s="49" customFormat="1" ht="15.75" x14ac:dyDescent="0.25">
      <c r="C295" s="48"/>
      <c r="D295" s="60"/>
      <c r="E295" s="60"/>
      <c r="F295" s="60"/>
      <c r="G295" s="50"/>
      <c r="H295" s="61"/>
      <c r="I295" s="61"/>
      <c r="J295" s="61"/>
      <c r="K295" s="61"/>
      <c r="L295" s="61"/>
      <c r="M295" s="44"/>
      <c r="N295" s="44"/>
      <c r="O295" s="44"/>
      <c r="P295" s="44"/>
      <c r="Q295" s="64"/>
      <c r="R295" s="64"/>
      <c r="V295" s="207"/>
      <c r="AF295" s="207"/>
      <c r="AP295" s="207"/>
      <c r="AZ295" s="207"/>
    </row>
    <row r="296" spans="3:52" s="49" customFormat="1" ht="15.75" x14ac:dyDescent="0.25">
      <c r="C296" s="48"/>
      <c r="D296" s="60"/>
      <c r="E296" s="60"/>
      <c r="F296" s="60"/>
      <c r="G296" s="50"/>
      <c r="H296" s="61"/>
      <c r="I296" s="61"/>
      <c r="J296" s="61"/>
      <c r="K296" s="61"/>
      <c r="L296" s="61"/>
      <c r="M296" s="44"/>
      <c r="N296" s="44"/>
      <c r="O296" s="44"/>
      <c r="P296" s="44"/>
      <c r="Q296" s="64"/>
      <c r="R296" s="64"/>
      <c r="V296" s="207"/>
      <c r="AF296" s="207"/>
      <c r="AP296" s="207"/>
      <c r="AZ296" s="207"/>
    </row>
    <row r="297" spans="3:52" s="49" customFormat="1" ht="15.75" x14ac:dyDescent="0.25">
      <c r="C297" s="48"/>
      <c r="D297" s="60"/>
      <c r="E297" s="60"/>
      <c r="F297" s="60"/>
      <c r="G297" s="50"/>
      <c r="H297" s="61"/>
      <c r="I297" s="61"/>
      <c r="J297" s="61"/>
      <c r="K297" s="61"/>
      <c r="L297" s="61"/>
      <c r="M297" s="44"/>
      <c r="N297" s="44"/>
      <c r="O297" s="44"/>
      <c r="P297" s="44"/>
      <c r="Q297" s="64"/>
      <c r="R297" s="64"/>
      <c r="V297" s="207"/>
      <c r="AF297" s="207"/>
      <c r="AP297" s="207"/>
      <c r="AZ297" s="207"/>
    </row>
    <row r="298" spans="3:52" s="49" customFormat="1" ht="15.75" x14ac:dyDescent="0.25">
      <c r="C298" s="48"/>
      <c r="D298" s="60"/>
      <c r="E298" s="60"/>
      <c r="F298" s="60"/>
      <c r="G298" s="50"/>
      <c r="H298" s="61"/>
      <c r="I298" s="61"/>
      <c r="J298" s="61"/>
      <c r="K298" s="61"/>
      <c r="L298" s="61"/>
      <c r="M298" s="44"/>
      <c r="N298" s="44"/>
      <c r="O298" s="44"/>
      <c r="P298" s="44"/>
      <c r="Q298" s="64"/>
      <c r="R298" s="64"/>
      <c r="V298" s="207"/>
      <c r="AF298" s="207"/>
      <c r="AP298" s="207"/>
      <c r="AZ298" s="207"/>
    </row>
    <row r="299" spans="3:52" s="49" customFormat="1" ht="15.75" x14ac:dyDescent="0.25">
      <c r="C299" s="48"/>
      <c r="D299" s="60"/>
      <c r="E299" s="60"/>
      <c r="F299" s="60"/>
      <c r="G299" s="50"/>
      <c r="H299" s="61"/>
      <c r="I299" s="61"/>
      <c r="J299" s="61"/>
      <c r="K299" s="61"/>
      <c r="L299" s="61"/>
      <c r="M299" s="44"/>
      <c r="N299" s="44"/>
      <c r="O299" s="44"/>
      <c r="P299" s="44"/>
      <c r="Q299" s="64"/>
      <c r="R299" s="64"/>
      <c r="V299" s="207"/>
      <c r="AF299" s="207"/>
      <c r="AP299" s="207"/>
      <c r="AZ299" s="207"/>
    </row>
    <row r="300" spans="3:52" s="49" customFormat="1" ht="15.75" x14ac:dyDescent="0.25">
      <c r="C300" s="48"/>
      <c r="D300" s="60"/>
      <c r="E300" s="60"/>
      <c r="F300" s="60"/>
      <c r="G300" s="50"/>
      <c r="H300" s="61"/>
      <c r="I300" s="61"/>
      <c r="J300" s="61"/>
      <c r="K300" s="61"/>
      <c r="L300" s="61"/>
      <c r="M300" s="44"/>
      <c r="N300" s="44"/>
      <c r="O300" s="44"/>
      <c r="P300" s="44"/>
      <c r="Q300" s="64"/>
      <c r="R300" s="64"/>
      <c r="V300" s="207"/>
      <c r="AF300" s="207"/>
      <c r="AP300" s="207"/>
      <c r="AZ300" s="207"/>
    </row>
    <row r="301" spans="3:52" s="49" customFormat="1" ht="15.75" x14ac:dyDescent="0.25">
      <c r="C301" s="48"/>
      <c r="D301" s="60"/>
      <c r="E301" s="60"/>
      <c r="F301" s="60"/>
      <c r="G301" s="50"/>
      <c r="H301" s="61"/>
      <c r="I301" s="61"/>
      <c r="J301" s="61"/>
      <c r="K301" s="61"/>
      <c r="L301" s="61"/>
      <c r="M301" s="44"/>
      <c r="N301" s="44"/>
      <c r="O301" s="44"/>
      <c r="P301" s="44"/>
      <c r="Q301" s="64"/>
      <c r="R301" s="64"/>
      <c r="V301" s="207"/>
      <c r="AF301" s="207"/>
      <c r="AP301" s="207"/>
      <c r="AZ301" s="207"/>
    </row>
    <row r="302" spans="3:52" s="49" customFormat="1" ht="15.75" x14ac:dyDescent="0.25">
      <c r="C302" s="48"/>
      <c r="D302" s="60"/>
      <c r="E302" s="60"/>
      <c r="F302" s="60"/>
      <c r="G302" s="50"/>
      <c r="H302" s="61"/>
      <c r="I302" s="61"/>
      <c r="J302" s="61"/>
      <c r="K302" s="61"/>
      <c r="L302" s="61"/>
      <c r="M302" s="44"/>
      <c r="N302" s="44"/>
      <c r="O302" s="44"/>
      <c r="P302" s="44"/>
      <c r="Q302" s="64"/>
      <c r="R302" s="64"/>
      <c r="V302" s="207"/>
      <c r="AF302" s="207"/>
      <c r="AP302" s="207"/>
      <c r="AZ302" s="207"/>
    </row>
    <row r="303" spans="3:52" s="49" customFormat="1" ht="15.75" x14ac:dyDescent="0.25">
      <c r="C303" s="48"/>
      <c r="D303" s="60"/>
      <c r="E303" s="60"/>
      <c r="F303" s="60"/>
      <c r="G303" s="50"/>
      <c r="H303" s="61"/>
      <c r="I303" s="61"/>
      <c r="J303" s="61"/>
      <c r="K303" s="61"/>
      <c r="L303" s="61"/>
      <c r="M303" s="44"/>
      <c r="N303" s="44"/>
      <c r="O303" s="44"/>
      <c r="P303" s="44"/>
      <c r="Q303" s="64"/>
      <c r="R303" s="64"/>
      <c r="V303" s="207"/>
      <c r="AF303" s="207"/>
      <c r="AP303" s="207"/>
      <c r="AZ303" s="207"/>
    </row>
    <row r="304" spans="3:52" s="49" customFormat="1" ht="15.75" x14ac:dyDescent="0.25">
      <c r="C304" s="48"/>
      <c r="D304" s="60"/>
      <c r="E304" s="60"/>
      <c r="F304" s="60"/>
      <c r="G304" s="50"/>
      <c r="H304" s="61"/>
      <c r="I304" s="61"/>
      <c r="J304" s="61"/>
      <c r="K304" s="61"/>
      <c r="L304" s="61"/>
      <c r="M304" s="44"/>
      <c r="N304" s="44"/>
      <c r="O304" s="44"/>
      <c r="P304" s="44"/>
      <c r="Q304" s="64"/>
      <c r="R304" s="64"/>
      <c r="V304" s="207"/>
      <c r="AF304" s="207"/>
      <c r="AP304" s="207"/>
      <c r="AZ304" s="207"/>
    </row>
    <row r="305" spans="3:52" s="49" customFormat="1" ht="15.75" x14ac:dyDescent="0.25">
      <c r="C305" s="48"/>
      <c r="D305" s="60"/>
      <c r="E305" s="60"/>
      <c r="F305" s="60"/>
      <c r="G305" s="50"/>
      <c r="H305" s="61"/>
      <c r="I305" s="61"/>
      <c r="J305" s="61"/>
      <c r="K305" s="61"/>
      <c r="L305" s="61"/>
      <c r="M305" s="44"/>
      <c r="N305" s="44"/>
      <c r="O305" s="44"/>
      <c r="P305" s="44"/>
      <c r="Q305" s="64"/>
      <c r="R305" s="64"/>
      <c r="V305" s="207"/>
      <c r="AF305" s="207"/>
      <c r="AP305" s="207"/>
      <c r="AZ305" s="207"/>
    </row>
    <row r="306" spans="3:52" s="49" customFormat="1" ht="15.75" x14ac:dyDescent="0.25">
      <c r="C306" s="48"/>
      <c r="D306" s="60"/>
      <c r="E306" s="60"/>
      <c r="F306" s="60"/>
      <c r="G306" s="50"/>
      <c r="H306" s="61"/>
      <c r="I306" s="61"/>
      <c r="J306" s="61"/>
      <c r="K306" s="61"/>
      <c r="L306" s="61"/>
      <c r="M306" s="44"/>
      <c r="N306" s="44"/>
      <c r="O306" s="44"/>
      <c r="P306" s="44"/>
      <c r="Q306" s="64"/>
      <c r="R306" s="64"/>
      <c r="V306" s="207"/>
      <c r="AF306" s="207"/>
      <c r="AP306" s="207"/>
      <c r="AZ306" s="207"/>
    </row>
    <row r="307" spans="3:52" s="49" customFormat="1" ht="15.75" x14ac:dyDescent="0.25">
      <c r="C307" s="48"/>
      <c r="D307" s="60"/>
      <c r="E307" s="60"/>
      <c r="F307" s="60"/>
      <c r="G307" s="50"/>
      <c r="H307" s="61"/>
      <c r="I307" s="61"/>
      <c r="J307" s="61"/>
      <c r="K307" s="61"/>
      <c r="L307" s="61"/>
      <c r="M307" s="44"/>
      <c r="N307" s="44"/>
      <c r="O307" s="44"/>
      <c r="P307" s="44"/>
      <c r="Q307" s="64"/>
      <c r="R307" s="64"/>
      <c r="V307" s="207"/>
      <c r="AF307" s="207"/>
      <c r="AP307" s="207"/>
      <c r="AZ307" s="207"/>
    </row>
    <row r="308" spans="3:52" s="49" customFormat="1" ht="15.75" x14ac:dyDescent="0.25">
      <c r="C308" s="48"/>
      <c r="D308" s="60"/>
      <c r="E308" s="60"/>
      <c r="F308" s="60"/>
      <c r="G308" s="50"/>
      <c r="H308" s="61"/>
      <c r="I308" s="61"/>
      <c r="J308" s="61"/>
      <c r="K308" s="61"/>
      <c r="L308" s="61"/>
      <c r="M308" s="44"/>
      <c r="N308" s="44"/>
      <c r="O308" s="44"/>
      <c r="P308" s="44"/>
      <c r="Q308" s="64"/>
      <c r="R308" s="64"/>
      <c r="V308" s="207"/>
      <c r="AF308" s="207"/>
      <c r="AP308" s="207"/>
      <c r="AZ308" s="207"/>
    </row>
    <row r="309" spans="3:52" s="49" customFormat="1" ht="15.75" x14ac:dyDescent="0.25">
      <c r="C309" s="48"/>
      <c r="D309" s="60"/>
      <c r="E309" s="60"/>
      <c r="F309" s="60"/>
      <c r="G309" s="50"/>
      <c r="H309" s="61"/>
      <c r="I309" s="61"/>
      <c r="J309" s="61"/>
      <c r="K309" s="61"/>
      <c r="L309" s="61"/>
      <c r="M309" s="44"/>
      <c r="N309" s="44"/>
      <c r="O309" s="44"/>
      <c r="P309" s="44"/>
      <c r="Q309" s="64"/>
      <c r="R309" s="64"/>
      <c r="V309" s="207"/>
      <c r="AF309" s="207"/>
      <c r="AP309" s="207"/>
      <c r="AZ309" s="207"/>
    </row>
    <row r="310" spans="3:52" s="49" customFormat="1" ht="15.75" x14ac:dyDescent="0.25">
      <c r="C310" s="48"/>
      <c r="D310" s="60"/>
      <c r="E310" s="60"/>
      <c r="F310" s="60"/>
      <c r="G310" s="50"/>
      <c r="H310" s="61"/>
      <c r="I310" s="61"/>
      <c r="J310" s="61"/>
      <c r="K310" s="61"/>
      <c r="L310" s="61"/>
      <c r="M310" s="44"/>
      <c r="N310" s="44"/>
      <c r="O310" s="44"/>
      <c r="P310" s="44"/>
      <c r="Q310" s="64"/>
      <c r="R310" s="64"/>
      <c r="V310" s="207"/>
      <c r="AF310" s="207"/>
      <c r="AP310" s="207"/>
      <c r="AZ310" s="207"/>
    </row>
    <row r="311" spans="3:52" s="49" customFormat="1" ht="15.75" x14ac:dyDescent="0.25">
      <c r="C311" s="48"/>
      <c r="D311" s="60"/>
      <c r="E311" s="60"/>
      <c r="F311" s="60"/>
      <c r="G311" s="50"/>
      <c r="H311" s="61"/>
      <c r="I311" s="61"/>
      <c r="J311" s="61"/>
      <c r="K311" s="61"/>
      <c r="L311" s="61"/>
      <c r="M311" s="44"/>
      <c r="N311" s="44"/>
      <c r="O311" s="44"/>
      <c r="P311" s="44"/>
      <c r="Q311" s="64"/>
      <c r="R311" s="64"/>
      <c r="V311" s="207"/>
      <c r="AF311" s="207"/>
      <c r="AP311" s="207"/>
      <c r="AZ311" s="207"/>
    </row>
    <row r="312" spans="3:52" s="49" customFormat="1" ht="15.75" x14ac:dyDescent="0.25">
      <c r="C312" s="48"/>
      <c r="D312" s="60"/>
      <c r="E312" s="60"/>
      <c r="F312" s="60"/>
      <c r="G312" s="50"/>
      <c r="H312" s="61"/>
      <c r="I312" s="61"/>
      <c r="J312" s="61"/>
      <c r="K312" s="61"/>
      <c r="L312" s="61"/>
      <c r="M312" s="44"/>
      <c r="N312" s="44"/>
      <c r="O312" s="44"/>
      <c r="P312" s="44"/>
      <c r="Q312" s="64"/>
      <c r="R312" s="64"/>
      <c r="V312" s="207"/>
      <c r="AF312" s="207"/>
      <c r="AP312" s="207"/>
      <c r="AZ312" s="207"/>
    </row>
    <row r="313" spans="3:52" s="49" customFormat="1" ht="15.75" x14ac:dyDescent="0.25">
      <c r="C313" s="48"/>
      <c r="D313" s="60"/>
      <c r="E313" s="60"/>
      <c r="F313" s="60"/>
      <c r="G313" s="50"/>
      <c r="H313" s="61"/>
      <c r="I313" s="61"/>
      <c r="J313" s="61"/>
      <c r="K313" s="61"/>
      <c r="L313" s="61"/>
      <c r="M313" s="44"/>
      <c r="N313" s="44"/>
      <c r="O313" s="44"/>
      <c r="P313" s="44"/>
      <c r="Q313" s="64"/>
      <c r="R313" s="64"/>
      <c r="V313" s="207"/>
      <c r="AF313" s="207"/>
      <c r="AP313" s="207"/>
      <c r="AZ313" s="207"/>
    </row>
    <row r="314" spans="3:52" s="49" customFormat="1" ht="15.75" x14ac:dyDescent="0.25">
      <c r="C314" s="48"/>
      <c r="D314" s="60"/>
      <c r="E314" s="60"/>
      <c r="F314" s="60"/>
      <c r="G314" s="50"/>
      <c r="H314" s="61"/>
      <c r="I314" s="61"/>
      <c r="J314" s="61"/>
      <c r="K314" s="61"/>
      <c r="L314" s="61"/>
      <c r="M314" s="44"/>
      <c r="N314" s="44"/>
      <c r="O314" s="44"/>
      <c r="P314" s="44"/>
      <c r="Q314" s="64"/>
      <c r="R314" s="64"/>
      <c r="V314" s="207"/>
      <c r="AF314" s="207"/>
      <c r="AP314" s="207"/>
      <c r="AZ314" s="207"/>
    </row>
    <row r="315" spans="3:52" s="49" customFormat="1" ht="15.75" x14ac:dyDescent="0.25">
      <c r="C315" s="48"/>
      <c r="D315" s="60"/>
      <c r="E315" s="60"/>
      <c r="F315" s="60"/>
      <c r="G315" s="50"/>
      <c r="H315" s="61"/>
      <c r="I315" s="61"/>
      <c r="J315" s="61"/>
      <c r="K315" s="61"/>
      <c r="L315" s="61"/>
      <c r="M315" s="44"/>
      <c r="N315" s="44"/>
      <c r="O315" s="44"/>
      <c r="P315" s="44"/>
      <c r="Q315" s="64"/>
      <c r="R315" s="64"/>
      <c r="V315" s="207"/>
      <c r="AF315" s="207"/>
      <c r="AP315" s="207"/>
      <c r="AZ315" s="207"/>
    </row>
    <row r="316" spans="3:52" s="49" customFormat="1" ht="15.75" x14ac:dyDescent="0.25">
      <c r="C316" s="48"/>
      <c r="D316" s="60"/>
      <c r="E316" s="60"/>
      <c r="F316" s="60"/>
      <c r="G316" s="50"/>
      <c r="H316" s="61"/>
      <c r="I316" s="61"/>
      <c r="J316" s="61"/>
      <c r="K316" s="61"/>
      <c r="L316" s="61"/>
      <c r="M316" s="44"/>
      <c r="N316" s="44"/>
      <c r="O316" s="44"/>
      <c r="P316" s="44"/>
      <c r="Q316" s="64"/>
      <c r="R316" s="64"/>
      <c r="V316" s="207"/>
      <c r="AF316" s="207"/>
      <c r="AP316" s="207"/>
      <c r="AZ316" s="207"/>
    </row>
    <row r="317" spans="3:52" ht="15" x14ac:dyDescent="0.25">
      <c r="D317" s="65"/>
      <c r="E317" s="65"/>
      <c r="F317" s="65"/>
    </row>
    <row r="318" spans="3:52" ht="15" x14ac:dyDescent="0.25">
      <c r="D318" s="65"/>
      <c r="E318" s="65"/>
      <c r="F318" s="65"/>
    </row>
    <row r="319" spans="3:52" ht="15" x14ac:dyDescent="0.25">
      <c r="D319" s="65"/>
      <c r="E319" s="65"/>
      <c r="F319" s="65"/>
    </row>
    <row r="320" spans="3:52" ht="15" x14ac:dyDescent="0.25">
      <c r="D320" s="65"/>
      <c r="E320" s="65"/>
      <c r="F320" s="65"/>
    </row>
    <row r="321" spans="4:6" ht="15" x14ac:dyDescent="0.25">
      <c r="D321" s="65"/>
      <c r="E321" s="65"/>
      <c r="F321" s="65"/>
    </row>
    <row r="322" spans="4:6" ht="15" x14ac:dyDescent="0.25">
      <c r="D322" s="65"/>
      <c r="E322" s="65"/>
      <c r="F322" s="65"/>
    </row>
    <row r="323" spans="4:6" ht="15" x14ac:dyDescent="0.25">
      <c r="D323" s="65"/>
      <c r="E323" s="65"/>
      <c r="F323" s="65"/>
    </row>
    <row r="324" spans="4:6" ht="15" x14ac:dyDescent="0.25">
      <c r="D324" s="65"/>
      <c r="E324" s="65"/>
      <c r="F324" s="65"/>
    </row>
    <row r="325" spans="4:6" ht="15" x14ac:dyDescent="0.25">
      <c r="D325" s="65"/>
      <c r="E325" s="65"/>
      <c r="F325" s="65"/>
    </row>
    <row r="326" spans="4:6" ht="15" x14ac:dyDescent="0.25">
      <c r="D326" s="65"/>
      <c r="E326" s="65"/>
      <c r="F326" s="65"/>
    </row>
    <row r="327" spans="4:6" ht="15" x14ac:dyDescent="0.25">
      <c r="D327" s="65"/>
      <c r="E327" s="65"/>
      <c r="F327" s="65"/>
    </row>
    <row r="328" spans="4:6" ht="15" x14ac:dyDescent="0.25">
      <c r="D328" s="65"/>
      <c r="E328" s="65"/>
      <c r="F328" s="65"/>
    </row>
    <row r="329" spans="4:6" ht="15" x14ac:dyDescent="0.25">
      <c r="D329" s="65"/>
      <c r="E329" s="65"/>
      <c r="F329" s="65"/>
    </row>
    <row r="330" spans="4:6" ht="15" x14ac:dyDescent="0.25">
      <c r="D330" s="65"/>
      <c r="E330" s="65"/>
      <c r="F330" s="65"/>
    </row>
    <row r="331" spans="4:6" ht="15" x14ac:dyDescent="0.25">
      <c r="D331" s="65"/>
      <c r="E331" s="65"/>
      <c r="F331" s="65"/>
    </row>
    <row r="332" spans="4:6" ht="15" x14ac:dyDescent="0.25">
      <c r="D332" s="65"/>
      <c r="E332" s="65"/>
      <c r="F332" s="65"/>
    </row>
    <row r="333" spans="4:6" ht="15" x14ac:dyDescent="0.25">
      <c r="D333" s="65"/>
      <c r="E333" s="65"/>
      <c r="F333" s="65"/>
    </row>
    <row r="334" spans="4:6" ht="15" x14ac:dyDescent="0.25">
      <c r="D334" s="65"/>
      <c r="E334" s="65"/>
      <c r="F334" s="65"/>
    </row>
    <row r="335" spans="4:6" ht="15" x14ac:dyDescent="0.25">
      <c r="D335" s="65"/>
      <c r="E335" s="65"/>
      <c r="F335" s="65"/>
    </row>
    <row r="336" spans="4:6" ht="15" x14ac:dyDescent="0.25">
      <c r="D336" s="65"/>
      <c r="E336" s="65"/>
      <c r="F336" s="65"/>
    </row>
    <row r="337" spans="4:6" ht="15" x14ac:dyDescent="0.25">
      <c r="D337" s="65"/>
      <c r="E337" s="65"/>
      <c r="F337" s="65"/>
    </row>
    <row r="338" spans="4:6" ht="15" x14ac:dyDescent="0.25">
      <c r="D338" s="65"/>
      <c r="E338" s="65"/>
      <c r="F338" s="65"/>
    </row>
    <row r="339" spans="4:6" ht="15" x14ac:dyDescent="0.25">
      <c r="D339" s="65"/>
      <c r="E339" s="65"/>
      <c r="F339" s="65"/>
    </row>
    <row r="340" spans="4:6" ht="15" x14ac:dyDescent="0.25">
      <c r="D340" s="65"/>
      <c r="E340" s="65"/>
      <c r="F340" s="65"/>
    </row>
    <row r="341" spans="4:6" ht="15" x14ac:dyDescent="0.25">
      <c r="D341" s="65"/>
      <c r="E341" s="65"/>
      <c r="F341" s="65"/>
    </row>
    <row r="342" spans="4:6" ht="15" x14ac:dyDescent="0.25">
      <c r="D342" s="65"/>
      <c r="E342" s="65"/>
      <c r="F342" s="65"/>
    </row>
    <row r="343" spans="4:6" ht="15" x14ac:dyDescent="0.25">
      <c r="D343" s="65"/>
      <c r="E343" s="65"/>
      <c r="F343" s="65"/>
    </row>
    <row r="344" spans="4:6" ht="15" x14ac:dyDescent="0.25">
      <c r="D344" s="65"/>
      <c r="E344" s="65"/>
      <c r="F344" s="65"/>
    </row>
    <row r="345" spans="4:6" ht="15" x14ac:dyDescent="0.25">
      <c r="D345" s="65"/>
      <c r="E345" s="65"/>
      <c r="F345" s="65"/>
    </row>
    <row r="346" spans="4:6" ht="15" x14ac:dyDescent="0.25">
      <c r="D346" s="65"/>
      <c r="E346" s="65"/>
      <c r="F346" s="65"/>
    </row>
    <row r="347" spans="4:6" ht="15" x14ac:dyDescent="0.25">
      <c r="D347" s="65"/>
      <c r="E347" s="65"/>
      <c r="F347" s="65"/>
    </row>
    <row r="348" spans="4:6" ht="15" x14ac:dyDescent="0.25">
      <c r="D348" s="65"/>
      <c r="E348" s="65"/>
      <c r="F348" s="65"/>
    </row>
    <row r="349" spans="4:6" ht="15" x14ac:dyDescent="0.25">
      <c r="D349" s="65"/>
      <c r="E349" s="65"/>
      <c r="F349" s="65"/>
    </row>
    <row r="350" spans="4:6" ht="15" x14ac:dyDescent="0.25">
      <c r="D350" s="65"/>
      <c r="E350" s="65"/>
      <c r="F350" s="65"/>
    </row>
    <row r="351" spans="4:6" ht="15" x14ac:dyDescent="0.25">
      <c r="D351" s="65"/>
      <c r="E351" s="65"/>
      <c r="F351" s="65"/>
    </row>
    <row r="352" spans="4:6" ht="15" x14ac:dyDescent="0.25">
      <c r="D352" s="65"/>
      <c r="E352" s="65"/>
      <c r="F352" s="65"/>
    </row>
    <row r="353" spans="4:6" ht="15" x14ac:dyDescent="0.25">
      <c r="D353" s="65"/>
      <c r="E353" s="65"/>
      <c r="F353" s="65"/>
    </row>
    <row r="354" spans="4:6" ht="15" x14ac:dyDescent="0.25">
      <c r="D354" s="65"/>
      <c r="E354" s="65"/>
      <c r="F354" s="65"/>
    </row>
    <row r="355" spans="4:6" ht="15" x14ac:dyDescent="0.25">
      <c r="D355" s="65"/>
      <c r="E355" s="65"/>
      <c r="F355" s="65"/>
    </row>
    <row r="356" spans="4:6" ht="15" x14ac:dyDescent="0.25">
      <c r="D356" s="65"/>
      <c r="E356" s="65"/>
      <c r="F356" s="65"/>
    </row>
    <row r="357" spans="4:6" ht="15" x14ac:dyDescent="0.25">
      <c r="D357" s="65"/>
      <c r="E357" s="65"/>
      <c r="F357" s="65"/>
    </row>
    <row r="358" spans="4:6" ht="15" x14ac:dyDescent="0.25">
      <c r="D358" s="65"/>
      <c r="E358" s="65"/>
      <c r="F358" s="65"/>
    </row>
    <row r="359" spans="4:6" ht="15" x14ac:dyDescent="0.25">
      <c r="D359" s="65"/>
      <c r="E359" s="65"/>
      <c r="F359" s="65"/>
    </row>
    <row r="360" spans="4:6" ht="15" x14ac:dyDescent="0.25">
      <c r="D360" s="65"/>
      <c r="E360" s="65"/>
      <c r="F360" s="65"/>
    </row>
    <row r="361" spans="4:6" ht="15" x14ac:dyDescent="0.25">
      <c r="D361" s="65"/>
      <c r="E361" s="65"/>
      <c r="F361" s="65"/>
    </row>
    <row r="362" spans="4:6" ht="15" x14ac:dyDescent="0.25">
      <c r="D362" s="65"/>
      <c r="E362" s="65"/>
      <c r="F362" s="65"/>
    </row>
    <row r="363" spans="4:6" ht="15" x14ac:dyDescent="0.25">
      <c r="D363" s="65"/>
      <c r="E363" s="65"/>
      <c r="F363" s="65"/>
    </row>
    <row r="364" spans="4:6" ht="15" x14ac:dyDescent="0.25">
      <c r="D364" s="65"/>
      <c r="E364" s="65"/>
      <c r="F364" s="65"/>
    </row>
    <row r="365" spans="4:6" ht="15" x14ac:dyDescent="0.25">
      <c r="D365" s="65"/>
      <c r="E365" s="65"/>
      <c r="F365" s="65"/>
    </row>
    <row r="366" spans="4:6" ht="15" x14ac:dyDescent="0.25">
      <c r="D366" s="65"/>
      <c r="E366" s="65"/>
      <c r="F366" s="65"/>
    </row>
    <row r="367" spans="4:6" ht="15" x14ac:dyDescent="0.25">
      <c r="D367" s="65"/>
      <c r="E367" s="65"/>
      <c r="F367" s="65"/>
    </row>
    <row r="368" spans="4:6" ht="15" x14ac:dyDescent="0.25">
      <c r="D368" s="65"/>
      <c r="E368" s="65"/>
      <c r="F368" s="65"/>
    </row>
    <row r="369" spans="4:6" ht="15" x14ac:dyDescent="0.25">
      <c r="D369" s="65"/>
      <c r="E369" s="65"/>
      <c r="F369" s="65"/>
    </row>
    <row r="370" spans="4:6" ht="15" x14ac:dyDescent="0.25">
      <c r="D370" s="65"/>
      <c r="E370" s="65"/>
      <c r="F370" s="65"/>
    </row>
    <row r="371" spans="4:6" ht="15" x14ac:dyDescent="0.25">
      <c r="D371" s="65"/>
      <c r="E371" s="65"/>
      <c r="F371" s="65"/>
    </row>
    <row r="372" spans="4:6" ht="15" x14ac:dyDescent="0.25">
      <c r="D372" s="65"/>
      <c r="E372" s="65"/>
      <c r="F372" s="65"/>
    </row>
    <row r="373" spans="4:6" ht="15" x14ac:dyDescent="0.25">
      <c r="D373" s="65"/>
      <c r="E373" s="65"/>
      <c r="F373" s="65"/>
    </row>
    <row r="374" spans="4:6" ht="15" x14ac:dyDescent="0.25">
      <c r="D374" s="65"/>
      <c r="E374" s="65"/>
      <c r="F374" s="65"/>
    </row>
    <row r="375" spans="4:6" ht="15" x14ac:dyDescent="0.25">
      <c r="D375" s="65"/>
      <c r="E375" s="65"/>
      <c r="F375" s="65"/>
    </row>
    <row r="376" spans="4:6" ht="15" x14ac:dyDescent="0.25">
      <c r="D376" s="65"/>
      <c r="E376" s="65"/>
      <c r="F376" s="65"/>
    </row>
    <row r="377" spans="4:6" ht="15" x14ac:dyDescent="0.25">
      <c r="D377" s="65"/>
      <c r="E377" s="65"/>
      <c r="F377" s="65"/>
    </row>
    <row r="378" spans="4:6" ht="15" x14ac:dyDescent="0.25">
      <c r="D378" s="65"/>
      <c r="E378" s="65"/>
      <c r="F378" s="65"/>
    </row>
    <row r="379" spans="4:6" ht="15" x14ac:dyDescent="0.25">
      <c r="D379" s="65"/>
      <c r="E379" s="65"/>
      <c r="F379" s="65"/>
    </row>
    <row r="380" spans="4:6" ht="15" x14ac:dyDescent="0.25">
      <c r="D380" s="65"/>
      <c r="E380" s="65"/>
      <c r="F380" s="65"/>
    </row>
    <row r="381" spans="4:6" ht="15" x14ac:dyDescent="0.25">
      <c r="D381" s="65"/>
      <c r="E381" s="65"/>
      <c r="F381" s="65"/>
    </row>
    <row r="382" spans="4:6" ht="15" x14ac:dyDescent="0.25">
      <c r="D382" s="65"/>
      <c r="E382" s="65"/>
      <c r="F382" s="65"/>
    </row>
    <row r="383" spans="4:6" ht="15" x14ac:dyDescent="0.25">
      <c r="D383" s="65"/>
      <c r="E383" s="65"/>
      <c r="F383" s="65"/>
    </row>
    <row r="384" spans="4:6" ht="15" x14ac:dyDescent="0.25">
      <c r="D384" s="65"/>
      <c r="E384" s="65"/>
      <c r="F384" s="65"/>
    </row>
    <row r="385" spans="4:6" ht="15" x14ac:dyDescent="0.25">
      <c r="D385" s="65"/>
      <c r="E385" s="65"/>
      <c r="F385" s="65"/>
    </row>
    <row r="386" spans="4:6" ht="15" x14ac:dyDescent="0.25">
      <c r="D386" s="65"/>
      <c r="E386" s="65"/>
      <c r="F386" s="65"/>
    </row>
    <row r="387" spans="4:6" ht="15" x14ac:dyDescent="0.25">
      <c r="D387" s="65"/>
      <c r="E387" s="65"/>
      <c r="F387" s="65"/>
    </row>
    <row r="388" spans="4:6" ht="15" x14ac:dyDescent="0.25">
      <c r="D388" s="65"/>
      <c r="E388" s="65"/>
      <c r="F388" s="65"/>
    </row>
    <row r="389" spans="4:6" ht="15" x14ac:dyDescent="0.25">
      <c r="D389" s="65"/>
      <c r="E389" s="65"/>
      <c r="F389" s="65"/>
    </row>
    <row r="390" spans="4:6" ht="15" x14ac:dyDescent="0.25">
      <c r="D390" s="65"/>
      <c r="E390" s="65"/>
      <c r="F390" s="65"/>
    </row>
    <row r="391" spans="4:6" ht="15" x14ac:dyDescent="0.25">
      <c r="D391" s="65"/>
      <c r="E391" s="65"/>
      <c r="F391" s="65"/>
    </row>
    <row r="392" spans="4:6" ht="15" x14ac:dyDescent="0.25">
      <c r="D392" s="65"/>
      <c r="E392" s="65"/>
      <c r="F392" s="65"/>
    </row>
    <row r="393" spans="4:6" ht="15" x14ac:dyDescent="0.25">
      <c r="D393" s="65"/>
      <c r="E393" s="65"/>
      <c r="F393" s="65"/>
    </row>
    <row r="394" spans="4:6" ht="15" x14ac:dyDescent="0.25">
      <c r="D394" s="65"/>
      <c r="E394" s="65"/>
      <c r="F394" s="65"/>
    </row>
    <row r="395" spans="4:6" ht="15" x14ac:dyDescent="0.25">
      <c r="D395" s="65"/>
      <c r="E395" s="65"/>
      <c r="F395" s="65"/>
    </row>
    <row r="396" spans="4:6" ht="15" x14ac:dyDescent="0.25">
      <c r="D396" s="65"/>
      <c r="E396" s="65"/>
      <c r="F396" s="65"/>
    </row>
    <row r="397" spans="4:6" ht="15" x14ac:dyDescent="0.25">
      <c r="D397" s="65"/>
      <c r="E397" s="65"/>
      <c r="F397" s="65"/>
    </row>
    <row r="398" spans="4:6" ht="15" x14ac:dyDescent="0.25">
      <c r="D398" s="65"/>
      <c r="E398" s="65"/>
      <c r="F398" s="65"/>
    </row>
    <row r="399" spans="4:6" ht="15" x14ac:dyDescent="0.25">
      <c r="D399" s="65"/>
      <c r="E399" s="65"/>
      <c r="F399" s="65"/>
    </row>
    <row r="400" spans="4:6" ht="15" x14ac:dyDescent="0.25">
      <c r="D400" s="65"/>
      <c r="E400" s="65"/>
      <c r="F400" s="65"/>
    </row>
    <row r="401" spans="4:6" ht="15" x14ac:dyDescent="0.25">
      <c r="D401" s="65"/>
      <c r="E401" s="65"/>
      <c r="F401" s="65"/>
    </row>
    <row r="402" spans="4:6" ht="15" x14ac:dyDescent="0.25">
      <c r="D402" s="65"/>
      <c r="E402" s="65"/>
      <c r="F402" s="65"/>
    </row>
    <row r="403" spans="4:6" ht="15" x14ac:dyDescent="0.25">
      <c r="D403" s="65"/>
      <c r="E403" s="65"/>
      <c r="F403" s="65"/>
    </row>
    <row r="404" spans="4:6" ht="15" x14ac:dyDescent="0.25">
      <c r="D404" s="65"/>
      <c r="E404" s="65"/>
      <c r="F404" s="65"/>
    </row>
    <row r="405" spans="4:6" ht="15" x14ac:dyDescent="0.25">
      <c r="D405" s="65"/>
      <c r="E405" s="65"/>
      <c r="F405" s="65"/>
    </row>
    <row r="406" spans="4:6" ht="15" x14ac:dyDescent="0.25">
      <c r="D406" s="65"/>
      <c r="E406" s="65"/>
      <c r="F406" s="65"/>
    </row>
    <row r="407" spans="4:6" ht="15" x14ac:dyDescent="0.25">
      <c r="D407" s="65"/>
      <c r="E407" s="65"/>
      <c r="F407" s="65"/>
    </row>
    <row r="408" spans="4:6" ht="15" x14ac:dyDescent="0.25">
      <c r="D408" s="65"/>
      <c r="E408" s="65"/>
      <c r="F408" s="65"/>
    </row>
    <row r="409" spans="4:6" ht="15" x14ac:dyDescent="0.25">
      <c r="D409" s="65"/>
      <c r="E409" s="65"/>
      <c r="F409" s="65"/>
    </row>
    <row r="410" spans="4:6" ht="15" x14ac:dyDescent="0.25">
      <c r="D410" s="65"/>
      <c r="E410" s="65"/>
      <c r="F410" s="65"/>
    </row>
    <row r="411" spans="4:6" ht="15" x14ac:dyDescent="0.25">
      <c r="D411" s="65"/>
      <c r="E411" s="65"/>
      <c r="F411" s="65"/>
    </row>
    <row r="412" spans="4:6" ht="15" x14ac:dyDescent="0.25">
      <c r="D412" s="65"/>
      <c r="E412" s="65"/>
      <c r="F412" s="65"/>
    </row>
    <row r="413" spans="4:6" ht="15" x14ac:dyDescent="0.25">
      <c r="D413" s="65"/>
      <c r="E413" s="65"/>
      <c r="F413" s="65"/>
    </row>
    <row r="414" spans="4:6" ht="15" x14ac:dyDescent="0.25">
      <c r="D414" s="65"/>
      <c r="E414" s="65"/>
      <c r="F414" s="65"/>
    </row>
    <row r="415" spans="4:6" ht="15" x14ac:dyDescent="0.25">
      <c r="D415" s="65"/>
      <c r="E415" s="65"/>
      <c r="F415" s="65"/>
    </row>
    <row r="416" spans="4:6" ht="15" x14ac:dyDescent="0.25">
      <c r="D416" s="65"/>
      <c r="E416" s="65"/>
      <c r="F416" s="65"/>
    </row>
    <row r="417" spans="4:6" ht="15" x14ac:dyDescent="0.25">
      <c r="D417" s="65"/>
      <c r="E417" s="65"/>
      <c r="F417" s="65"/>
    </row>
    <row r="418" spans="4:6" ht="15" x14ac:dyDescent="0.25">
      <c r="D418" s="65"/>
      <c r="E418" s="65"/>
      <c r="F418" s="65"/>
    </row>
    <row r="419" spans="4:6" ht="15" x14ac:dyDescent="0.25">
      <c r="D419" s="65"/>
      <c r="E419" s="65"/>
      <c r="F419" s="65"/>
    </row>
    <row r="420" spans="4:6" ht="15" x14ac:dyDescent="0.25">
      <c r="D420" s="65"/>
      <c r="E420" s="65"/>
      <c r="F420" s="65"/>
    </row>
    <row r="421" spans="4:6" ht="15" x14ac:dyDescent="0.25">
      <c r="D421" s="65"/>
      <c r="E421" s="65"/>
      <c r="F421" s="65"/>
    </row>
    <row r="422" spans="4:6" ht="15" x14ac:dyDescent="0.25">
      <c r="D422" s="65"/>
      <c r="E422" s="65"/>
      <c r="F422" s="65"/>
    </row>
    <row r="423" spans="4:6" ht="15" x14ac:dyDescent="0.25">
      <c r="D423" s="65"/>
      <c r="E423" s="65"/>
      <c r="F423" s="65"/>
    </row>
    <row r="424" spans="4:6" ht="15" x14ac:dyDescent="0.25">
      <c r="D424" s="65"/>
      <c r="E424" s="65"/>
      <c r="F424" s="65"/>
    </row>
    <row r="425" spans="4:6" ht="15" x14ac:dyDescent="0.25">
      <c r="D425" s="65"/>
      <c r="E425" s="65"/>
      <c r="F425" s="65"/>
    </row>
    <row r="426" spans="4:6" ht="15" x14ac:dyDescent="0.25">
      <c r="D426" s="65"/>
      <c r="E426" s="65"/>
      <c r="F426" s="65"/>
    </row>
    <row r="427" spans="4:6" ht="15" x14ac:dyDescent="0.25">
      <c r="D427" s="65"/>
      <c r="E427" s="65"/>
      <c r="F427" s="65"/>
    </row>
    <row r="428" spans="4:6" ht="15" x14ac:dyDescent="0.25">
      <c r="D428" s="65"/>
      <c r="E428" s="65"/>
      <c r="F428" s="65"/>
    </row>
    <row r="429" spans="4:6" ht="15" x14ac:dyDescent="0.25">
      <c r="D429" s="65"/>
      <c r="E429" s="65"/>
      <c r="F429" s="65"/>
    </row>
    <row r="430" spans="4:6" ht="15" x14ac:dyDescent="0.25">
      <c r="D430" s="65"/>
      <c r="E430" s="65"/>
      <c r="F430" s="65"/>
    </row>
    <row r="431" spans="4:6" ht="15" x14ac:dyDescent="0.25">
      <c r="D431" s="65"/>
      <c r="E431" s="65"/>
      <c r="F431" s="65"/>
    </row>
    <row r="432" spans="4:6" ht="15" x14ac:dyDescent="0.25">
      <c r="D432" s="65"/>
      <c r="E432" s="65"/>
      <c r="F432" s="65"/>
    </row>
    <row r="433" spans="4:6" ht="15" x14ac:dyDescent="0.25">
      <c r="D433" s="65"/>
      <c r="E433" s="65"/>
      <c r="F433" s="65"/>
    </row>
    <row r="434" spans="4:6" ht="15" x14ac:dyDescent="0.25">
      <c r="D434" s="65"/>
      <c r="E434" s="65"/>
      <c r="F434" s="65"/>
    </row>
    <row r="435" spans="4:6" ht="15" x14ac:dyDescent="0.25">
      <c r="D435" s="65"/>
      <c r="E435" s="65"/>
      <c r="F435" s="65"/>
    </row>
    <row r="436" spans="4:6" ht="15" x14ac:dyDescent="0.25">
      <c r="D436" s="65"/>
      <c r="E436" s="65"/>
      <c r="F436" s="65"/>
    </row>
    <row r="437" spans="4:6" ht="15" x14ac:dyDescent="0.25">
      <c r="D437" s="65"/>
      <c r="E437" s="65"/>
      <c r="F437" s="65"/>
    </row>
    <row r="438" spans="4:6" ht="15" x14ac:dyDescent="0.25">
      <c r="D438" s="65"/>
      <c r="E438" s="65"/>
      <c r="F438" s="65"/>
    </row>
    <row r="439" spans="4:6" ht="15" x14ac:dyDescent="0.25">
      <c r="D439" s="65"/>
      <c r="E439" s="65"/>
      <c r="F439" s="65"/>
    </row>
    <row r="440" spans="4:6" ht="15" x14ac:dyDescent="0.25">
      <c r="D440" s="65"/>
      <c r="E440" s="65"/>
      <c r="F440" s="65"/>
    </row>
    <row r="441" spans="4:6" ht="15" x14ac:dyDescent="0.25">
      <c r="D441" s="65"/>
      <c r="E441" s="65"/>
      <c r="F441" s="65"/>
    </row>
    <row r="442" spans="4:6" ht="15" x14ac:dyDescent="0.25">
      <c r="D442" s="65"/>
      <c r="E442" s="65"/>
      <c r="F442" s="65"/>
    </row>
    <row r="443" spans="4:6" ht="15" x14ac:dyDescent="0.25">
      <c r="D443" s="65"/>
      <c r="E443" s="65"/>
      <c r="F443" s="65"/>
    </row>
    <row r="444" spans="4:6" ht="15" x14ac:dyDescent="0.25">
      <c r="D444" s="65"/>
      <c r="E444" s="65"/>
      <c r="F444" s="65"/>
    </row>
    <row r="445" spans="4:6" ht="15" x14ac:dyDescent="0.25">
      <c r="D445" s="65"/>
      <c r="E445" s="65"/>
      <c r="F445" s="65"/>
    </row>
    <row r="446" spans="4:6" ht="15" x14ac:dyDescent="0.25">
      <c r="D446" s="65"/>
      <c r="E446" s="65"/>
      <c r="F446" s="65"/>
    </row>
    <row r="447" spans="4:6" ht="15" x14ac:dyDescent="0.25">
      <c r="D447" s="65"/>
      <c r="E447" s="65"/>
      <c r="F447" s="65"/>
    </row>
    <row r="448" spans="4:6" ht="15" x14ac:dyDescent="0.25">
      <c r="D448" s="65"/>
      <c r="E448" s="65"/>
      <c r="F448" s="65"/>
    </row>
    <row r="449" spans="4:6" ht="15" x14ac:dyDescent="0.25">
      <c r="D449" s="65"/>
      <c r="E449" s="65"/>
      <c r="F449" s="65"/>
    </row>
    <row r="450" spans="4:6" ht="15" x14ac:dyDescent="0.25">
      <c r="D450" s="65"/>
      <c r="E450" s="65"/>
      <c r="F450" s="65"/>
    </row>
    <row r="451" spans="4:6" ht="15" x14ac:dyDescent="0.25">
      <c r="D451" s="65"/>
      <c r="E451" s="65"/>
      <c r="F451" s="65"/>
    </row>
    <row r="452" spans="4:6" ht="15" x14ac:dyDescent="0.25">
      <c r="D452" s="65"/>
      <c r="E452" s="65"/>
      <c r="F452" s="65"/>
    </row>
    <row r="453" spans="4:6" ht="15" x14ac:dyDescent="0.25">
      <c r="D453" s="65"/>
      <c r="E453" s="65"/>
      <c r="F453" s="65"/>
    </row>
    <row r="454" spans="4:6" ht="15" x14ac:dyDescent="0.25">
      <c r="D454" s="65"/>
      <c r="E454" s="65"/>
      <c r="F454" s="65"/>
    </row>
    <row r="455" spans="4:6" ht="15" x14ac:dyDescent="0.25">
      <c r="D455" s="65"/>
      <c r="E455" s="65"/>
      <c r="F455" s="65"/>
    </row>
    <row r="456" spans="4:6" ht="15" x14ac:dyDescent="0.25">
      <c r="D456" s="65"/>
      <c r="E456" s="65"/>
      <c r="F456" s="65"/>
    </row>
    <row r="457" spans="4:6" ht="15" x14ac:dyDescent="0.25">
      <c r="D457" s="65"/>
      <c r="E457" s="65"/>
      <c r="F457" s="65"/>
    </row>
    <row r="458" spans="4:6" ht="15" x14ac:dyDescent="0.25">
      <c r="D458" s="65"/>
      <c r="E458" s="65"/>
      <c r="F458" s="65"/>
    </row>
    <row r="459" spans="4:6" ht="15" x14ac:dyDescent="0.25">
      <c r="D459" s="65"/>
      <c r="E459" s="65"/>
      <c r="F459" s="65"/>
    </row>
    <row r="460" spans="4:6" ht="15" x14ac:dyDescent="0.25">
      <c r="D460" s="65"/>
      <c r="E460" s="65"/>
      <c r="F460" s="65"/>
    </row>
    <row r="461" spans="4:6" ht="15" x14ac:dyDescent="0.25">
      <c r="D461" s="65"/>
      <c r="E461" s="65"/>
      <c r="F461" s="65"/>
    </row>
    <row r="462" spans="4:6" ht="15" x14ac:dyDescent="0.25">
      <c r="D462" s="65"/>
      <c r="E462" s="65"/>
      <c r="F462" s="65"/>
    </row>
    <row r="463" spans="4:6" ht="15" x14ac:dyDescent="0.25">
      <c r="D463" s="65"/>
      <c r="E463" s="65"/>
      <c r="F463" s="65"/>
    </row>
    <row r="464" spans="4:6" ht="15" x14ac:dyDescent="0.25">
      <c r="D464" s="65"/>
      <c r="E464" s="65"/>
      <c r="F464" s="65"/>
    </row>
    <row r="465" spans="4:6" ht="15" x14ac:dyDescent="0.25">
      <c r="D465" s="65"/>
      <c r="E465" s="65"/>
      <c r="F465" s="65"/>
    </row>
    <row r="466" spans="4:6" ht="15" x14ac:dyDescent="0.25">
      <c r="D466" s="65"/>
      <c r="E466" s="65"/>
      <c r="F466" s="65"/>
    </row>
    <row r="467" spans="4:6" ht="15" x14ac:dyDescent="0.25">
      <c r="D467" s="65"/>
      <c r="E467" s="65"/>
      <c r="F467" s="65"/>
    </row>
    <row r="468" spans="4:6" ht="15" x14ac:dyDescent="0.25">
      <c r="D468" s="65"/>
      <c r="E468" s="65"/>
      <c r="F468" s="65"/>
    </row>
    <row r="469" spans="4:6" ht="15" x14ac:dyDescent="0.25">
      <c r="D469" s="65"/>
      <c r="E469" s="65"/>
      <c r="F469" s="65"/>
    </row>
    <row r="470" spans="4:6" ht="15" x14ac:dyDescent="0.25">
      <c r="D470" s="65"/>
      <c r="E470" s="65"/>
      <c r="F470" s="65"/>
    </row>
    <row r="471" spans="4:6" ht="15" x14ac:dyDescent="0.25">
      <c r="D471" s="65"/>
      <c r="E471" s="65"/>
      <c r="F471" s="65"/>
    </row>
    <row r="472" spans="4:6" ht="15" x14ac:dyDescent="0.25">
      <c r="D472" s="65"/>
      <c r="E472" s="65"/>
      <c r="F472" s="65"/>
    </row>
    <row r="473" spans="4:6" ht="15" x14ac:dyDescent="0.25">
      <c r="D473" s="65"/>
      <c r="E473" s="65"/>
      <c r="F473" s="65"/>
    </row>
    <row r="474" spans="4:6" ht="15" x14ac:dyDescent="0.25">
      <c r="D474" s="65"/>
      <c r="E474" s="65"/>
      <c r="F474" s="65"/>
    </row>
    <row r="475" spans="4:6" ht="15" x14ac:dyDescent="0.25">
      <c r="D475" s="65"/>
      <c r="E475" s="65"/>
      <c r="F475" s="65"/>
    </row>
    <row r="476" spans="4:6" ht="15" x14ac:dyDescent="0.25">
      <c r="D476" s="65"/>
      <c r="E476" s="65"/>
      <c r="F476" s="65"/>
    </row>
    <row r="477" spans="4:6" ht="15" x14ac:dyDescent="0.25">
      <c r="D477" s="65"/>
      <c r="E477" s="65"/>
      <c r="F477" s="65"/>
    </row>
    <row r="478" spans="4:6" ht="15" x14ac:dyDescent="0.25">
      <c r="D478" s="65"/>
      <c r="E478" s="65"/>
      <c r="F478" s="65"/>
    </row>
    <row r="479" spans="4:6" ht="15" x14ac:dyDescent="0.25">
      <c r="D479" s="65"/>
      <c r="E479" s="65"/>
      <c r="F479" s="65"/>
    </row>
    <row r="480" spans="4:6" ht="15" x14ac:dyDescent="0.25">
      <c r="D480" s="65"/>
      <c r="E480" s="65"/>
      <c r="F480" s="65"/>
    </row>
    <row r="481" spans="4:6" ht="15" x14ac:dyDescent="0.25">
      <c r="D481" s="65"/>
      <c r="E481" s="65"/>
      <c r="F481" s="65"/>
    </row>
    <row r="482" spans="4:6" ht="15" x14ac:dyDescent="0.25">
      <c r="D482" s="65"/>
      <c r="E482" s="65"/>
      <c r="F482" s="65"/>
    </row>
    <row r="483" spans="4:6" ht="15" x14ac:dyDescent="0.25">
      <c r="D483" s="65"/>
      <c r="E483" s="65"/>
      <c r="F483" s="65"/>
    </row>
    <row r="484" spans="4:6" ht="15" x14ac:dyDescent="0.25">
      <c r="D484" s="65"/>
      <c r="E484" s="65"/>
      <c r="F484" s="65"/>
    </row>
    <row r="485" spans="4:6" ht="15" x14ac:dyDescent="0.25">
      <c r="D485" s="65"/>
      <c r="E485" s="65"/>
      <c r="F485" s="65"/>
    </row>
    <row r="486" spans="4:6" ht="15" x14ac:dyDescent="0.25">
      <c r="D486" s="65"/>
      <c r="E486" s="65"/>
      <c r="F486" s="65"/>
    </row>
    <row r="487" spans="4:6" ht="15" x14ac:dyDescent="0.25">
      <c r="D487" s="65"/>
      <c r="E487" s="65"/>
      <c r="F487" s="65"/>
    </row>
    <row r="488" spans="4:6" ht="15" x14ac:dyDescent="0.25">
      <c r="D488" s="65"/>
      <c r="E488" s="65"/>
      <c r="F488" s="65"/>
    </row>
    <row r="489" spans="4:6" ht="15" x14ac:dyDescent="0.25">
      <c r="D489" s="65"/>
      <c r="E489" s="65"/>
      <c r="F489" s="65"/>
    </row>
    <row r="490" spans="4:6" ht="15" x14ac:dyDescent="0.25">
      <c r="D490" s="65"/>
      <c r="E490" s="65"/>
      <c r="F490" s="65"/>
    </row>
    <row r="491" spans="4:6" ht="15" x14ac:dyDescent="0.25">
      <c r="D491" s="65"/>
      <c r="E491" s="65"/>
      <c r="F491" s="65"/>
    </row>
    <row r="492" spans="4:6" ht="15" x14ac:dyDescent="0.25">
      <c r="D492" s="65"/>
      <c r="E492" s="65"/>
      <c r="F492" s="65"/>
    </row>
    <row r="493" spans="4:6" ht="15" x14ac:dyDescent="0.25">
      <c r="D493" s="65"/>
      <c r="E493" s="65"/>
      <c r="F493" s="65"/>
    </row>
    <row r="494" spans="4:6" ht="15" x14ac:dyDescent="0.25">
      <c r="D494" s="65"/>
      <c r="E494" s="65"/>
      <c r="F494" s="65"/>
    </row>
    <row r="495" spans="4:6" ht="15" x14ac:dyDescent="0.25">
      <c r="D495" s="65"/>
      <c r="E495" s="65"/>
      <c r="F495" s="65"/>
    </row>
    <row r="496" spans="4:6" ht="15" x14ac:dyDescent="0.25">
      <c r="D496" s="65"/>
      <c r="E496" s="65"/>
      <c r="F496" s="65"/>
    </row>
    <row r="497" spans="4:6" ht="15" x14ac:dyDescent="0.25">
      <c r="D497" s="65"/>
      <c r="E497" s="65"/>
      <c r="F497" s="65"/>
    </row>
    <row r="498" spans="4:6" ht="15" x14ac:dyDescent="0.25">
      <c r="D498" s="65"/>
      <c r="E498" s="65"/>
      <c r="F498" s="65"/>
    </row>
    <row r="499" spans="4:6" ht="15" x14ac:dyDescent="0.25">
      <c r="D499" s="65"/>
      <c r="E499" s="65"/>
      <c r="F499" s="65"/>
    </row>
    <row r="500" spans="4:6" ht="15" x14ac:dyDescent="0.25">
      <c r="D500" s="65"/>
      <c r="E500" s="65"/>
      <c r="F500" s="65"/>
    </row>
    <row r="501" spans="4:6" ht="15" x14ac:dyDescent="0.25">
      <c r="D501" s="65"/>
      <c r="E501" s="65"/>
      <c r="F501" s="65"/>
    </row>
    <row r="502" spans="4:6" ht="15" x14ac:dyDescent="0.25">
      <c r="D502" s="65"/>
      <c r="E502" s="65"/>
      <c r="F502" s="65"/>
    </row>
    <row r="503" spans="4:6" ht="15" x14ac:dyDescent="0.25">
      <c r="D503" s="65"/>
      <c r="E503" s="65"/>
      <c r="F503" s="65"/>
    </row>
    <row r="504" spans="4:6" ht="15" x14ac:dyDescent="0.25">
      <c r="D504" s="65"/>
      <c r="E504" s="65"/>
      <c r="F504" s="65"/>
    </row>
    <row r="505" spans="4:6" ht="15" x14ac:dyDescent="0.25">
      <c r="D505" s="65"/>
      <c r="E505" s="65"/>
      <c r="F505" s="65"/>
    </row>
    <row r="506" spans="4:6" ht="15" x14ac:dyDescent="0.25">
      <c r="D506" s="65"/>
      <c r="E506" s="65"/>
      <c r="F506" s="65"/>
    </row>
    <row r="507" spans="4:6" ht="15" x14ac:dyDescent="0.25">
      <c r="D507" s="65"/>
      <c r="E507" s="65"/>
      <c r="F507" s="65"/>
    </row>
    <row r="508" spans="4:6" ht="15" x14ac:dyDescent="0.25">
      <c r="D508" s="65"/>
      <c r="E508" s="65"/>
      <c r="F508" s="65"/>
    </row>
    <row r="509" spans="4:6" ht="15" x14ac:dyDescent="0.25">
      <c r="D509" s="65"/>
      <c r="E509" s="65"/>
      <c r="F509" s="65"/>
    </row>
    <row r="510" spans="4:6" ht="15" x14ac:dyDescent="0.25">
      <c r="D510" s="65"/>
      <c r="E510" s="65"/>
      <c r="F510" s="65"/>
    </row>
    <row r="511" spans="4:6" ht="15" x14ac:dyDescent="0.25">
      <c r="D511" s="65"/>
      <c r="E511" s="65"/>
      <c r="F511" s="65"/>
    </row>
    <row r="512" spans="4:6" ht="15" x14ac:dyDescent="0.25">
      <c r="D512" s="65"/>
      <c r="E512" s="65"/>
      <c r="F512" s="65"/>
    </row>
    <row r="513" spans="4:6" ht="15" x14ac:dyDescent="0.25">
      <c r="D513" s="65"/>
      <c r="E513" s="65"/>
      <c r="F513" s="65"/>
    </row>
    <row r="514" spans="4:6" ht="15" x14ac:dyDescent="0.25">
      <c r="D514" s="65"/>
      <c r="E514" s="65"/>
      <c r="F514" s="65"/>
    </row>
    <row r="515" spans="4:6" ht="15" x14ac:dyDescent="0.25">
      <c r="D515" s="65"/>
      <c r="E515" s="65"/>
      <c r="F515" s="65"/>
    </row>
    <row r="516" spans="4:6" ht="15" x14ac:dyDescent="0.25">
      <c r="D516" s="65"/>
      <c r="E516" s="65"/>
      <c r="F516" s="65"/>
    </row>
    <row r="517" spans="4:6" ht="15" x14ac:dyDescent="0.25">
      <c r="D517" s="65"/>
      <c r="E517" s="65"/>
      <c r="F517" s="65"/>
    </row>
    <row r="518" spans="4:6" ht="15" x14ac:dyDescent="0.25">
      <c r="D518" s="65"/>
      <c r="E518" s="65"/>
      <c r="F518" s="65"/>
    </row>
    <row r="519" spans="4:6" ht="15" x14ac:dyDescent="0.25">
      <c r="D519" s="65"/>
      <c r="E519" s="65"/>
      <c r="F519" s="65"/>
    </row>
    <row r="520" spans="4:6" ht="15" x14ac:dyDescent="0.25">
      <c r="D520" s="65"/>
      <c r="E520" s="65"/>
      <c r="F520" s="65"/>
    </row>
    <row r="521" spans="4:6" ht="15" x14ac:dyDescent="0.25">
      <c r="D521" s="65"/>
      <c r="E521" s="65"/>
      <c r="F521" s="65"/>
    </row>
    <row r="522" spans="4:6" ht="15" x14ac:dyDescent="0.25">
      <c r="D522" s="65"/>
      <c r="E522" s="65"/>
      <c r="F522" s="65"/>
    </row>
    <row r="523" spans="4:6" ht="15" x14ac:dyDescent="0.25">
      <c r="D523" s="65"/>
      <c r="E523" s="65"/>
      <c r="F523" s="65"/>
    </row>
    <row r="524" spans="4:6" ht="15" x14ac:dyDescent="0.25">
      <c r="D524" s="65"/>
      <c r="E524" s="65"/>
      <c r="F524" s="65"/>
    </row>
    <row r="525" spans="4:6" ht="15" x14ac:dyDescent="0.25">
      <c r="D525" s="65"/>
      <c r="E525" s="65"/>
      <c r="F525" s="65"/>
    </row>
    <row r="526" spans="4:6" ht="15" x14ac:dyDescent="0.25">
      <c r="D526" s="65"/>
      <c r="E526" s="65"/>
      <c r="F526" s="65"/>
    </row>
    <row r="527" spans="4:6" ht="15" x14ac:dyDescent="0.25">
      <c r="D527" s="65"/>
      <c r="E527" s="65"/>
      <c r="F527" s="65"/>
    </row>
    <row r="528" spans="4:6" ht="15" x14ac:dyDescent="0.25">
      <c r="D528" s="65"/>
      <c r="E528" s="65"/>
      <c r="F528" s="65"/>
    </row>
    <row r="529" spans="4:6" ht="15" x14ac:dyDescent="0.25">
      <c r="D529" s="65"/>
      <c r="E529" s="65"/>
      <c r="F529" s="65"/>
    </row>
    <row r="530" spans="4:6" ht="15" x14ac:dyDescent="0.25">
      <c r="D530" s="65"/>
      <c r="E530" s="65"/>
      <c r="F530" s="65"/>
    </row>
    <row r="531" spans="4:6" ht="15" x14ac:dyDescent="0.25">
      <c r="D531" s="65"/>
      <c r="E531" s="65"/>
      <c r="F531" s="65"/>
    </row>
    <row r="532" spans="4:6" ht="15" x14ac:dyDescent="0.25">
      <c r="D532" s="65"/>
      <c r="E532" s="65"/>
      <c r="F532" s="65"/>
    </row>
  </sheetData>
  <pageMargins left="0.7" right="0.7" top="0.75" bottom="0.75" header="0.3" footer="0.3"/>
  <pageSetup paperSize="9" scale="1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AZ532"/>
  <sheetViews>
    <sheetView showGridLines="0" showRowColHeaders="0" view="pageBreakPreview" zoomScale="80" zoomScaleNormal="100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2" width="1.625" style="38" customWidth="1"/>
    <col min="3" max="3" width="5.875" style="37" customWidth="1"/>
    <col min="4" max="4" width="18.125" style="38" customWidth="1"/>
    <col min="5" max="5" width="9.75" style="38" customWidth="1"/>
    <col min="6" max="6" width="15.875" style="38" bestFit="1" customWidth="1"/>
    <col min="7" max="7" width="12.25" style="39" customWidth="1"/>
    <col min="8" max="12" width="12.25" style="40" customWidth="1"/>
    <col min="13" max="13" width="12.25" style="41" customWidth="1"/>
    <col min="14" max="16" width="12.25" style="41" customWidth="1" outlineLevel="1"/>
    <col min="17" max="18" width="12.25" style="42" customWidth="1" outlineLevel="1"/>
    <col min="19" max="21" width="12.25" style="38" customWidth="1" outlineLevel="1"/>
    <col min="22" max="22" width="1.625" style="295" customWidth="1"/>
    <col min="23" max="23" width="10.5" style="38"/>
    <col min="24" max="31" width="10.5" style="38" customWidth="1" outlineLevel="1"/>
    <col min="32" max="32" width="1.625" style="295" customWidth="1"/>
    <col min="33" max="33" width="10.5" style="38"/>
    <col min="34" max="41" width="10.5" style="38" customWidth="1" outlineLevel="1"/>
    <col min="42" max="42" width="1.625" style="295" customWidth="1"/>
    <col min="43" max="43" width="10.5" style="38"/>
    <col min="44" max="51" width="10.5" style="38" customWidth="1" outlineLevel="1"/>
    <col min="52" max="52" width="4.125" style="295" customWidth="1"/>
    <col min="53" max="16384" width="10.5" style="38"/>
  </cols>
  <sheetData>
    <row r="2" spans="3:52" ht="18.75" x14ac:dyDescent="0.25">
      <c r="D2" s="384" t="s">
        <v>103</v>
      </c>
    </row>
    <row r="3" spans="3:52" ht="30" customHeight="1" x14ac:dyDescent="0.25">
      <c r="H3" s="41"/>
      <c r="I3" s="41"/>
      <c r="J3" s="41"/>
      <c r="K3" s="41"/>
      <c r="L3" s="41"/>
    </row>
    <row r="4" spans="3:52" x14ac:dyDescent="0.25">
      <c r="D4" s="43" t="s">
        <v>42</v>
      </c>
      <c r="H4" s="41"/>
      <c r="I4" s="41"/>
      <c r="J4" s="41"/>
      <c r="K4" s="41"/>
      <c r="L4" s="41"/>
    </row>
    <row r="5" spans="3:52" ht="15" thickBot="1" x14ac:dyDescent="0.3">
      <c r="D5" s="43"/>
      <c r="H5" s="41"/>
      <c r="I5" s="41"/>
      <c r="J5" s="41"/>
      <c r="K5" s="41"/>
      <c r="L5" s="41"/>
    </row>
    <row r="6" spans="3:52" ht="24.95" customHeight="1" thickTop="1" thickBot="1" x14ac:dyDescent="0.3"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2" s="49" customFormat="1" ht="39.75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51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  <c r="AZ7" s="207"/>
    </row>
    <row r="8" spans="3:52" s="52" customFormat="1" ht="33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0</v>
      </c>
      <c r="AS8" s="363">
        <f t="shared" si="6"/>
        <v>0</v>
      </c>
      <c r="AT8" s="363">
        <f t="shared" si="6"/>
        <v>0</v>
      </c>
      <c r="AU8" s="363">
        <f t="shared" si="6"/>
        <v>0</v>
      </c>
      <c r="AV8" s="363">
        <f>+SUM(AV9:AV29)</f>
        <v>0</v>
      </c>
      <c r="AW8" s="363">
        <f t="shared" ref="AW8:AX8" si="7">+SUM(AW9:AW29)</f>
        <v>0</v>
      </c>
      <c r="AX8" s="363">
        <f t="shared" si="7"/>
        <v>0</v>
      </c>
      <c r="AY8" s="364">
        <f>+SUM(AY9:AY29)</f>
        <v>0</v>
      </c>
      <c r="AZ8" s="296"/>
    </row>
    <row r="9" spans="3:52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/>
      <c r="AS9" s="289"/>
      <c r="AT9" s="289"/>
      <c r="AU9" s="289"/>
      <c r="AV9" s="289"/>
      <c r="AW9" s="289"/>
      <c r="AX9" s="289"/>
      <c r="AY9" s="290"/>
      <c r="AZ9" s="207"/>
    </row>
    <row r="10" spans="3:52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  <c r="AZ10" s="207"/>
    </row>
    <row r="11" spans="3:52" s="49" customFormat="1" ht="18" customHeight="1" x14ac:dyDescent="0.25">
      <c r="C11" s="56">
        <f t="shared" ref="C11:C28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  <c r="AZ11" s="207"/>
    </row>
    <row r="12" spans="3:52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  <c r="AZ12" s="207"/>
    </row>
    <row r="13" spans="3:52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  <c r="AZ13" s="207"/>
    </row>
    <row r="14" spans="3:52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  <c r="AZ14" s="207"/>
    </row>
    <row r="15" spans="3:52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  <c r="AZ15" s="207"/>
    </row>
    <row r="16" spans="3:52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  <c r="AZ16" s="207"/>
    </row>
    <row r="17" spans="2:52" s="204" customFormat="1" ht="18" customHeight="1" x14ac:dyDescent="0.25">
      <c r="B17" s="207"/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  <c r="AZ17" s="207"/>
    </row>
    <row r="18" spans="2:52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  <c r="AZ18" s="207"/>
    </row>
    <row r="19" spans="2:52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  <c r="AZ19" s="207"/>
    </row>
    <row r="20" spans="2:52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  <c r="AZ20" s="207"/>
    </row>
    <row r="21" spans="2:52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  <c r="AZ21" s="207"/>
    </row>
    <row r="22" spans="2:52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  <c r="AZ22" s="207"/>
    </row>
    <row r="23" spans="2:52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  <c r="AZ23" s="207"/>
    </row>
    <row r="24" spans="2:52" s="49" customFormat="1" ht="18" customHeight="1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  <c r="AZ24" s="207"/>
    </row>
    <row r="25" spans="2:52" s="49" customFormat="1" ht="18" customHeight="1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  <c r="AZ25" s="207"/>
    </row>
    <row r="26" spans="2:52" s="49" customFormat="1" ht="18" customHeight="1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  <c r="AZ26" s="207"/>
    </row>
    <row r="27" spans="2:52" s="49" customFormat="1" ht="18" customHeight="1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  <c r="AZ27" s="207"/>
    </row>
    <row r="28" spans="2:52" s="49" customFormat="1" ht="18" customHeight="1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  <c r="AZ28" s="207"/>
    </row>
    <row r="29" spans="2:52" s="49" customFormat="1" ht="15.75" x14ac:dyDescent="0.25">
      <c r="C29" s="48"/>
      <c r="D29" s="60"/>
      <c r="E29" s="60"/>
      <c r="F29" s="60"/>
      <c r="G29" s="50"/>
      <c r="H29" s="61"/>
      <c r="I29" s="61"/>
      <c r="J29" s="61"/>
      <c r="K29" s="61"/>
      <c r="L29" s="61"/>
      <c r="M29" s="62"/>
      <c r="N29" s="62"/>
      <c r="O29" s="62"/>
      <c r="P29" s="62"/>
      <c r="Q29" s="63"/>
      <c r="R29" s="63"/>
      <c r="S29" s="63"/>
      <c r="T29" s="63"/>
      <c r="U29" s="63"/>
      <c r="V29" s="207"/>
      <c r="AF29" s="207"/>
      <c r="AP29" s="207"/>
      <c r="AZ29" s="207"/>
    </row>
    <row r="30" spans="2:52" s="49" customFormat="1" ht="15.75" x14ac:dyDescent="0.25">
      <c r="C30" s="48"/>
      <c r="D30" s="60"/>
      <c r="E30" s="60"/>
      <c r="F30" s="60"/>
      <c r="G30" s="50"/>
      <c r="H30" s="61"/>
      <c r="I30" s="61"/>
      <c r="J30" s="61"/>
      <c r="K30" s="61"/>
      <c r="L30" s="61"/>
      <c r="M30" s="62"/>
      <c r="N30" s="62"/>
      <c r="O30" s="62"/>
      <c r="P30" s="62"/>
      <c r="Q30" s="63"/>
      <c r="R30" s="63"/>
      <c r="S30" s="63"/>
      <c r="T30" s="63"/>
      <c r="U30" s="63"/>
      <c r="V30" s="207"/>
      <c r="AF30" s="207"/>
      <c r="AP30" s="207"/>
      <c r="AZ30" s="207"/>
    </row>
    <row r="31" spans="2:52" s="49" customFormat="1" ht="15.75" x14ac:dyDescent="0.25">
      <c r="C31" s="48"/>
      <c r="D31" s="60"/>
      <c r="E31" s="60"/>
      <c r="F31" s="60"/>
      <c r="G31" s="50"/>
      <c r="H31" s="61"/>
      <c r="I31" s="61"/>
      <c r="J31" s="61"/>
      <c r="K31" s="61"/>
      <c r="L31" s="61"/>
      <c r="M31" s="62"/>
      <c r="N31" s="62"/>
      <c r="O31" s="62"/>
      <c r="P31" s="62"/>
      <c r="Q31" s="63"/>
      <c r="R31" s="63"/>
      <c r="S31" s="63"/>
      <c r="T31" s="63"/>
      <c r="U31" s="63"/>
      <c r="V31" s="207"/>
      <c r="AF31" s="207"/>
      <c r="AP31" s="207"/>
      <c r="AZ31" s="207"/>
    </row>
    <row r="32" spans="2:52" s="49" customFormat="1" ht="15.75" x14ac:dyDescent="0.25">
      <c r="C32" s="48"/>
      <c r="D32" s="60"/>
      <c r="E32" s="60"/>
      <c r="F32" s="60"/>
      <c r="G32" s="50"/>
      <c r="H32" s="61"/>
      <c r="I32" s="61"/>
      <c r="J32" s="61"/>
      <c r="K32" s="61"/>
      <c r="L32" s="61"/>
      <c r="M32" s="62"/>
      <c r="N32" s="62"/>
      <c r="O32" s="62"/>
      <c r="P32" s="62"/>
      <c r="Q32" s="63"/>
      <c r="R32" s="63"/>
      <c r="S32" s="63"/>
      <c r="T32" s="63"/>
      <c r="U32" s="63"/>
      <c r="V32" s="207"/>
      <c r="AF32" s="207"/>
      <c r="AP32" s="207"/>
      <c r="AZ32" s="207"/>
    </row>
    <row r="33" spans="3:52" s="49" customFormat="1" ht="15.75" x14ac:dyDescent="0.25">
      <c r="C33" s="48"/>
      <c r="D33" s="60"/>
      <c r="E33" s="60"/>
      <c r="F33" s="60"/>
      <c r="G33" s="50"/>
      <c r="H33" s="61"/>
      <c r="I33" s="61"/>
      <c r="J33" s="61"/>
      <c r="K33" s="61"/>
      <c r="L33" s="61"/>
      <c r="M33" s="62"/>
      <c r="N33" s="62"/>
      <c r="O33" s="62"/>
      <c r="P33" s="62"/>
      <c r="Q33" s="63"/>
      <c r="R33" s="63"/>
      <c r="S33" s="63"/>
      <c r="T33" s="63"/>
      <c r="U33" s="63"/>
      <c r="V33" s="207"/>
      <c r="AF33" s="207"/>
      <c r="AP33" s="207"/>
      <c r="AZ33" s="207"/>
    </row>
    <row r="34" spans="3:52" s="49" customFormat="1" ht="15.75" x14ac:dyDescent="0.25">
      <c r="C34" s="48"/>
      <c r="D34" s="60"/>
      <c r="E34" s="60"/>
      <c r="F34" s="60"/>
      <c r="G34" s="50"/>
      <c r="H34" s="61"/>
      <c r="I34" s="61"/>
      <c r="J34" s="61"/>
      <c r="K34" s="61"/>
      <c r="L34" s="61"/>
      <c r="M34" s="62"/>
      <c r="N34" s="62"/>
      <c r="O34" s="62"/>
      <c r="P34" s="62"/>
      <c r="Q34" s="63"/>
      <c r="R34" s="63"/>
      <c r="S34" s="63"/>
      <c r="T34" s="63"/>
      <c r="U34" s="63"/>
      <c r="V34" s="207"/>
      <c r="AF34" s="207"/>
      <c r="AP34" s="207"/>
      <c r="AZ34" s="207"/>
    </row>
    <row r="35" spans="3:52" s="49" customFormat="1" ht="15.75" x14ac:dyDescent="0.25">
      <c r="C35" s="48"/>
      <c r="D35" s="60"/>
      <c r="E35" s="60"/>
      <c r="F35" s="60"/>
      <c r="G35" s="50"/>
      <c r="H35" s="61"/>
      <c r="I35" s="61"/>
      <c r="J35" s="61"/>
      <c r="K35" s="61"/>
      <c r="L35" s="61"/>
      <c r="M35" s="62"/>
      <c r="N35" s="62"/>
      <c r="O35" s="62"/>
      <c r="P35" s="62"/>
      <c r="Q35" s="63"/>
      <c r="R35" s="63"/>
      <c r="S35" s="63"/>
      <c r="T35" s="63"/>
      <c r="U35" s="63"/>
      <c r="V35" s="207"/>
      <c r="AF35" s="207"/>
      <c r="AP35" s="207"/>
      <c r="AZ35" s="207"/>
    </row>
    <row r="36" spans="3:52" s="49" customFormat="1" ht="15.75" x14ac:dyDescent="0.25">
      <c r="C36" s="48"/>
      <c r="D36" s="60"/>
      <c r="E36" s="60"/>
      <c r="F36" s="60"/>
      <c r="G36" s="50"/>
      <c r="H36" s="61"/>
      <c r="I36" s="61"/>
      <c r="J36" s="61"/>
      <c r="K36" s="61"/>
      <c r="L36" s="61"/>
      <c r="M36" s="62"/>
      <c r="N36" s="62"/>
      <c r="O36" s="62"/>
      <c r="P36" s="62"/>
      <c r="Q36" s="63"/>
      <c r="R36" s="63"/>
      <c r="S36" s="63"/>
      <c r="T36" s="63"/>
      <c r="U36" s="63"/>
      <c r="V36" s="207"/>
      <c r="AF36" s="207"/>
      <c r="AP36" s="207"/>
      <c r="AZ36" s="207"/>
    </row>
    <row r="37" spans="3:52" s="49" customFormat="1" ht="15.75" x14ac:dyDescent="0.25">
      <c r="C37" s="48"/>
      <c r="D37" s="60"/>
      <c r="E37" s="60"/>
      <c r="F37" s="60"/>
      <c r="G37" s="50"/>
      <c r="H37" s="61"/>
      <c r="I37" s="61"/>
      <c r="J37" s="61"/>
      <c r="K37" s="61"/>
      <c r="L37" s="61"/>
      <c r="M37" s="62"/>
      <c r="N37" s="62"/>
      <c r="O37" s="62"/>
      <c r="P37" s="62"/>
      <c r="Q37" s="63"/>
      <c r="R37" s="63"/>
      <c r="S37" s="63"/>
      <c r="T37" s="63"/>
      <c r="U37" s="63"/>
      <c r="V37" s="207"/>
      <c r="AF37" s="207"/>
      <c r="AP37" s="207"/>
      <c r="AZ37" s="207"/>
    </row>
    <row r="38" spans="3:52" s="49" customFormat="1" ht="15.75" x14ac:dyDescent="0.25">
      <c r="C38" s="48"/>
      <c r="D38" s="60"/>
      <c r="E38" s="60"/>
      <c r="F38" s="60"/>
      <c r="G38" s="50"/>
      <c r="H38" s="61"/>
      <c r="I38" s="61"/>
      <c r="J38" s="61"/>
      <c r="K38" s="61"/>
      <c r="L38" s="61"/>
      <c r="M38" s="62"/>
      <c r="N38" s="62"/>
      <c r="O38" s="62"/>
      <c r="P38" s="62"/>
      <c r="Q38" s="63"/>
      <c r="R38" s="63"/>
      <c r="S38" s="63"/>
      <c r="T38" s="63"/>
      <c r="U38" s="63"/>
      <c r="V38" s="207"/>
      <c r="AF38" s="207"/>
      <c r="AP38" s="207"/>
      <c r="AZ38" s="207"/>
    </row>
    <row r="39" spans="3:52" s="49" customFormat="1" ht="15.75" x14ac:dyDescent="0.25">
      <c r="C39" s="48"/>
      <c r="D39" s="60"/>
      <c r="E39" s="60"/>
      <c r="F39" s="60"/>
      <c r="G39" s="50"/>
      <c r="H39" s="61"/>
      <c r="I39" s="61"/>
      <c r="J39" s="61"/>
      <c r="K39" s="61"/>
      <c r="L39" s="61"/>
      <c r="M39" s="62"/>
      <c r="N39" s="62"/>
      <c r="O39" s="62"/>
      <c r="P39" s="62"/>
      <c r="Q39" s="63"/>
      <c r="R39" s="63"/>
      <c r="S39" s="63"/>
      <c r="T39" s="63"/>
      <c r="U39" s="63"/>
      <c r="V39" s="207"/>
      <c r="AF39" s="207"/>
      <c r="AP39" s="207"/>
      <c r="AZ39" s="207"/>
    </row>
    <row r="40" spans="3:52" s="49" customFormat="1" ht="15.75" x14ac:dyDescent="0.25">
      <c r="C40" s="48"/>
      <c r="D40" s="60"/>
      <c r="E40" s="60"/>
      <c r="F40" s="60"/>
      <c r="G40" s="50"/>
      <c r="H40" s="61"/>
      <c r="I40" s="61"/>
      <c r="J40" s="61"/>
      <c r="K40" s="61"/>
      <c r="L40" s="61"/>
      <c r="M40" s="62"/>
      <c r="N40" s="62"/>
      <c r="O40" s="62"/>
      <c r="P40" s="62"/>
      <c r="Q40" s="63"/>
      <c r="R40" s="63"/>
      <c r="S40" s="63"/>
      <c r="T40" s="63"/>
      <c r="U40" s="63"/>
      <c r="V40" s="207"/>
      <c r="AF40" s="207"/>
      <c r="AP40" s="207"/>
      <c r="AZ40" s="207"/>
    </row>
    <row r="41" spans="3:52" s="49" customFormat="1" ht="15.75" x14ac:dyDescent="0.25">
      <c r="C41" s="48"/>
      <c r="D41" s="60"/>
      <c r="E41" s="60"/>
      <c r="F41" s="60"/>
      <c r="G41" s="50"/>
      <c r="H41" s="61"/>
      <c r="I41" s="61"/>
      <c r="J41" s="61"/>
      <c r="K41" s="61"/>
      <c r="L41" s="61"/>
      <c r="M41" s="62"/>
      <c r="N41" s="62"/>
      <c r="O41" s="62"/>
      <c r="P41" s="62"/>
      <c r="Q41" s="63"/>
      <c r="R41" s="63"/>
      <c r="S41" s="63"/>
      <c r="T41" s="63"/>
      <c r="U41" s="63"/>
      <c r="V41" s="207"/>
      <c r="AF41" s="207"/>
      <c r="AP41" s="207"/>
      <c r="AZ41" s="207"/>
    </row>
    <row r="42" spans="3:52" s="49" customFormat="1" ht="15.75" x14ac:dyDescent="0.25">
      <c r="C42" s="48"/>
      <c r="D42" s="60"/>
      <c r="E42" s="60"/>
      <c r="F42" s="60"/>
      <c r="G42" s="50"/>
      <c r="H42" s="61"/>
      <c r="I42" s="61"/>
      <c r="J42" s="61"/>
      <c r="K42" s="61"/>
      <c r="L42" s="61"/>
      <c r="M42" s="62"/>
      <c r="N42" s="62"/>
      <c r="O42" s="62"/>
      <c r="P42" s="62"/>
      <c r="Q42" s="63"/>
      <c r="R42" s="63"/>
      <c r="S42" s="63"/>
      <c r="T42" s="63"/>
      <c r="U42" s="63"/>
      <c r="V42" s="207"/>
      <c r="AF42" s="207"/>
      <c r="AP42" s="207"/>
      <c r="AZ42" s="207"/>
    </row>
    <row r="43" spans="3:52" s="49" customFormat="1" ht="15.75" x14ac:dyDescent="0.25">
      <c r="C43" s="48"/>
      <c r="D43" s="60"/>
      <c r="E43" s="60"/>
      <c r="F43" s="60"/>
      <c r="G43" s="50"/>
      <c r="H43" s="61"/>
      <c r="I43" s="61"/>
      <c r="J43" s="61"/>
      <c r="K43" s="61"/>
      <c r="L43" s="61"/>
      <c r="M43" s="62"/>
      <c r="N43" s="62"/>
      <c r="O43" s="62"/>
      <c r="P43" s="62"/>
      <c r="Q43" s="63"/>
      <c r="R43" s="63"/>
      <c r="S43" s="63"/>
      <c r="T43" s="63"/>
      <c r="U43" s="63"/>
      <c r="V43" s="207"/>
      <c r="AF43" s="207"/>
      <c r="AP43" s="207"/>
      <c r="AZ43" s="207"/>
    </row>
    <row r="44" spans="3:52" s="49" customFormat="1" ht="15.75" x14ac:dyDescent="0.25">
      <c r="C44" s="48"/>
      <c r="D44" s="60"/>
      <c r="E44" s="60"/>
      <c r="F44" s="60"/>
      <c r="G44" s="50"/>
      <c r="H44" s="61"/>
      <c r="I44" s="61"/>
      <c r="J44" s="61"/>
      <c r="K44" s="61"/>
      <c r="L44" s="61"/>
      <c r="M44" s="62"/>
      <c r="N44" s="62"/>
      <c r="O44" s="62"/>
      <c r="P44" s="62"/>
      <c r="Q44" s="63"/>
      <c r="R44" s="63"/>
      <c r="S44" s="63"/>
      <c r="T44" s="63"/>
      <c r="U44" s="63"/>
      <c r="V44" s="207"/>
      <c r="AF44" s="207"/>
      <c r="AP44" s="207"/>
      <c r="AZ44" s="207"/>
    </row>
    <row r="45" spans="3:52" s="49" customFormat="1" ht="15.75" x14ac:dyDescent="0.25">
      <c r="C45" s="48"/>
      <c r="D45" s="60"/>
      <c r="E45" s="60"/>
      <c r="F45" s="60"/>
      <c r="G45" s="50"/>
      <c r="H45" s="61"/>
      <c r="I45" s="61"/>
      <c r="J45" s="61"/>
      <c r="K45" s="61"/>
      <c r="L45" s="61"/>
      <c r="M45" s="62"/>
      <c r="N45" s="62"/>
      <c r="O45" s="62"/>
      <c r="P45" s="62"/>
      <c r="Q45" s="63"/>
      <c r="R45" s="63"/>
      <c r="S45" s="63"/>
      <c r="T45" s="63"/>
      <c r="U45" s="63"/>
      <c r="V45" s="207"/>
      <c r="AF45" s="207"/>
      <c r="AP45" s="207"/>
      <c r="AZ45" s="207"/>
    </row>
    <row r="46" spans="3:52" s="49" customFormat="1" ht="15.75" x14ac:dyDescent="0.25">
      <c r="C46" s="48"/>
      <c r="D46" s="60"/>
      <c r="E46" s="60"/>
      <c r="F46" s="60"/>
      <c r="G46" s="50"/>
      <c r="H46" s="61"/>
      <c r="I46" s="61"/>
      <c r="J46" s="61"/>
      <c r="K46" s="61"/>
      <c r="L46" s="61"/>
      <c r="M46" s="62"/>
      <c r="N46" s="62"/>
      <c r="O46" s="62"/>
      <c r="P46" s="62"/>
      <c r="Q46" s="63"/>
      <c r="R46" s="63"/>
      <c r="S46" s="63"/>
      <c r="T46" s="63"/>
      <c r="U46" s="63"/>
      <c r="V46" s="207"/>
      <c r="AF46" s="207"/>
      <c r="AP46" s="207"/>
      <c r="AZ46" s="207"/>
    </row>
    <row r="47" spans="3:52" s="49" customFormat="1" ht="15.75" x14ac:dyDescent="0.25">
      <c r="C47" s="48"/>
      <c r="D47" s="60"/>
      <c r="E47" s="60"/>
      <c r="F47" s="60"/>
      <c r="G47" s="50"/>
      <c r="H47" s="61"/>
      <c r="I47" s="61"/>
      <c r="J47" s="61"/>
      <c r="K47" s="61"/>
      <c r="L47" s="61"/>
      <c r="M47" s="62"/>
      <c r="N47" s="62"/>
      <c r="O47" s="62"/>
      <c r="P47" s="62"/>
      <c r="Q47" s="63"/>
      <c r="R47" s="63"/>
      <c r="S47" s="63"/>
      <c r="T47" s="63"/>
      <c r="U47" s="63"/>
      <c r="V47" s="207"/>
      <c r="AF47" s="207"/>
      <c r="AP47" s="207"/>
      <c r="AZ47" s="207"/>
    </row>
    <row r="48" spans="3:52" s="49" customFormat="1" ht="15.75" x14ac:dyDescent="0.25">
      <c r="C48" s="48"/>
      <c r="D48" s="60"/>
      <c r="E48" s="60"/>
      <c r="F48" s="60"/>
      <c r="G48" s="50"/>
      <c r="H48" s="61"/>
      <c r="I48" s="61"/>
      <c r="J48" s="61"/>
      <c r="K48" s="61"/>
      <c r="L48" s="61"/>
      <c r="M48" s="62"/>
      <c r="N48" s="62"/>
      <c r="O48" s="62"/>
      <c r="P48" s="62"/>
      <c r="Q48" s="63"/>
      <c r="R48" s="63"/>
      <c r="S48" s="63"/>
      <c r="T48" s="63"/>
      <c r="U48" s="63"/>
      <c r="V48" s="207"/>
      <c r="AF48" s="207"/>
      <c r="AP48" s="207"/>
      <c r="AZ48" s="207"/>
    </row>
    <row r="49" spans="3:52" s="49" customFormat="1" ht="15.75" x14ac:dyDescent="0.25">
      <c r="C49" s="48"/>
      <c r="D49" s="60"/>
      <c r="E49" s="60"/>
      <c r="F49" s="60"/>
      <c r="G49" s="50"/>
      <c r="H49" s="61"/>
      <c r="I49" s="61"/>
      <c r="J49" s="61"/>
      <c r="K49" s="61"/>
      <c r="L49" s="61"/>
      <c r="M49" s="62"/>
      <c r="N49" s="62"/>
      <c r="O49" s="62"/>
      <c r="P49" s="62"/>
      <c r="Q49" s="63"/>
      <c r="R49" s="63"/>
      <c r="S49" s="63"/>
      <c r="T49" s="63"/>
      <c r="U49" s="63"/>
      <c r="V49" s="207"/>
      <c r="AF49" s="207"/>
      <c r="AP49" s="207"/>
      <c r="AZ49" s="207"/>
    </row>
    <row r="50" spans="3:52" s="49" customFormat="1" ht="15.75" x14ac:dyDescent="0.25">
      <c r="C50" s="48"/>
      <c r="D50" s="60"/>
      <c r="E50" s="60"/>
      <c r="F50" s="60"/>
      <c r="G50" s="50"/>
      <c r="H50" s="61"/>
      <c r="I50" s="61"/>
      <c r="J50" s="61"/>
      <c r="K50" s="61"/>
      <c r="L50" s="61"/>
      <c r="M50" s="62"/>
      <c r="N50" s="62"/>
      <c r="O50" s="62"/>
      <c r="P50" s="62"/>
      <c r="Q50" s="63"/>
      <c r="R50" s="63"/>
      <c r="S50" s="63"/>
      <c r="T50" s="63"/>
      <c r="U50" s="63"/>
      <c r="V50" s="207"/>
      <c r="AF50" s="207"/>
      <c r="AP50" s="207"/>
      <c r="AZ50" s="207"/>
    </row>
    <row r="51" spans="3:52" s="49" customFormat="1" ht="15.75" x14ac:dyDescent="0.25">
      <c r="C51" s="48"/>
      <c r="D51" s="60"/>
      <c r="E51" s="60"/>
      <c r="F51" s="60"/>
      <c r="G51" s="50"/>
      <c r="H51" s="61"/>
      <c r="I51" s="61"/>
      <c r="J51" s="61"/>
      <c r="K51" s="61"/>
      <c r="L51" s="61"/>
      <c r="M51" s="62"/>
      <c r="N51" s="62"/>
      <c r="O51" s="62"/>
      <c r="P51" s="62"/>
      <c r="Q51" s="63"/>
      <c r="R51" s="63"/>
      <c r="S51" s="63"/>
      <c r="T51" s="63"/>
      <c r="U51" s="63"/>
      <c r="V51" s="207"/>
      <c r="AF51" s="207"/>
      <c r="AP51" s="207"/>
      <c r="AZ51" s="207"/>
    </row>
    <row r="52" spans="3:52" s="49" customFormat="1" ht="15.75" x14ac:dyDescent="0.25">
      <c r="C52" s="48"/>
      <c r="D52" s="60"/>
      <c r="E52" s="60"/>
      <c r="F52" s="60"/>
      <c r="G52" s="50"/>
      <c r="H52" s="61"/>
      <c r="I52" s="61"/>
      <c r="J52" s="61"/>
      <c r="K52" s="61"/>
      <c r="L52" s="61"/>
      <c r="M52" s="62"/>
      <c r="N52" s="62"/>
      <c r="O52" s="62"/>
      <c r="P52" s="62"/>
      <c r="Q52" s="63"/>
      <c r="R52" s="63"/>
      <c r="S52" s="63"/>
      <c r="T52" s="63"/>
      <c r="U52" s="63"/>
      <c r="V52" s="207"/>
      <c r="AF52" s="207"/>
      <c r="AP52" s="207"/>
      <c r="AZ52" s="207"/>
    </row>
    <row r="53" spans="3:52" s="49" customFormat="1" ht="15.75" x14ac:dyDescent="0.25">
      <c r="C53" s="48"/>
      <c r="D53" s="60"/>
      <c r="E53" s="60"/>
      <c r="F53" s="60"/>
      <c r="G53" s="50"/>
      <c r="H53" s="61"/>
      <c r="I53" s="61"/>
      <c r="J53" s="61"/>
      <c r="K53" s="61"/>
      <c r="L53" s="61"/>
      <c r="M53" s="62"/>
      <c r="N53" s="62"/>
      <c r="O53" s="62"/>
      <c r="P53" s="62"/>
      <c r="Q53" s="63"/>
      <c r="R53" s="63"/>
      <c r="S53" s="63"/>
      <c r="T53" s="63"/>
      <c r="U53" s="63"/>
      <c r="V53" s="207"/>
      <c r="AF53" s="207"/>
      <c r="AP53" s="207"/>
      <c r="AZ53" s="207"/>
    </row>
    <row r="54" spans="3:52" s="49" customFormat="1" ht="15.75" x14ac:dyDescent="0.25">
      <c r="C54" s="48"/>
      <c r="D54" s="60"/>
      <c r="E54" s="60"/>
      <c r="F54" s="60"/>
      <c r="G54" s="50"/>
      <c r="H54" s="61"/>
      <c r="I54" s="61"/>
      <c r="J54" s="61"/>
      <c r="K54" s="61"/>
      <c r="L54" s="61"/>
      <c r="M54" s="62"/>
      <c r="N54" s="62"/>
      <c r="O54" s="62"/>
      <c r="P54" s="62"/>
      <c r="Q54" s="63"/>
      <c r="R54" s="63"/>
      <c r="S54" s="63"/>
      <c r="T54" s="63"/>
      <c r="U54" s="63"/>
      <c r="V54" s="207"/>
      <c r="AF54" s="207"/>
      <c r="AP54" s="207"/>
      <c r="AZ54" s="207"/>
    </row>
    <row r="55" spans="3:52" s="49" customFormat="1" ht="15.75" x14ac:dyDescent="0.25">
      <c r="C55" s="48"/>
      <c r="D55" s="60"/>
      <c r="E55" s="60"/>
      <c r="F55" s="60"/>
      <c r="G55" s="50"/>
      <c r="H55" s="61"/>
      <c r="I55" s="61"/>
      <c r="J55" s="61"/>
      <c r="K55" s="61"/>
      <c r="L55" s="61"/>
      <c r="M55" s="62"/>
      <c r="N55" s="62"/>
      <c r="O55" s="62"/>
      <c r="P55" s="62"/>
      <c r="Q55" s="63"/>
      <c r="R55" s="63"/>
      <c r="S55" s="63"/>
      <c r="T55" s="63"/>
      <c r="U55" s="63"/>
      <c r="V55" s="207"/>
      <c r="AF55" s="207"/>
      <c r="AP55" s="207"/>
      <c r="AZ55" s="207"/>
    </row>
    <row r="56" spans="3:52" s="49" customFormat="1" ht="15.75" x14ac:dyDescent="0.25">
      <c r="C56" s="48"/>
      <c r="D56" s="60"/>
      <c r="E56" s="60"/>
      <c r="F56" s="60"/>
      <c r="G56" s="50"/>
      <c r="H56" s="61"/>
      <c r="I56" s="61"/>
      <c r="J56" s="61"/>
      <c r="K56" s="61"/>
      <c r="L56" s="61"/>
      <c r="M56" s="62"/>
      <c r="N56" s="62"/>
      <c r="O56" s="62"/>
      <c r="P56" s="62"/>
      <c r="Q56" s="63"/>
      <c r="R56" s="63"/>
      <c r="S56" s="63"/>
      <c r="T56" s="63"/>
      <c r="U56" s="63"/>
      <c r="V56" s="207"/>
      <c r="AF56" s="207"/>
      <c r="AP56" s="207"/>
      <c r="AZ56" s="207"/>
    </row>
    <row r="57" spans="3:52" s="49" customFormat="1" ht="15.75" x14ac:dyDescent="0.25">
      <c r="C57" s="48"/>
      <c r="D57" s="60"/>
      <c r="E57" s="60"/>
      <c r="F57" s="60"/>
      <c r="G57" s="50"/>
      <c r="H57" s="61"/>
      <c r="I57" s="61"/>
      <c r="J57" s="61"/>
      <c r="K57" s="61"/>
      <c r="L57" s="61"/>
      <c r="M57" s="62"/>
      <c r="N57" s="62"/>
      <c r="O57" s="62"/>
      <c r="P57" s="62"/>
      <c r="Q57" s="63"/>
      <c r="R57" s="63"/>
      <c r="S57" s="63"/>
      <c r="T57" s="63"/>
      <c r="U57" s="63"/>
      <c r="V57" s="207"/>
      <c r="AF57" s="207"/>
      <c r="AP57" s="207"/>
      <c r="AZ57" s="207"/>
    </row>
    <row r="58" spans="3:52" s="49" customFormat="1" ht="15.75" x14ac:dyDescent="0.25">
      <c r="C58" s="48"/>
      <c r="D58" s="60"/>
      <c r="E58" s="60"/>
      <c r="F58" s="60"/>
      <c r="G58" s="50"/>
      <c r="H58" s="61"/>
      <c r="I58" s="61"/>
      <c r="J58" s="61"/>
      <c r="K58" s="61"/>
      <c r="L58" s="61"/>
      <c r="M58" s="62"/>
      <c r="N58" s="62"/>
      <c r="O58" s="62"/>
      <c r="P58" s="62"/>
      <c r="Q58" s="63"/>
      <c r="R58" s="63"/>
      <c r="S58" s="63"/>
      <c r="T58" s="63"/>
      <c r="U58" s="63"/>
      <c r="V58" s="207"/>
      <c r="AF58" s="207"/>
      <c r="AP58" s="207"/>
      <c r="AZ58" s="207"/>
    </row>
    <row r="59" spans="3:52" s="49" customFormat="1" ht="15.75" x14ac:dyDescent="0.25">
      <c r="C59" s="48"/>
      <c r="D59" s="60"/>
      <c r="E59" s="60"/>
      <c r="F59" s="60"/>
      <c r="G59" s="50"/>
      <c r="H59" s="61"/>
      <c r="I59" s="61"/>
      <c r="J59" s="61"/>
      <c r="K59" s="61"/>
      <c r="L59" s="61"/>
      <c r="M59" s="62"/>
      <c r="N59" s="62"/>
      <c r="O59" s="62"/>
      <c r="P59" s="62"/>
      <c r="Q59" s="63"/>
      <c r="R59" s="63"/>
      <c r="S59" s="63"/>
      <c r="T59" s="63"/>
      <c r="U59" s="63"/>
      <c r="V59" s="207"/>
      <c r="AF59" s="207"/>
      <c r="AP59" s="207"/>
      <c r="AZ59" s="207"/>
    </row>
    <row r="60" spans="3:52" s="49" customFormat="1" ht="15.75" x14ac:dyDescent="0.25">
      <c r="C60" s="48"/>
      <c r="D60" s="60"/>
      <c r="E60" s="60"/>
      <c r="F60" s="60"/>
      <c r="G60" s="50"/>
      <c r="H60" s="61"/>
      <c r="I60" s="61"/>
      <c r="J60" s="61"/>
      <c r="K60" s="61"/>
      <c r="L60" s="61"/>
      <c r="M60" s="62"/>
      <c r="N60" s="62"/>
      <c r="O60" s="62"/>
      <c r="P60" s="62"/>
      <c r="Q60" s="63"/>
      <c r="R60" s="63"/>
      <c r="S60" s="63"/>
      <c r="T60" s="63"/>
      <c r="U60" s="63"/>
      <c r="V60" s="207"/>
      <c r="AF60" s="207"/>
      <c r="AP60" s="207"/>
      <c r="AZ60" s="207"/>
    </row>
    <row r="61" spans="3:52" s="49" customFormat="1" ht="15.75" x14ac:dyDescent="0.25">
      <c r="C61" s="48"/>
      <c r="D61" s="60"/>
      <c r="E61" s="60"/>
      <c r="F61" s="60"/>
      <c r="G61" s="50"/>
      <c r="H61" s="61"/>
      <c r="I61" s="61"/>
      <c r="J61" s="61"/>
      <c r="K61" s="61"/>
      <c r="L61" s="61"/>
      <c r="M61" s="62"/>
      <c r="N61" s="62"/>
      <c r="O61" s="62"/>
      <c r="P61" s="62"/>
      <c r="Q61" s="63"/>
      <c r="R61" s="63"/>
      <c r="S61" s="63"/>
      <c r="T61" s="63"/>
      <c r="U61" s="63"/>
      <c r="V61" s="207"/>
      <c r="AF61" s="207"/>
      <c r="AP61" s="207"/>
      <c r="AZ61" s="207"/>
    </row>
    <row r="62" spans="3:52" s="49" customFormat="1" ht="15.75" x14ac:dyDescent="0.25">
      <c r="C62" s="48"/>
      <c r="D62" s="60"/>
      <c r="E62" s="60"/>
      <c r="F62" s="60"/>
      <c r="G62" s="50"/>
      <c r="H62" s="61"/>
      <c r="I62" s="61"/>
      <c r="J62" s="61"/>
      <c r="K62" s="61"/>
      <c r="L62" s="61"/>
      <c r="M62" s="62"/>
      <c r="N62" s="62"/>
      <c r="O62" s="62"/>
      <c r="P62" s="62"/>
      <c r="Q62" s="63"/>
      <c r="R62" s="63"/>
      <c r="S62" s="63"/>
      <c r="T62" s="63"/>
      <c r="U62" s="63"/>
      <c r="V62" s="207"/>
      <c r="AF62" s="207"/>
      <c r="AP62" s="207"/>
      <c r="AZ62" s="207"/>
    </row>
    <row r="63" spans="3:52" s="49" customFormat="1" ht="15.75" x14ac:dyDescent="0.25">
      <c r="C63" s="48"/>
      <c r="D63" s="60"/>
      <c r="E63" s="60"/>
      <c r="F63" s="60"/>
      <c r="G63" s="50"/>
      <c r="H63" s="61"/>
      <c r="I63" s="61"/>
      <c r="J63" s="61"/>
      <c r="K63" s="61"/>
      <c r="L63" s="61"/>
      <c r="M63" s="62"/>
      <c r="N63" s="62"/>
      <c r="O63" s="62"/>
      <c r="P63" s="62"/>
      <c r="Q63" s="63"/>
      <c r="R63" s="63"/>
      <c r="S63" s="63"/>
      <c r="T63" s="63"/>
      <c r="U63" s="63"/>
      <c r="V63" s="207"/>
      <c r="AF63" s="207"/>
      <c r="AP63" s="207"/>
      <c r="AZ63" s="207"/>
    </row>
    <row r="64" spans="3:52" s="49" customFormat="1" ht="15.75" x14ac:dyDescent="0.25">
      <c r="C64" s="48"/>
      <c r="D64" s="60"/>
      <c r="E64" s="60"/>
      <c r="F64" s="60"/>
      <c r="G64" s="50"/>
      <c r="H64" s="61"/>
      <c r="I64" s="61"/>
      <c r="J64" s="61"/>
      <c r="K64" s="61"/>
      <c r="L64" s="61"/>
      <c r="M64" s="62"/>
      <c r="N64" s="62"/>
      <c r="O64" s="62"/>
      <c r="P64" s="62"/>
      <c r="Q64" s="63"/>
      <c r="R64" s="63"/>
      <c r="S64" s="63"/>
      <c r="T64" s="63"/>
      <c r="U64" s="63"/>
      <c r="V64" s="207"/>
      <c r="AF64" s="207"/>
      <c r="AP64" s="207"/>
      <c r="AZ64" s="207"/>
    </row>
    <row r="65" spans="3:52" s="49" customFormat="1" ht="15.75" x14ac:dyDescent="0.25">
      <c r="C65" s="48"/>
      <c r="D65" s="60"/>
      <c r="E65" s="60"/>
      <c r="F65" s="60"/>
      <c r="G65" s="50"/>
      <c r="H65" s="61"/>
      <c r="I65" s="61"/>
      <c r="J65" s="61"/>
      <c r="K65" s="61"/>
      <c r="L65" s="61"/>
      <c r="M65" s="62"/>
      <c r="N65" s="62"/>
      <c r="O65" s="62"/>
      <c r="P65" s="62"/>
      <c r="Q65" s="63"/>
      <c r="R65" s="63"/>
      <c r="S65" s="63"/>
      <c r="T65" s="63"/>
      <c r="U65" s="63"/>
      <c r="V65" s="207"/>
      <c r="AF65" s="207"/>
      <c r="AP65" s="207"/>
      <c r="AZ65" s="207"/>
    </row>
    <row r="66" spans="3:52" s="49" customFormat="1" ht="15.75" x14ac:dyDescent="0.25">
      <c r="C66" s="48"/>
      <c r="D66" s="60"/>
      <c r="E66" s="60"/>
      <c r="F66" s="60"/>
      <c r="G66" s="50"/>
      <c r="H66" s="61"/>
      <c r="I66" s="61"/>
      <c r="J66" s="61"/>
      <c r="K66" s="61"/>
      <c r="L66" s="61"/>
      <c r="M66" s="62"/>
      <c r="N66" s="62"/>
      <c r="O66" s="62"/>
      <c r="P66" s="62"/>
      <c r="Q66" s="63"/>
      <c r="R66" s="63"/>
      <c r="S66" s="63"/>
      <c r="T66" s="63"/>
      <c r="U66" s="63"/>
      <c r="V66" s="207"/>
      <c r="AF66" s="207"/>
      <c r="AP66" s="207"/>
      <c r="AZ66" s="207"/>
    </row>
    <row r="67" spans="3:52" s="49" customFormat="1" ht="15.75" x14ac:dyDescent="0.25">
      <c r="C67" s="48"/>
      <c r="D67" s="60"/>
      <c r="E67" s="60"/>
      <c r="F67" s="60"/>
      <c r="G67" s="50"/>
      <c r="H67" s="61"/>
      <c r="I67" s="61"/>
      <c r="J67" s="61"/>
      <c r="K67" s="61"/>
      <c r="L67" s="61"/>
      <c r="M67" s="62"/>
      <c r="N67" s="62"/>
      <c r="O67" s="62"/>
      <c r="P67" s="62"/>
      <c r="Q67" s="63"/>
      <c r="R67" s="63"/>
      <c r="S67" s="63"/>
      <c r="T67" s="63"/>
      <c r="U67" s="63"/>
      <c r="V67" s="207"/>
      <c r="AF67" s="207"/>
      <c r="AP67" s="207"/>
      <c r="AZ67" s="207"/>
    </row>
    <row r="68" spans="3:52" s="49" customFormat="1" ht="15.75" x14ac:dyDescent="0.25">
      <c r="C68" s="48"/>
      <c r="D68" s="60"/>
      <c r="E68" s="60"/>
      <c r="F68" s="60"/>
      <c r="G68" s="50"/>
      <c r="H68" s="61"/>
      <c r="I68" s="61"/>
      <c r="J68" s="61"/>
      <c r="K68" s="61"/>
      <c r="L68" s="61"/>
      <c r="M68" s="62"/>
      <c r="N68" s="62"/>
      <c r="O68" s="62"/>
      <c r="P68" s="62"/>
      <c r="Q68" s="63"/>
      <c r="R68" s="63"/>
      <c r="S68" s="63"/>
      <c r="T68" s="63"/>
      <c r="U68" s="63"/>
      <c r="V68" s="207"/>
      <c r="AF68" s="207"/>
      <c r="AP68" s="207"/>
      <c r="AZ68" s="207"/>
    </row>
    <row r="69" spans="3:52" s="49" customFormat="1" ht="15.75" x14ac:dyDescent="0.25">
      <c r="C69" s="48"/>
      <c r="D69" s="60"/>
      <c r="E69" s="60"/>
      <c r="F69" s="60"/>
      <c r="G69" s="50"/>
      <c r="H69" s="61"/>
      <c r="I69" s="61"/>
      <c r="J69" s="61"/>
      <c r="K69" s="61"/>
      <c r="L69" s="61"/>
      <c r="M69" s="62"/>
      <c r="N69" s="62"/>
      <c r="O69" s="62"/>
      <c r="P69" s="62"/>
      <c r="Q69" s="63"/>
      <c r="R69" s="63"/>
      <c r="S69" s="63"/>
      <c r="T69" s="63"/>
      <c r="U69" s="63"/>
      <c r="V69" s="207"/>
      <c r="AF69" s="207"/>
      <c r="AP69" s="207"/>
      <c r="AZ69" s="207"/>
    </row>
    <row r="70" spans="3:52" s="49" customFormat="1" ht="15.75" x14ac:dyDescent="0.25">
      <c r="C70" s="48"/>
      <c r="D70" s="60"/>
      <c r="E70" s="60"/>
      <c r="F70" s="60"/>
      <c r="G70" s="50"/>
      <c r="H70" s="61"/>
      <c r="I70" s="61"/>
      <c r="J70" s="61"/>
      <c r="K70" s="61"/>
      <c r="L70" s="61"/>
      <c r="M70" s="62"/>
      <c r="N70" s="62"/>
      <c r="O70" s="62"/>
      <c r="P70" s="62"/>
      <c r="Q70" s="63"/>
      <c r="R70" s="63"/>
      <c r="S70" s="63"/>
      <c r="T70" s="63"/>
      <c r="U70" s="63"/>
      <c r="V70" s="207"/>
      <c r="AF70" s="207"/>
      <c r="AP70" s="207"/>
      <c r="AZ70" s="207"/>
    </row>
    <row r="71" spans="3:52" s="49" customFormat="1" ht="15.75" x14ac:dyDescent="0.25">
      <c r="C71" s="48"/>
      <c r="D71" s="60"/>
      <c r="E71" s="60"/>
      <c r="F71" s="60"/>
      <c r="G71" s="50"/>
      <c r="H71" s="61"/>
      <c r="I71" s="61"/>
      <c r="J71" s="61"/>
      <c r="K71" s="61"/>
      <c r="L71" s="61"/>
      <c r="M71" s="62"/>
      <c r="N71" s="62"/>
      <c r="O71" s="62"/>
      <c r="P71" s="62"/>
      <c r="Q71" s="63"/>
      <c r="R71" s="63"/>
      <c r="S71" s="63"/>
      <c r="T71" s="63"/>
      <c r="U71" s="63"/>
      <c r="V71" s="207"/>
      <c r="AF71" s="207"/>
      <c r="AP71" s="207"/>
      <c r="AZ71" s="207"/>
    </row>
    <row r="72" spans="3:52" s="49" customFormat="1" ht="15.75" x14ac:dyDescent="0.25">
      <c r="C72" s="48"/>
      <c r="D72" s="60"/>
      <c r="E72" s="60"/>
      <c r="F72" s="60"/>
      <c r="G72" s="50"/>
      <c r="H72" s="61"/>
      <c r="I72" s="61"/>
      <c r="J72" s="61"/>
      <c r="K72" s="61"/>
      <c r="L72" s="61"/>
      <c r="M72" s="62"/>
      <c r="N72" s="62"/>
      <c r="O72" s="62"/>
      <c r="P72" s="62"/>
      <c r="Q72" s="63"/>
      <c r="R72" s="63"/>
      <c r="S72" s="63"/>
      <c r="T72" s="63"/>
      <c r="U72" s="63"/>
      <c r="V72" s="207"/>
      <c r="AF72" s="207"/>
      <c r="AP72" s="207"/>
      <c r="AZ72" s="207"/>
    </row>
    <row r="73" spans="3:52" s="49" customFormat="1" ht="15.75" x14ac:dyDescent="0.25">
      <c r="C73" s="48"/>
      <c r="D73" s="60"/>
      <c r="E73" s="60"/>
      <c r="F73" s="60"/>
      <c r="G73" s="50"/>
      <c r="H73" s="61"/>
      <c r="I73" s="61"/>
      <c r="J73" s="61"/>
      <c r="K73" s="61"/>
      <c r="L73" s="61"/>
      <c r="M73" s="62"/>
      <c r="N73" s="62"/>
      <c r="O73" s="62"/>
      <c r="P73" s="62"/>
      <c r="Q73" s="63"/>
      <c r="R73" s="63"/>
      <c r="S73" s="63"/>
      <c r="T73" s="63"/>
      <c r="U73" s="63"/>
      <c r="V73" s="207"/>
      <c r="AF73" s="207"/>
      <c r="AP73" s="207"/>
      <c r="AZ73" s="207"/>
    </row>
    <row r="74" spans="3:52" s="49" customFormat="1" ht="15.75" x14ac:dyDescent="0.25">
      <c r="C74" s="48"/>
      <c r="D74" s="60"/>
      <c r="E74" s="60"/>
      <c r="F74" s="60"/>
      <c r="G74" s="50"/>
      <c r="H74" s="61"/>
      <c r="I74" s="61"/>
      <c r="J74" s="61"/>
      <c r="K74" s="61"/>
      <c r="L74" s="61"/>
      <c r="M74" s="62"/>
      <c r="N74" s="62"/>
      <c r="O74" s="62"/>
      <c r="P74" s="62"/>
      <c r="Q74" s="63"/>
      <c r="R74" s="63"/>
      <c r="S74" s="63"/>
      <c r="T74" s="63"/>
      <c r="U74" s="63"/>
      <c r="V74" s="207"/>
      <c r="AF74" s="207"/>
      <c r="AP74" s="207"/>
      <c r="AZ74" s="207"/>
    </row>
    <row r="75" spans="3:52" s="49" customFormat="1" ht="15.75" x14ac:dyDescent="0.25">
      <c r="C75" s="48"/>
      <c r="D75" s="60"/>
      <c r="E75" s="60"/>
      <c r="F75" s="60"/>
      <c r="G75" s="50"/>
      <c r="H75" s="61"/>
      <c r="I75" s="61"/>
      <c r="J75" s="61"/>
      <c r="K75" s="61"/>
      <c r="L75" s="61"/>
      <c r="M75" s="62"/>
      <c r="N75" s="62"/>
      <c r="O75" s="62"/>
      <c r="P75" s="62"/>
      <c r="Q75" s="63"/>
      <c r="R75" s="63"/>
      <c r="S75" s="63"/>
      <c r="T75" s="63"/>
      <c r="U75" s="63"/>
      <c r="V75" s="207"/>
      <c r="AF75" s="207"/>
      <c r="AP75" s="207"/>
      <c r="AZ75" s="207"/>
    </row>
    <row r="76" spans="3:52" s="49" customFormat="1" ht="15.75" x14ac:dyDescent="0.25">
      <c r="C76" s="48"/>
      <c r="D76" s="60"/>
      <c r="E76" s="60"/>
      <c r="F76" s="60"/>
      <c r="G76" s="50"/>
      <c r="H76" s="61"/>
      <c r="I76" s="61"/>
      <c r="J76" s="61"/>
      <c r="K76" s="61"/>
      <c r="L76" s="61"/>
      <c r="M76" s="62"/>
      <c r="N76" s="62"/>
      <c r="O76" s="62"/>
      <c r="P76" s="62"/>
      <c r="Q76" s="63"/>
      <c r="R76" s="63"/>
      <c r="S76" s="63"/>
      <c r="T76" s="63"/>
      <c r="U76" s="63"/>
      <c r="V76" s="207"/>
      <c r="AF76" s="207"/>
      <c r="AP76" s="207"/>
      <c r="AZ76" s="207"/>
    </row>
    <row r="77" spans="3:52" s="49" customFormat="1" ht="15.75" x14ac:dyDescent="0.25">
      <c r="C77" s="48"/>
      <c r="D77" s="60"/>
      <c r="E77" s="60"/>
      <c r="F77" s="60"/>
      <c r="G77" s="50"/>
      <c r="H77" s="61"/>
      <c r="I77" s="61"/>
      <c r="J77" s="61"/>
      <c r="K77" s="61"/>
      <c r="L77" s="61"/>
      <c r="M77" s="62"/>
      <c r="N77" s="62"/>
      <c r="O77" s="62"/>
      <c r="P77" s="62"/>
      <c r="Q77" s="63"/>
      <c r="R77" s="63"/>
      <c r="S77" s="63"/>
      <c r="T77" s="63"/>
      <c r="U77" s="63"/>
      <c r="V77" s="207"/>
      <c r="AF77" s="207"/>
      <c r="AP77" s="207"/>
      <c r="AZ77" s="207"/>
    </row>
    <row r="78" spans="3:52" s="49" customFormat="1" ht="15.75" x14ac:dyDescent="0.25">
      <c r="C78" s="48"/>
      <c r="D78" s="60"/>
      <c r="E78" s="60"/>
      <c r="F78" s="60"/>
      <c r="G78" s="50"/>
      <c r="H78" s="61"/>
      <c r="I78" s="61"/>
      <c r="J78" s="61"/>
      <c r="K78" s="61"/>
      <c r="L78" s="61"/>
      <c r="M78" s="62"/>
      <c r="N78" s="62"/>
      <c r="O78" s="62"/>
      <c r="P78" s="62"/>
      <c r="Q78" s="63"/>
      <c r="R78" s="63"/>
      <c r="S78" s="63"/>
      <c r="T78" s="63"/>
      <c r="U78" s="63"/>
      <c r="V78" s="207"/>
      <c r="AF78" s="207"/>
      <c r="AP78" s="207"/>
      <c r="AZ78" s="207"/>
    </row>
    <row r="79" spans="3:52" s="49" customFormat="1" ht="15.75" x14ac:dyDescent="0.25">
      <c r="C79" s="48"/>
      <c r="D79" s="60"/>
      <c r="E79" s="60"/>
      <c r="F79" s="60"/>
      <c r="G79" s="50"/>
      <c r="H79" s="61"/>
      <c r="I79" s="61"/>
      <c r="J79" s="61"/>
      <c r="K79" s="61"/>
      <c r="L79" s="61"/>
      <c r="M79" s="62"/>
      <c r="N79" s="62"/>
      <c r="O79" s="62"/>
      <c r="P79" s="62"/>
      <c r="Q79" s="63"/>
      <c r="R79" s="63"/>
      <c r="S79" s="63"/>
      <c r="T79" s="63"/>
      <c r="U79" s="63"/>
      <c r="V79" s="207"/>
      <c r="AF79" s="207"/>
      <c r="AP79" s="207"/>
      <c r="AZ79" s="207"/>
    </row>
    <row r="80" spans="3:52" s="49" customFormat="1" ht="15.75" x14ac:dyDescent="0.25">
      <c r="C80" s="48"/>
      <c r="D80" s="60"/>
      <c r="E80" s="60"/>
      <c r="F80" s="60"/>
      <c r="G80" s="50"/>
      <c r="H80" s="61"/>
      <c r="I80" s="61"/>
      <c r="J80" s="61"/>
      <c r="K80" s="61"/>
      <c r="L80" s="61"/>
      <c r="M80" s="62"/>
      <c r="N80" s="62"/>
      <c r="O80" s="62"/>
      <c r="P80" s="62"/>
      <c r="Q80" s="63"/>
      <c r="R80" s="63"/>
      <c r="S80" s="63"/>
      <c r="T80" s="63"/>
      <c r="U80" s="63"/>
      <c r="V80" s="207"/>
      <c r="AF80" s="207"/>
      <c r="AP80" s="207"/>
      <c r="AZ80" s="207"/>
    </row>
    <row r="81" spans="3:52" s="49" customFormat="1" ht="15.75" x14ac:dyDescent="0.25">
      <c r="C81" s="48"/>
      <c r="D81" s="60"/>
      <c r="E81" s="60"/>
      <c r="F81" s="60"/>
      <c r="G81" s="50"/>
      <c r="H81" s="61"/>
      <c r="I81" s="61"/>
      <c r="J81" s="61"/>
      <c r="K81" s="61"/>
      <c r="L81" s="61"/>
      <c r="M81" s="62"/>
      <c r="N81" s="62"/>
      <c r="O81" s="62"/>
      <c r="P81" s="62"/>
      <c r="Q81" s="63"/>
      <c r="R81" s="63"/>
      <c r="S81" s="63"/>
      <c r="T81" s="63"/>
      <c r="U81" s="63"/>
      <c r="V81" s="207"/>
      <c r="AF81" s="207"/>
      <c r="AP81" s="207"/>
      <c r="AZ81" s="207"/>
    </row>
    <row r="82" spans="3:52" s="49" customFormat="1" ht="15.75" x14ac:dyDescent="0.25">
      <c r="C82" s="48"/>
      <c r="D82" s="60"/>
      <c r="E82" s="60"/>
      <c r="F82" s="60"/>
      <c r="G82" s="50"/>
      <c r="H82" s="61"/>
      <c r="I82" s="61"/>
      <c r="J82" s="61"/>
      <c r="K82" s="61"/>
      <c r="L82" s="61"/>
      <c r="M82" s="62"/>
      <c r="N82" s="62"/>
      <c r="O82" s="62"/>
      <c r="P82" s="62"/>
      <c r="Q82" s="63"/>
      <c r="R82" s="63"/>
      <c r="S82" s="63"/>
      <c r="T82" s="63"/>
      <c r="U82" s="63"/>
      <c r="V82" s="207"/>
      <c r="AF82" s="207"/>
      <c r="AP82" s="207"/>
      <c r="AZ82" s="207"/>
    </row>
    <row r="83" spans="3:52" s="49" customFormat="1" ht="15.75" x14ac:dyDescent="0.25">
      <c r="C83" s="48"/>
      <c r="D83" s="60"/>
      <c r="E83" s="60"/>
      <c r="F83" s="60"/>
      <c r="G83" s="50"/>
      <c r="H83" s="61"/>
      <c r="I83" s="61"/>
      <c r="J83" s="61"/>
      <c r="K83" s="61"/>
      <c r="L83" s="61"/>
      <c r="M83" s="62"/>
      <c r="N83" s="62"/>
      <c r="O83" s="62"/>
      <c r="P83" s="62"/>
      <c r="Q83" s="63"/>
      <c r="R83" s="63"/>
      <c r="S83" s="63"/>
      <c r="T83" s="63"/>
      <c r="U83" s="63"/>
      <c r="V83" s="207"/>
      <c r="AF83" s="207"/>
      <c r="AP83" s="207"/>
      <c r="AZ83" s="207"/>
    </row>
    <row r="84" spans="3:52" s="49" customFormat="1" ht="15.75" x14ac:dyDescent="0.25">
      <c r="C84" s="48"/>
      <c r="D84" s="60"/>
      <c r="E84" s="60"/>
      <c r="F84" s="60"/>
      <c r="G84" s="50"/>
      <c r="H84" s="61"/>
      <c r="I84" s="61"/>
      <c r="J84" s="61"/>
      <c r="K84" s="61"/>
      <c r="L84" s="61"/>
      <c r="M84" s="62"/>
      <c r="N84" s="62"/>
      <c r="O84" s="62"/>
      <c r="P84" s="62"/>
      <c r="Q84" s="63"/>
      <c r="R84" s="63"/>
      <c r="S84" s="63"/>
      <c r="T84" s="63"/>
      <c r="U84" s="63"/>
      <c r="V84" s="207"/>
      <c r="AF84" s="207"/>
      <c r="AP84" s="207"/>
      <c r="AZ84" s="207"/>
    </row>
    <row r="85" spans="3:52" s="49" customFormat="1" ht="15.75" x14ac:dyDescent="0.25">
      <c r="C85" s="48"/>
      <c r="D85" s="60"/>
      <c r="E85" s="60"/>
      <c r="F85" s="60"/>
      <c r="G85" s="50"/>
      <c r="H85" s="61"/>
      <c r="I85" s="61"/>
      <c r="J85" s="61"/>
      <c r="K85" s="61"/>
      <c r="L85" s="61"/>
      <c r="M85" s="62"/>
      <c r="N85" s="62"/>
      <c r="O85" s="62"/>
      <c r="P85" s="62"/>
      <c r="Q85" s="63"/>
      <c r="R85" s="63"/>
      <c r="S85" s="63"/>
      <c r="T85" s="63"/>
      <c r="U85" s="63"/>
      <c r="V85" s="207"/>
      <c r="AF85" s="207"/>
      <c r="AP85" s="207"/>
      <c r="AZ85" s="207"/>
    </row>
    <row r="86" spans="3:52" s="49" customFormat="1" ht="15.75" x14ac:dyDescent="0.25">
      <c r="C86" s="48"/>
      <c r="D86" s="60"/>
      <c r="E86" s="60"/>
      <c r="F86" s="60"/>
      <c r="G86" s="50"/>
      <c r="H86" s="61"/>
      <c r="I86" s="61"/>
      <c r="J86" s="61"/>
      <c r="K86" s="61"/>
      <c r="L86" s="61"/>
      <c r="M86" s="62"/>
      <c r="N86" s="62"/>
      <c r="O86" s="62"/>
      <c r="P86" s="62"/>
      <c r="Q86" s="63"/>
      <c r="R86" s="63"/>
      <c r="S86" s="63"/>
      <c r="T86" s="63"/>
      <c r="U86" s="63"/>
      <c r="V86" s="207"/>
      <c r="AF86" s="207"/>
      <c r="AP86" s="207"/>
      <c r="AZ86" s="207"/>
    </row>
    <row r="87" spans="3:52" s="49" customFormat="1" ht="15.75" x14ac:dyDescent="0.25">
      <c r="C87" s="48"/>
      <c r="D87" s="60"/>
      <c r="E87" s="60"/>
      <c r="F87" s="60"/>
      <c r="G87" s="50"/>
      <c r="H87" s="61"/>
      <c r="I87" s="61"/>
      <c r="J87" s="61"/>
      <c r="K87" s="61"/>
      <c r="L87" s="61"/>
      <c r="M87" s="62"/>
      <c r="N87" s="62"/>
      <c r="O87" s="62"/>
      <c r="P87" s="62"/>
      <c r="Q87" s="63"/>
      <c r="R87" s="63"/>
      <c r="S87" s="63"/>
      <c r="T87" s="63"/>
      <c r="U87" s="63"/>
      <c r="V87" s="207"/>
      <c r="AF87" s="207"/>
      <c r="AP87" s="207"/>
      <c r="AZ87" s="207"/>
    </row>
    <row r="88" spans="3:52" s="49" customFormat="1" ht="15.75" x14ac:dyDescent="0.25">
      <c r="C88" s="48"/>
      <c r="D88" s="60"/>
      <c r="E88" s="60"/>
      <c r="F88" s="60"/>
      <c r="G88" s="50"/>
      <c r="H88" s="61"/>
      <c r="I88" s="61"/>
      <c r="J88" s="61"/>
      <c r="K88" s="61"/>
      <c r="L88" s="61"/>
      <c r="M88" s="62"/>
      <c r="N88" s="62"/>
      <c r="O88" s="62"/>
      <c r="P88" s="62"/>
      <c r="Q88" s="63"/>
      <c r="R88" s="63"/>
      <c r="S88" s="63"/>
      <c r="T88" s="63"/>
      <c r="U88" s="63"/>
      <c r="V88" s="207"/>
      <c r="AF88" s="207"/>
      <c r="AP88" s="207"/>
      <c r="AZ88" s="207"/>
    </row>
    <row r="89" spans="3:52" s="49" customFormat="1" ht="15.75" x14ac:dyDescent="0.25">
      <c r="C89" s="48"/>
      <c r="D89" s="60"/>
      <c r="E89" s="60"/>
      <c r="F89" s="60"/>
      <c r="G89" s="50"/>
      <c r="H89" s="61"/>
      <c r="I89" s="61"/>
      <c r="J89" s="61"/>
      <c r="K89" s="61"/>
      <c r="L89" s="61"/>
      <c r="M89" s="62"/>
      <c r="N89" s="62"/>
      <c r="O89" s="62"/>
      <c r="P89" s="62"/>
      <c r="Q89" s="63"/>
      <c r="R89" s="63"/>
      <c r="S89" s="63"/>
      <c r="T89" s="63"/>
      <c r="U89" s="63"/>
      <c r="V89" s="207"/>
      <c r="AF89" s="207"/>
      <c r="AP89" s="207"/>
      <c r="AZ89" s="207"/>
    </row>
    <row r="90" spans="3:52" s="49" customFormat="1" ht="15.75" x14ac:dyDescent="0.25">
      <c r="C90" s="48"/>
      <c r="D90" s="60"/>
      <c r="E90" s="60"/>
      <c r="F90" s="60"/>
      <c r="G90" s="50"/>
      <c r="H90" s="61"/>
      <c r="I90" s="61"/>
      <c r="J90" s="61"/>
      <c r="K90" s="61"/>
      <c r="L90" s="61"/>
      <c r="M90" s="62"/>
      <c r="N90" s="62"/>
      <c r="O90" s="62"/>
      <c r="P90" s="62"/>
      <c r="Q90" s="63"/>
      <c r="R90" s="63"/>
      <c r="S90" s="63"/>
      <c r="T90" s="63"/>
      <c r="U90" s="63"/>
      <c r="V90" s="207"/>
      <c r="AF90" s="207"/>
      <c r="AP90" s="207"/>
      <c r="AZ90" s="207"/>
    </row>
    <row r="91" spans="3:52" s="49" customFormat="1" ht="15.75" x14ac:dyDescent="0.25">
      <c r="C91" s="48"/>
      <c r="D91" s="60"/>
      <c r="E91" s="60"/>
      <c r="F91" s="60"/>
      <c r="G91" s="50"/>
      <c r="H91" s="61"/>
      <c r="I91" s="61"/>
      <c r="J91" s="61"/>
      <c r="K91" s="61"/>
      <c r="L91" s="61"/>
      <c r="M91" s="62"/>
      <c r="N91" s="62"/>
      <c r="O91" s="62"/>
      <c r="P91" s="62"/>
      <c r="Q91" s="63"/>
      <c r="R91" s="63"/>
      <c r="S91" s="63"/>
      <c r="T91" s="63"/>
      <c r="U91" s="63"/>
      <c r="V91" s="207"/>
      <c r="AF91" s="207"/>
      <c r="AP91" s="207"/>
      <c r="AZ91" s="207"/>
    </row>
    <row r="92" spans="3:52" s="49" customFormat="1" ht="15.75" x14ac:dyDescent="0.25">
      <c r="C92" s="48"/>
      <c r="D92" s="60"/>
      <c r="E92" s="60"/>
      <c r="F92" s="60"/>
      <c r="G92" s="50"/>
      <c r="H92" s="61"/>
      <c r="I92" s="61"/>
      <c r="J92" s="61"/>
      <c r="K92" s="61"/>
      <c r="L92" s="61"/>
      <c r="M92" s="62"/>
      <c r="N92" s="62"/>
      <c r="O92" s="62"/>
      <c r="P92" s="62"/>
      <c r="Q92" s="63"/>
      <c r="R92" s="63"/>
      <c r="S92" s="63"/>
      <c r="T92" s="63"/>
      <c r="U92" s="63"/>
      <c r="V92" s="207"/>
      <c r="AF92" s="207"/>
      <c r="AP92" s="207"/>
      <c r="AZ92" s="207"/>
    </row>
    <row r="93" spans="3:52" s="49" customFormat="1" ht="15.75" x14ac:dyDescent="0.25">
      <c r="C93" s="48"/>
      <c r="D93" s="60"/>
      <c r="E93" s="60"/>
      <c r="F93" s="60"/>
      <c r="G93" s="50"/>
      <c r="H93" s="61"/>
      <c r="I93" s="61"/>
      <c r="J93" s="61"/>
      <c r="K93" s="61"/>
      <c r="L93" s="61"/>
      <c r="M93" s="62"/>
      <c r="N93" s="62"/>
      <c r="O93" s="62"/>
      <c r="P93" s="62"/>
      <c r="Q93" s="63"/>
      <c r="R93" s="63"/>
      <c r="S93" s="63"/>
      <c r="T93" s="63"/>
      <c r="U93" s="63"/>
      <c r="V93" s="207"/>
      <c r="AF93" s="207"/>
      <c r="AP93" s="207"/>
      <c r="AZ93" s="207"/>
    </row>
    <row r="94" spans="3:52" s="49" customFormat="1" ht="15.75" x14ac:dyDescent="0.25">
      <c r="C94" s="48"/>
      <c r="D94" s="60"/>
      <c r="E94" s="60"/>
      <c r="F94" s="60"/>
      <c r="G94" s="50"/>
      <c r="H94" s="61"/>
      <c r="I94" s="61"/>
      <c r="J94" s="61"/>
      <c r="K94" s="61"/>
      <c r="L94" s="61"/>
      <c r="M94" s="62"/>
      <c r="N94" s="62"/>
      <c r="O94" s="62"/>
      <c r="P94" s="62"/>
      <c r="Q94" s="63"/>
      <c r="R94" s="63"/>
      <c r="S94" s="63"/>
      <c r="T94" s="63"/>
      <c r="U94" s="63"/>
      <c r="V94" s="207"/>
      <c r="AF94" s="207"/>
      <c r="AP94" s="207"/>
      <c r="AZ94" s="207"/>
    </row>
    <row r="95" spans="3:52" s="49" customFormat="1" ht="15.75" x14ac:dyDescent="0.25">
      <c r="C95" s="48"/>
      <c r="D95" s="60"/>
      <c r="E95" s="60"/>
      <c r="F95" s="60"/>
      <c r="G95" s="50"/>
      <c r="H95" s="61"/>
      <c r="I95" s="61"/>
      <c r="J95" s="61"/>
      <c r="K95" s="61"/>
      <c r="L95" s="61"/>
      <c r="M95" s="62"/>
      <c r="N95" s="62"/>
      <c r="O95" s="62"/>
      <c r="P95" s="62"/>
      <c r="Q95" s="63"/>
      <c r="R95" s="63"/>
      <c r="S95" s="63"/>
      <c r="T95" s="63"/>
      <c r="U95" s="63"/>
      <c r="V95" s="207"/>
      <c r="AF95" s="207"/>
      <c r="AP95" s="207"/>
      <c r="AZ95" s="207"/>
    </row>
    <row r="96" spans="3:52" s="49" customFormat="1" ht="15.75" x14ac:dyDescent="0.25">
      <c r="C96" s="48"/>
      <c r="D96" s="60"/>
      <c r="E96" s="60"/>
      <c r="F96" s="60"/>
      <c r="G96" s="50"/>
      <c r="H96" s="61"/>
      <c r="I96" s="61"/>
      <c r="J96" s="61"/>
      <c r="K96" s="61"/>
      <c r="L96" s="61"/>
      <c r="M96" s="62"/>
      <c r="N96" s="62"/>
      <c r="O96" s="62"/>
      <c r="P96" s="62"/>
      <c r="Q96" s="63"/>
      <c r="R96" s="63"/>
      <c r="S96" s="63"/>
      <c r="T96" s="63"/>
      <c r="U96" s="63"/>
      <c r="V96" s="207"/>
      <c r="AF96" s="207"/>
      <c r="AP96" s="207"/>
      <c r="AZ96" s="207"/>
    </row>
    <row r="97" spans="3:52" s="49" customFormat="1" ht="15.75" x14ac:dyDescent="0.25">
      <c r="C97" s="48"/>
      <c r="D97" s="60"/>
      <c r="E97" s="60"/>
      <c r="F97" s="60"/>
      <c r="G97" s="50"/>
      <c r="H97" s="61"/>
      <c r="I97" s="61"/>
      <c r="J97" s="61"/>
      <c r="K97" s="61"/>
      <c r="L97" s="61"/>
      <c r="M97" s="62"/>
      <c r="N97" s="62"/>
      <c r="O97" s="62"/>
      <c r="P97" s="62"/>
      <c r="Q97" s="63"/>
      <c r="R97" s="63"/>
      <c r="S97" s="63"/>
      <c r="T97" s="63"/>
      <c r="U97" s="63"/>
      <c r="V97" s="207"/>
      <c r="AF97" s="207"/>
      <c r="AP97" s="207"/>
      <c r="AZ97" s="207"/>
    </row>
    <row r="98" spans="3:52" s="49" customFormat="1" ht="15.75" x14ac:dyDescent="0.25">
      <c r="C98" s="48"/>
      <c r="D98" s="60"/>
      <c r="E98" s="60"/>
      <c r="F98" s="60"/>
      <c r="G98" s="50"/>
      <c r="H98" s="61"/>
      <c r="I98" s="61"/>
      <c r="J98" s="61"/>
      <c r="K98" s="61"/>
      <c r="L98" s="61"/>
      <c r="M98" s="62"/>
      <c r="N98" s="62"/>
      <c r="O98" s="62"/>
      <c r="P98" s="62"/>
      <c r="Q98" s="63"/>
      <c r="R98" s="63"/>
      <c r="S98" s="63"/>
      <c r="T98" s="63"/>
      <c r="U98" s="63"/>
      <c r="V98" s="207"/>
      <c r="AF98" s="207"/>
      <c r="AP98" s="207"/>
      <c r="AZ98" s="207"/>
    </row>
    <row r="99" spans="3:52" s="49" customFormat="1" ht="15.75" x14ac:dyDescent="0.25">
      <c r="C99" s="48"/>
      <c r="D99" s="60"/>
      <c r="E99" s="60"/>
      <c r="F99" s="60"/>
      <c r="G99" s="50"/>
      <c r="H99" s="61"/>
      <c r="I99" s="61"/>
      <c r="J99" s="61"/>
      <c r="K99" s="61"/>
      <c r="L99" s="61"/>
      <c r="M99" s="62"/>
      <c r="N99" s="62"/>
      <c r="O99" s="62"/>
      <c r="P99" s="62"/>
      <c r="Q99" s="63"/>
      <c r="R99" s="63"/>
      <c r="S99" s="63"/>
      <c r="T99" s="63"/>
      <c r="U99" s="63"/>
      <c r="V99" s="207"/>
      <c r="AF99" s="207"/>
      <c r="AP99" s="207"/>
      <c r="AZ99" s="207"/>
    </row>
    <row r="100" spans="3:52" s="49" customFormat="1" ht="15.75" x14ac:dyDescent="0.25">
      <c r="C100" s="48"/>
      <c r="D100" s="60"/>
      <c r="E100" s="60"/>
      <c r="F100" s="60"/>
      <c r="G100" s="50"/>
      <c r="H100" s="61"/>
      <c r="I100" s="61"/>
      <c r="J100" s="61"/>
      <c r="K100" s="61"/>
      <c r="L100" s="61"/>
      <c r="M100" s="62"/>
      <c r="N100" s="62"/>
      <c r="O100" s="62"/>
      <c r="P100" s="62"/>
      <c r="Q100" s="63"/>
      <c r="R100" s="63"/>
      <c r="S100" s="63"/>
      <c r="T100" s="63"/>
      <c r="U100" s="63"/>
      <c r="V100" s="207"/>
      <c r="AF100" s="207"/>
      <c r="AP100" s="207"/>
      <c r="AZ100" s="207"/>
    </row>
    <row r="101" spans="3:52" s="49" customFormat="1" ht="15.75" x14ac:dyDescent="0.25">
      <c r="C101" s="48"/>
      <c r="D101" s="60"/>
      <c r="E101" s="60"/>
      <c r="F101" s="60"/>
      <c r="G101" s="50"/>
      <c r="H101" s="61"/>
      <c r="I101" s="61"/>
      <c r="J101" s="61"/>
      <c r="K101" s="61"/>
      <c r="L101" s="61"/>
      <c r="M101" s="62"/>
      <c r="N101" s="62"/>
      <c r="O101" s="62"/>
      <c r="P101" s="62"/>
      <c r="Q101" s="63"/>
      <c r="R101" s="63"/>
      <c r="S101" s="63"/>
      <c r="T101" s="63"/>
      <c r="U101" s="63"/>
      <c r="V101" s="207"/>
      <c r="AF101" s="207"/>
      <c r="AP101" s="207"/>
      <c r="AZ101" s="207"/>
    </row>
    <row r="102" spans="3:52" s="49" customFormat="1" ht="15.75" x14ac:dyDescent="0.25">
      <c r="C102" s="48"/>
      <c r="D102" s="60"/>
      <c r="E102" s="60"/>
      <c r="F102" s="60"/>
      <c r="G102" s="50"/>
      <c r="H102" s="61"/>
      <c r="I102" s="61"/>
      <c r="J102" s="61"/>
      <c r="K102" s="61"/>
      <c r="L102" s="61"/>
      <c r="M102" s="62"/>
      <c r="N102" s="62"/>
      <c r="O102" s="62"/>
      <c r="P102" s="62"/>
      <c r="Q102" s="63"/>
      <c r="R102" s="63"/>
      <c r="S102" s="63"/>
      <c r="T102" s="63"/>
      <c r="U102" s="63"/>
      <c r="V102" s="207"/>
      <c r="AF102" s="207"/>
      <c r="AP102" s="207"/>
      <c r="AZ102" s="207"/>
    </row>
    <row r="103" spans="3:52" s="49" customFormat="1" ht="15.75" x14ac:dyDescent="0.25">
      <c r="C103" s="48"/>
      <c r="D103" s="60"/>
      <c r="E103" s="60"/>
      <c r="F103" s="60"/>
      <c r="G103" s="50"/>
      <c r="H103" s="61"/>
      <c r="I103" s="61"/>
      <c r="J103" s="61"/>
      <c r="K103" s="61"/>
      <c r="L103" s="61"/>
      <c r="M103" s="62"/>
      <c r="N103" s="62"/>
      <c r="O103" s="62"/>
      <c r="P103" s="62"/>
      <c r="Q103" s="63"/>
      <c r="R103" s="63"/>
      <c r="S103" s="63"/>
      <c r="T103" s="63"/>
      <c r="U103" s="63"/>
      <c r="V103" s="207"/>
      <c r="AF103" s="207"/>
      <c r="AP103" s="207"/>
      <c r="AZ103" s="207"/>
    </row>
    <row r="104" spans="3:52" s="49" customFormat="1" ht="15.75" x14ac:dyDescent="0.25">
      <c r="C104" s="48"/>
      <c r="D104" s="60"/>
      <c r="E104" s="60"/>
      <c r="F104" s="60"/>
      <c r="G104" s="50"/>
      <c r="H104" s="61"/>
      <c r="I104" s="61"/>
      <c r="J104" s="61"/>
      <c r="K104" s="61"/>
      <c r="L104" s="61"/>
      <c r="M104" s="62"/>
      <c r="N104" s="62"/>
      <c r="O104" s="62"/>
      <c r="P104" s="62"/>
      <c r="Q104" s="63"/>
      <c r="R104" s="63"/>
      <c r="S104" s="63"/>
      <c r="T104" s="63"/>
      <c r="U104" s="63"/>
      <c r="V104" s="207"/>
      <c r="AF104" s="207"/>
      <c r="AP104" s="207"/>
      <c r="AZ104" s="207"/>
    </row>
    <row r="105" spans="3:52" s="49" customFormat="1" ht="15.75" x14ac:dyDescent="0.25">
      <c r="C105" s="48"/>
      <c r="D105" s="60"/>
      <c r="E105" s="60"/>
      <c r="F105" s="60"/>
      <c r="G105" s="50"/>
      <c r="H105" s="61"/>
      <c r="I105" s="61"/>
      <c r="J105" s="61"/>
      <c r="K105" s="61"/>
      <c r="L105" s="61"/>
      <c r="M105" s="62"/>
      <c r="N105" s="62"/>
      <c r="O105" s="62"/>
      <c r="P105" s="62"/>
      <c r="Q105" s="63"/>
      <c r="R105" s="63"/>
      <c r="S105" s="63"/>
      <c r="T105" s="63"/>
      <c r="U105" s="63"/>
      <c r="V105" s="207"/>
      <c r="AF105" s="207"/>
      <c r="AP105" s="207"/>
      <c r="AZ105" s="207"/>
    </row>
    <row r="106" spans="3:52" s="49" customFormat="1" ht="15.75" x14ac:dyDescent="0.25">
      <c r="C106" s="48"/>
      <c r="D106" s="60"/>
      <c r="E106" s="60"/>
      <c r="F106" s="60"/>
      <c r="G106" s="50"/>
      <c r="H106" s="61"/>
      <c r="I106" s="61"/>
      <c r="J106" s="61"/>
      <c r="K106" s="61"/>
      <c r="L106" s="61"/>
      <c r="M106" s="62"/>
      <c r="N106" s="62"/>
      <c r="O106" s="62"/>
      <c r="P106" s="62"/>
      <c r="Q106" s="63"/>
      <c r="R106" s="63"/>
      <c r="S106" s="63"/>
      <c r="T106" s="63"/>
      <c r="U106" s="63"/>
      <c r="V106" s="207"/>
      <c r="AF106" s="207"/>
      <c r="AP106" s="207"/>
      <c r="AZ106" s="207"/>
    </row>
    <row r="107" spans="3:52" s="49" customFormat="1" ht="15.75" x14ac:dyDescent="0.25">
      <c r="C107" s="48"/>
      <c r="D107" s="60"/>
      <c r="E107" s="60"/>
      <c r="F107" s="60"/>
      <c r="G107" s="50"/>
      <c r="H107" s="61"/>
      <c r="I107" s="61"/>
      <c r="J107" s="61"/>
      <c r="K107" s="61"/>
      <c r="L107" s="61"/>
      <c r="M107" s="62"/>
      <c r="N107" s="62"/>
      <c r="O107" s="62"/>
      <c r="P107" s="62"/>
      <c r="Q107" s="63"/>
      <c r="R107" s="63"/>
      <c r="S107" s="63"/>
      <c r="T107" s="63"/>
      <c r="U107" s="63"/>
      <c r="V107" s="207"/>
      <c r="AF107" s="207"/>
      <c r="AP107" s="207"/>
      <c r="AZ107" s="207"/>
    </row>
    <row r="108" spans="3:52" s="49" customFormat="1" ht="15.75" x14ac:dyDescent="0.25">
      <c r="C108" s="48"/>
      <c r="D108" s="60"/>
      <c r="E108" s="60"/>
      <c r="F108" s="60"/>
      <c r="G108" s="50"/>
      <c r="H108" s="61"/>
      <c r="I108" s="61"/>
      <c r="J108" s="61"/>
      <c r="K108" s="61"/>
      <c r="L108" s="61"/>
      <c r="M108" s="62"/>
      <c r="N108" s="62"/>
      <c r="O108" s="62"/>
      <c r="P108" s="62"/>
      <c r="Q108" s="63"/>
      <c r="R108" s="63"/>
      <c r="S108" s="63"/>
      <c r="T108" s="63"/>
      <c r="U108" s="63"/>
      <c r="V108" s="207"/>
      <c r="AF108" s="207"/>
      <c r="AP108" s="207"/>
      <c r="AZ108" s="207"/>
    </row>
    <row r="109" spans="3:52" s="49" customFormat="1" ht="15.75" x14ac:dyDescent="0.25">
      <c r="C109" s="48"/>
      <c r="D109" s="60"/>
      <c r="E109" s="60"/>
      <c r="F109" s="60"/>
      <c r="G109" s="50"/>
      <c r="H109" s="61"/>
      <c r="I109" s="61"/>
      <c r="J109" s="61"/>
      <c r="K109" s="61"/>
      <c r="L109" s="61"/>
      <c r="M109" s="62"/>
      <c r="N109" s="62"/>
      <c r="O109" s="62"/>
      <c r="P109" s="62"/>
      <c r="Q109" s="63"/>
      <c r="R109" s="63"/>
      <c r="S109" s="63"/>
      <c r="T109" s="63"/>
      <c r="U109" s="63"/>
      <c r="V109" s="207"/>
      <c r="AF109" s="207"/>
      <c r="AP109" s="207"/>
      <c r="AZ109" s="207"/>
    </row>
    <row r="110" spans="3:52" s="49" customFormat="1" ht="15.75" x14ac:dyDescent="0.25">
      <c r="C110" s="48"/>
      <c r="D110" s="60"/>
      <c r="E110" s="60"/>
      <c r="F110" s="60"/>
      <c r="G110" s="50"/>
      <c r="H110" s="61"/>
      <c r="I110" s="61"/>
      <c r="J110" s="61"/>
      <c r="K110" s="61"/>
      <c r="L110" s="61"/>
      <c r="M110" s="62"/>
      <c r="N110" s="62"/>
      <c r="O110" s="62"/>
      <c r="P110" s="62"/>
      <c r="Q110" s="63"/>
      <c r="R110" s="63"/>
      <c r="S110" s="63"/>
      <c r="T110" s="63"/>
      <c r="U110" s="63"/>
      <c r="V110" s="207"/>
      <c r="AF110" s="207"/>
      <c r="AP110" s="207"/>
      <c r="AZ110" s="207"/>
    </row>
    <row r="111" spans="3:52" s="49" customFormat="1" ht="15.75" x14ac:dyDescent="0.25">
      <c r="C111" s="48"/>
      <c r="D111" s="60"/>
      <c r="E111" s="60"/>
      <c r="F111" s="60"/>
      <c r="G111" s="50"/>
      <c r="H111" s="61"/>
      <c r="I111" s="61"/>
      <c r="J111" s="61"/>
      <c r="K111" s="61"/>
      <c r="L111" s="61"/>
      <c r="M111" s="62"/>
      <c r="N111" s="62"/>
      <c r="O111" s="62"/>
      <c r="P111" s="62"/>
      <c r="Q111" s="63"/>
      <c r="R111" s="63"/>
      <c r="S111" s="63"/>
      <c r="T111" s="63"/>
      <c r="U111" s="63"/>
      <c r="V111" s="207"/>
      <c r="AF111" s="207"/>
      <c r="AP111" s="207"/>
      <c r="AZ111" s="207"/>
    </row>
    <row r="112" spans="3:52" s="49" customFormat="1" ht="15.75" x14ac:dyDescent="0.25">
      <c r="C112" s="48"/>
      <c r="D112" s="60"/>
      <c r="E112" s="60"/>
      <c r="F112" s="60"/>
      <c r="G112" s="50"/>
      <c r="H112" s="61"/>
      <c r="I112" s="61"/>
      <c r="J112" s="61"/>
      <c r="K112" s="61"/>
      <c r="L112" s="61"/>
      <c r="M112" s="44"/>
      <c r="N112" s="44"/>
      <c r="O112" s="44"/>
      <c r="P112" s="44"/>
      <c r="Q112" s="64"/>
      <c r="R112" s="64"/>
      <c r="V112" s="207"/>
      <c r="AF112" s="207"/>
      <c r="AP112" s="207"/>
      <c r="AZ112" s="207"/>
    </row>
    <row r="113" spans="3:52" s="49" customFormat="1" ht="15.75" x14ac:dyDescent="0.25">
      <c r="C113" s="48"/>
      <c r="D113" s="60"/>
      <c r="E113" s="60"/>
      <c r="F113" s="60"/>
      <c r="G113" s="50"/>
      <c r="H113" s="61"/>
      <c r="I113" s="61"/>
      <c r="J113" s="61"/>
      <c r="K113" s="61"/>
      <c r="L113" s="61"/>
      <c r="M113" s="44"/>
      <c r="N113" s="44"/>
      <c r="O113" s="44"/>
      <c r="P113" s="44"/>
      <c r="Q113" s="64"/>
      <c r="R113" s="64"/>
      <c r="V113" s="207"/>
      <c r="AF113" s="207"/>
      <c r="AP113" s="207"/>
      <c r="AZ113" s="207"/>
    </row>
    <row r="114" spans="3:52" s="49" customFormat="1" ht="15.75" x14ac:dyDescent="0.25">
      <c r="C114" s="48"/>
      <c r="D114" s="60"/>
      <c r="E114" s="60"/>
      <c r="F114" s="60"/>
      <c r="G114" s="50"/>
      <c r="H114" s="61"/>
      <c r="I114" s="61"/>
      <c r="J114" s="61"/>
      <c r="K114" s="61"/>
      <c r="L114" s="61"/>
      <c r="M114" s="44"/>
      <c r="N114" s="44"/>
      <c r="O114" s="44"/>
      <c r="P114" s="44"/>
      <c r="Q114" s="64"/>
      <c r="R114" s="64"/>
      <c r="V114" s="207"/>
      <c r="AF114" s="207"/>
      <c r="AP114" s="207"/>
      <c r="AZ114" s="207"/>
    </row>
    <row r="115" spans="3:52" s="49" customFormat="1" ht="15.75" x14ac:dyDescent="0.25">
      <c r="C115" s="48"/>
      <c r="D115" s="60"/>
      <c r="E115" s="60"/>
      <c r="F115" s="60"/>
      <c r="G115" s="50"/>
      <c r="H115" s="61"/>
      <c r="I115" s="61"/>
      <c r="J115" s="61"/>
      <c r="K115" s="61"/>
      <c r="L115" s="61"/>
      <c r="M115" s="44"/>
      <c r="N115" s="44"/>
      <c r="O115" s="44"/>
      <c r="P115" s="44"/>
      <c r="Q115" s="64"/>
      <c r="R115" s="64"/>
      <c r="V115" s="207"/>
      <c r="AF115" s="207"/>
      <c r="AP115" s="207"/>
      <c r="AZ115" s="207"/>
    </row>
    <row r="116" spans="3:52" s="49" customFormat="1" ht="15.75" x14ac:dyDescent="0.25">
      <c r="C116" s="48"/>
      <c r="D116" s="60"/>
      <c r="E116" s="60"/>
      <c r="F116" s="60"/>
      <c r="G116" s="50"/>
      <c r="H116" s="61"/>
      <c r="I116" s="61"/>
      <c r="J116" s="61"/>
      <c r="K116" s="61"/>
      <c r="L116" s="61"/>
      <c r="M116" s="44"/>
      <c r="N116" s="44"/>
      <c r="O116" s="44"/>
      <c r="P116" s="44"/>
      <c r="Q116" s="64"/>
      <c r="R116" s="64"/>
      <c r="V116" s="207"/>
      <c r="AF116" s="207"/>
      <c r="AP116" s="207"/>
      <c r="AZ116" s="207"/>
    </row>
    <row r="117" spans="3:52" s="49" customFormat="1" ht="15.75" x14ac:dyDescent="0.25">
      <c r="C117" s="48"/>
      <c r="D117" s="60"/>
      <c r="E117" s="60"/>
      <c r="F117" s="60"/>
      <c r="G117" s="50"/>
      <c r="H117" s="61"/>
      <c r="I117" s="61"/>
      <c r="J117" s="61"/>
      <c r="K117" s="61"/>
      <c r="L117" s="61"/>
      <c r="M117" s="44"/>
      <c r="N117" s="44"/>
      <c r="O117" s="44"/>
      <c r="P117" s="44"/>
      <c r="Q117" s="64"/>
      <c r="R117" s="64"/>
      <c r="V117" s="207"/>
      <c r="AF117" s="207"/>
      <c r="AP117" s="207"/>
      <c r="AZ117" s="207"/>
    </row>
    <row r="118" spans="3:52" s="49" customFormat="1" ht="15.75" x14ac:dyDescent="0.25">
      <c r="C118" s="48"/>
      <c r="D118" s="60"/>
      <c r="E118" s="60"/>
      <c r="F118" s="60"/>
      <c r="G118" s="50"/>
      <c r="H118" s="61"/>
      <c r="I118" s="61"/>
      <c r="J118" s="61"/>
      <c r="K118" s="61"/>
      <c r="L118" s="61"/>
      <c r="M118" s="44"/>
      <c r="N118" s="44"/>
      <c r="O118" s="44"/>
      <c r="P118" s="44"/>
      <c r="Q118" s="64"/>
      <c r="R118" s="64"/>
      <c r="V118" s="207"/>
      <c r="AF118" s="207"/>
      <c r="AP118" s="207"/>
      <c r="AZ118" s="207"/>
    </row>
    <row r="119" spans="3:52" s="49" customFormat="1" ht="15.75" x14ac:dyDescent="0.25">
      <c r="C119" s="48"/>
      <c r="D119" s="60"/>
      <c r="E119" s="60"/>
      <c r="F119" s="60"/>
      <c r="G119" s="50"/>
      <c r="H119" s="61"/>
      <c r="I119" s="61"/>
      <c r="J119" s="61"/>
      <c r="K119" s="61"/>
      <c r="L119" s="61"/>
      <c r="M119" s="44"/>
      <c r="N119" s="44"/>
      <c r="O119" s="44"/>
      <c r="P119" s="44"/>
      <c r="Q119" s="64"/>
      <c r="R119" s="64"/>
      <c r="V119" s="207"/>
      <c r="AF119" s="207"/>
      <c r="AP119" s="207"/>
      <c r="AZ119" s="207"/>
    </row>
    <row r="120" spans="3:52" s="49" customFormat="1" ht="15.75" x14ac:dyDescent="0.25">
      <c r="C120" s="48"/>
      <c r="D120" s="60"/>
      <c r="E120" s="60"/>
      <c r="F120" s="60"/>
      <c r="G120" s="50"/>
      <c r="H120" s="61"/>
      <c r="I120" s="61"/>
      <c r="J120" s="61"/>
      <c r="K120" s="61"/>
      <c r="L120" s="61"/>
      <c r="M120" s="44"/>
      <c r="N120" s="44"/>
      <c r="O120" s="44"/>
      <c r="P120" s="44"/>
      <c r="Q120" s="64"/>
      <c r="R120" s="64"/>
      <c r="V120" s="207"/>
      <c r="AF120" s="207"/>
      <c r="AP120" s="207"/>
      <c r="AZ120" s="207"/>
    </row>
    <row r="121" spans="3:52" s="49" customFormat="1" ht="15.75" x14ac:dyDescent="0.25">
      <c r="C121" s="48"/>
      <c r="D121" s="60"/>
      <c r="E121" s="60"/>
      <c r="F121" s="60"/>
      <c r="G121" s="50"/>
      <c r="H121" s="61"/>
      <c r="I121" s="61"/>
      <c r="J121" s="61"/>
      <c r="K121" s="61"/>
      <c r="L121" s="61"/>
      <c r="M121" s="44"/>
      <c r="N121" s="44"/>
      <c r="O121" s="44"/>
      <c r="P121" s="44"/>
      <c r="Q121" s="64"/>
      <c r="R121" s="64"/>
      <c r="V121" s="207"/>
      <c r="AF121" s="207"/>
      <c r="AP121" s="207"/>
      <c r="AZ121" s="207"/>
    </row>
    <row r="122" spans="3:52" s="49" customFormat="1" ht="15.75" x14ac:dyDescent="0.25">
      <c r="C122" s="48"/>
      <c r="D122" s="60"/>
      <c r="E122" s="60"/>
      <c r="F122" s="60"/>
      <c r="G122" s="50"/>
      <c r="H122" s="61"/>
      <c r="I122" s="61"/>
      <c r="J122" s="61"/>
      <c r="K122" s="61"/>
      <c r="L122" s="61"/>
      <c r="M122" s="44"/>
      <c r="N122" s="44"/>
      <c r="O122" s="44"/>
      <c r="P122" s="44"/>
      <c r="Q122" s="64"/>
      <c r="R122" s="64"/>
      <c r="V122" s="207"/>
      <c r="AF122" s="207"/>
      <c r="AP122" s="207"/>
      <c r="AZ122" s="207"/>
    </row>
    <row r="123" spans="3:52" s="49" customFormat="1" ht="15.75" x14ac:dyDescent="0.25">
      <c r="C123" s="48"/>
      <c r="D123" s="60"/>
      <c r="E123" s="60"/>
      <c r="F123" s="60"/>
      <c r="G123" s="50"/>
      <c r="H123" s="61"/>
      <c r="I123" s="61"/>
      <c r="J123" s="61"/>
      <c r="K123" s="61"/>
      <c r="L123" s="61"/>
      <c r="M123" s="44"/>
      <c r="N123" s="44"/>
      <c r="O123" s="44"/>
      <c r="P123" s="44"/>
      <c r="Q123" s="64"/>
      <c r="R123" s="64"/>
      <c r="V123" s="207"/>
      <c r="AF123" s="207"/>
      <c r="AP123" s="207"/>
      <c r="AZ123" s="207"/>
    </row>
    <row r="124" spans="3:52" s="49" customFormat="1" ht="15.75" x14ac:dyDescent="0.25">
      <c r="C124" s="48"/>
      <c r="D124" s="60"/>
      <c r="E124" s="60"/>
      <c r="F124" s="60"/>
      <c r="G124" s="50"/>
      <c r="H124" s="61"/>
      <c r="I124" s="61"/>
      <c r="J124" s="61"/>
      <c r="K124" s="61"/>
      <c r="L124" s="61"/>
      <c r="M124" s="44"/>
      <c r="N124" s="44"/>
      <c r="O124" s="44"/>
      <c r="P124" s="44"/>
      <c r="Q124" s="64"/>
      <c r="R124" s="64"/>
      <c r="V124" s="207"/>
      <c r="AF124" s="207"/>
      <c r="AP124" s="207"/>
      <c r="AZ124" s="207"/>
    </row>
    <row r="125" spans="3:52" s="49" customFormat="1" ht="15.75" x14ac:dyDescent="0.25">
      <c r="C125" s="48"/>
      <c r="D125" s="60"/>
      <c r="E125" s="60"/>
      <c r="F125" s="60"/>
      <c r="G125" s="50"/>
      <c r="H125" s="61"/>
      <c r="I125" s="61"/>
      <c r="J125" s="61"/>
      <c r="K125" s="61"/>
      <c r="L125" s="61"/>
      <c r="M125" s="44"/>
      <c r="N125" s="44"/>
      <c r="O125" s="44"/>
      <c r="P125" s="44"/>
      <c r="Q125" s="64"/>
      <c r="R125" s="64"/>
      <c r="V125" s="207"/>
      <c r="AF125" s="207"/>
      <c r="AP125" s="207"/>
      <c r="AZ125" s="207"/>
    </row>
    <row r="126" spans="3:52" s="49" customFormat="1" ht="15.75" x14ac:dyDescent="0.25">
      <c r="C126" s="48"/>
      <c r="D126" s="60"/>
      <c r="E126" s="60"/>
      <c r="F126" s="60"/>
      <c r="G126" s="50"/>
      <c r="H126" s="61"/>
      <c r="I126" s="61"/>
      <c r="J126" s="61"/>
      <c r="K126" s="61"/>
      <c r="L126" s="61"/>
      <c r="M126" s="44"/>
      <c r="N126" s="44"/>
      <c r="O126" s="44"/>
      <c r="P126" s="44"/>
      <c r="Q126" s="64"/>
      <c r="R126" s="64"/>
      <c r="V126" s="207"/>
      <c r="AF126" s="207"/>
      <c r="AP126" s="207"/>
      <c r="AZ126" s="207"/>
    </row>
    <row r="127" spans="3:52" s="49" customFormat="1" ht="15.75" x14ac:dyDescent="0.25">
      <c r="C127" s="48"/>
      <c r="D127" s="60"/>
      <c r="E127" s="60"/>
      <c r="F127" s="60"/>
      <c r="G127" s="50"/>
      <c r="H127" s="61"/>
      <c r="I127" s="61"/>
      <c r="J127" s="61"/>
      <c r="K127" s="61"/>
      <c r="L127" s="61"/>
      <c r="M127" s="44"/>
      <c r="N127" s="44"/>
      <c r="O127" s="44"/>
      <c r="P127" s="44"/>
      <c r="Q127" s="64"/>
      <c r="R127" s="64"/>
      <c r="V127" s="207"/>
      <c r="AF127" s="207"/>
      <c r="AP127" s="207"/>
      <c r="AZ127" s="207"/>
    </row>
    <row r="128" spans="3:52" s="49" customFormat="1" ht="15.75" x14ac:dyDescent="0.25">
      <c r="C128" s="48"/>
      <c r="D128" s="60"/>
      <c r="E128" s="60"/>
      <c r="F128" s="60"/>
      <c r="G128" s="50"/>
      <c r="H128" s="61"/>
      <c r="I128" s="61"/>
      <c r="J128" s="61"/>
      <c r="K128" s="61"/>
      <c r="L128" s="61"/>
      <c r="M128" s="44"/>
      <c r="N128" s="44"/>
      <c r="O128" s="44"/>
      <c r="P128" s="44"/>
      <c r="Q128" s="64"/>
      <c r="R128" s="64"/>
      <c r="V128" s="207"/>
      <c r="AF128" s="207"/>
      <c r="AP128" s="207"/>
      <c r="AZ128" s="207"/>
    </row>
    <row r="129" spans="3:52" s="49" customFormat="1" ht="15.75" x14ac:dyDescent="0.25">
      <c r="C129" s="48"/>
      <c r="D129" s="60"/>
      <c r="E129" s="60"/>
      <c r="F129" s="60"/>
      <c r="G129" s="50"/>
      <c r="H129" s="61"/>
      <c r="I129" s="61"/>
      <c r="J129" s="61"/>
      <c r="K129" s="61"/>
      <c r="L129" s="61"/>
      <c r="M129" s="44"/>
      <c r="N129" s="44"/>
      <c r="O129" s="44"/>
      <c r="P129" s="44"/>
      <c r="Q129" s="64"/>
      <c r="R129" s="64"/>
      <c r="V129" s="207"/>
      <c r="AF129" s="207"/>
      <c r="AP129" s="207"/>
      <c r="AZ129" s="207"/>
    </row>
    <row r="130" spans="3:52" s="49" customFormat="1" ht="15.75" x14ac:dyDescent="0.25">
      <c r="C130" s="48"/>
      <c r="D130" s="60"/>
      <c r="E130" s="60"/>
      <c r="F130" s="60"/>
      <c r="G130" s="50"/>
      <c r="H130" s="61"/>
      <c r="I130" s="61"/>
      <c r="J130" s="61"/>
      <c r="K130" s="61"/>
      <c r="L130" s="61"/>
      <c r="M130" s="44"/>
      <c r="N130" s="44"/>
      <c r="O130" s="44"/>
      <c r="P130" s="44"/>
      <c r="Q130" s="64"/>
      <c r="R130" s="64"/>
      <c r="V130" s="207"/>
      <c r="AF130" s="207"/>
      <c r="AP130" s="207"/>
      <c r="AZ130" s="207"/>
    </row>
    <row r="131" spans="3:52" s="49" customFormat="1" ht="15.75" x14ac:dyDescent="0.25">
      <c r="C131" s="48"/>
      <c r="D131" s="60"/>
      <c r="E131" s="60"/>
      <c r="F131" s="60"/>
      <c r="G131" s="50"/>
      <c r="H131" s="61"/>
      <c r="I131" s="61"/>
      <c r="J131" s="61"/>
      <c r="K131" s="61"/>
      <c r="L131" s="61"/>
      <c r="M131" s="44"/>
      <c r="N131" s="44"/>
      <c r="O131" s="44"/>
      <c r="P131" s="44"/>
      <c r="Q131" s="64"/>
      <c r="R131" s="64"/>
      <c r="V131" s="207"/>
      <c r="AF131" s="207"/>
      <c r="AP131" s="207"/>
      <c r="AZ131" s="207"/>
    </row>
    <row r="132" spans="3:52" s="49" customFormat="1" ht="15.75" x14ac:dyDescent="0.25">
      <c r="C132" s="48"/>
      <c r="D132" s="60"/>
      <c r="E132" s="60"/>
      <c r="F132" s="60"/>
      <c r="G132" s="50"/>
      <c r="H132" s="61"/>
      <c r="I132" s="61"/>
      <c r="J132" s="61"/>
      <c r="K132" s="61"/>
      <c r="L132" s="61"/>
      <c r="M132" s="44"/>
      <c r="N132" s="44"/>
      <c r="O132" s="44"/>
      <c r="P132" s="44"/>
      <c r="Q132" s="64"/>
      <c r="R132" s="64"/>
      <c r="V132" s="207"/>
      <c r="AF132" s="207"/>
      <c r="AP132" s="207"/>
      <c r="AZ132" s="207"/>
    </row>
    <row r="133" spans="3:52" s="49" customFormat="1" ht="15.75" x14ac:dyDescent="0.25">
      <c r="C133" s="48"/>
      <c r="D133" s="60"/>
      <c r="E133" s="60"/>
      <c r="F133" s="60"/>
      <c r="G133" s="50"/>
      <c r="H133" s="61"/>
      <c r="I133" s="61"/>
      <c r="J133" s="61"/>
      <c r="K133" s="61"/>
      <c r="L133" s="61"/>
      <c r="M133" s="44"/>
      <c r="N133" s="44"/>
      <c r="O133" s="44"/>
      <c r="P133" s="44"/>
      <c r="Q133" s="64"/>
      <c r="R133" s="64"/>
      <c r="V133" s="207"/>
      <c r="AF133" s="207"/>
      <c r="AP133" s="207"/>
      <c r="AZ133" s="207"/>
    </row>
    <row r="134" spans="3:52" s="49" customFormat="1" ht="15.75" x14ac:dyDescent="0.25">
      <c r="C134" s="48"/>
      <c r="D134" s="60"/>
      <c r="E134" s="60"/>
      <c r="F134" s="60"/>
      <c r="G134" s="50"/>
      <c r="H134" s="61"/>
      <c r="I134" s="61"/>
      <c r="J134" s="61"/>
      <c r="K134" s="61"/>
      <c r="L134" s="61"/>
      <c r="M134" s="44"/>
      <c r="N134" s="44"/>
      <c r="O134" s="44"/>
      <c r="P134" s="44"/>
      <c r="Q134" s="64"/>
      <c r="R134" s="64"/>
      <c r="V134" s="207"/>
      <c r="AF134" s="207"/>
      <c r="AP134" s="207"/>
      <c r="AZ134" s="207"/>
    </row>
    <row r="135" spans="3:52" s="49" customFormat="1" ht="15.75" x14ac:dyDescent="0.25">
      <c r="C135" s="48"/>
      <c r="D135" s="60"/>
      <c r="E135" s="60"/>
      <c r="F135" s="60"/>
      <c r="G135" s="50"/>
      <c r="H135" s="61"/>
      <c r="I135" s="61"/>
      <c r="J135" s="61"/>
      <c r="K135" s="61"/>
      <c r="L135" s="61"/>
      <c r="M135" s="44"/>
      <c r="N135" s="44"/>
      <c r="O135" s="44"/>
      <c r="P135" s="44"/>
      <c r="Q135" s="64"/>
      <c r="R135" s="64"/>
      <c r="V135" s="207"/>
      <c r="AF135" s="207"/>
      <c r="AP135" s="207"/>
      <c r="AZ135" s="207"/>
    </row>
    <row r="136" spans="3:52" s="49" customFormat="1" ht="15.75" x14ac:dyDescent="0.25">
      <c r="C136" s="48"/>
      <c r="D136" s="60"/>
      <c r="E136" s="60"/>
      <c r="F136" s="60"/>
      <c r="G136" s="50"/>
      <c r="H136" s="61"/>
      <c r="I136" s="61"/>
      <c r="J136" s="61"/>
      <c r="K136" s="61"/>
      <c r="L136" s="61"/>
      <c r="M136" s="44"/>
      <c r="N136" s="44"/>
      <c r="O136" s="44"/>
      <c r="P136" s="44"/>
      <c r="Q136" s="64"/>
      <c r="R136" s="64"/>
      <c r="V136" s="207"/>
      <c r="AF136" s="207"/>
      <c r="AP136" s="207"/>
      <c r="AZ136" s="207"/>
    </row>
    <row r="137" spans="3:52" s="49" customFormat="1" ht="15.75" x14ac:dyDescent="0.25">
      <c r="C137" s="48"/>
      <c r="D137" s="60"/>
      <c r="E137" s="60"/>
      <c r="F137" s="60"/>
      <c r="G137" s="50"/>
      <c r="H137" s="61"/>
      <c r="I137" s="61"/>
      <c r="J137" s="61"/>
      <c r="K137" s="61"/>
      <c r="L137" s="61"/>
      <c r="M137" s="44"/>
      <c r="N137" s="44"/>
      <c r="O137" s="44"/>
      <c r="P137" s="44"/>
      <c r="Q137" s="64"/>
      <c r="R137" s="64"/>
      <c r="V137" s="207"/>
      <c r="AF137" s="207"/>
      <c r="AP137" s="207"/>
      <c r="AZ137" s="207"/>
    </row>
    <row r="138" spans="3:52" s="49" customFormat="1" ht="15.75" x14ac:dyDescent="0.25">
      <c r="C138" s="48"/>
      <c r="D138" s="60"/>
      <c r="E138" s="60"/>
      <c r="F138" s="60"/>
      <c r="G138" s="50"/>
      <c r="H138" s="61"/>
      <c r="I138" s="61"/>
      <c r="J138" s="61"/>
      <c r="K138" s="61"/>
      <c r="L138" s="61"/>
      <c r="M138" s="44"/>
      <c r="N138" s="44"/>
      <c r="O138" s="44"/>
      <c r="P138" s="44"/>
      <c r="Q138" s="64"/>
      <c r="R138" s="64"/>
      <c r="V138" s="207"/>
      <c r="AF138" s="207"/>
      <c r="AP138" s="207"/>
      <c r="AZ138" s="207"/>
    </row>
    <row r="139" spans="3:52" s="49" customFormat="1" ht="15.75" x14ac:dyDescent="0.25">
      <c r="C139" s="48"/>
      <c r="D139" s="60"/>
      <c r="E139" s="60"/>
      <c r="F139" s="60"/>
      <c r="G139" s="50"/>
      <c r="H139" s="61"/>
      <c r="I139" s="61"/>
      <c r="J139" s="61"/>
      <c r="K139" s="61"/>
      <c r="L139" s="61"/>
      <c r="M139" s="44"/>
      <c r="N139" s="44"/>
      <c r="O139" s="44"/>
      <c r="P139" s="44"/>
      <c r="Q139" s="64"/>
      <c r="R139" s="64"/>
      <c r="V139" s="207"/>
      <c r="AF139" s="207"/>
      <c r="AP139" s="207"/>
      <c r="AZ139" s="207"/>
    </row>
    <row r="140" spans="3:52" s="49" customFormat="1" ht="15.75" x14ac:dyDescent="0.25">
      <c r="C140" s="48"/>
      <c r="D140" s="60"/>
      <c r="E140" s="60"/>
      <c r="F140" s="60"/>
      <c r="G140" s="50"/>
      <c r="H140" s="61"/>
      <c r="I140" s="61"/>
      <c r="J140" s="61"/>
      <c r="K140" s="61"/>
      <c r="L140" s="61"/>
      <c r="M140" s="44"/>
      <c r="N140" s="44"/>
      <c r="O140" s="44"/>
      <c r="P140" s="44"/>
      <c r="Q140" s="64"/>
      <c r="R140" s="64"/>
      <c r="V140" s="207"/>
      <c r="AF140" s="207"/>
      <c r="AP140" s="207"/>
      <c r="AZ140" s="207"/>
    </row>
    <row r="141" spans="3:52" s="49" customFormat="1" ht="15.75" x14ac:dyDescent="0.25">
      <c r="C141" s="48"/>
      <c r="D141" s="60"/>
      <c r="E141" s="60"/>
      <c r="F141" s="60"/>
      <c r="G141" s="50"/>
      <c r="H141" s="61"/>
      <c r="I141" s="61"/>
      <c r="J141" s="61"/>
      <c r="K141" s="61"/>
      <c r="L141" s="61"/>
      <c r="M141" s="44"/>
      <c r="N141" s="44"/>
      <c r="O141" s="44"/>
      <c r="P141" s="44"/>
      <c r="Q141" s="64"/>
      <c r="R141" s="64"/>
      <c r="V141" s="207"/>
      <c r="AF141" s="207"/>
      <c r="AP141" s="207"/>
      <c r="AZ141" s="207"/>
    </row>
    <row r="142" spans="3:52" s="49" customFormat="1" ht="15.75" x14ac:dyDescent="0.25">
      <c r="C142" s="48"/>
      <c r="D142" s="60"/>
      <c r="E142" s="60"/>
      <c r="F142" s="60"/>
      <c r="G142" s="50"/>
      <c r="H142" s="61"/>
      <c r="I142" s="61"/>
      <c r="J142" s="61"/>
      <c r="K142" s="61"/>
      <c r="L142" s="61"/>
      <c r="M142" s="44"/>
      <c r="N142" s="44"/>
      <c r="O142" s="44"/>
      <c r="P142" s="44"/>
      <c r="Q142" s="64"/>
      <c r="R142" s="64"/>
      <c r="V142" s="207"/>
      <c r="AF142" s="207"/>
      <c r="AP142" s="207"/>
      <c r="AZ142" s="207"/>
    </row>
    <row r="143" spans="3:52" s="49" customFormat="1" ht="15.75" x14ac:dyDescent="0.25">
      <c r="C143" s="48"/>
      <c r="D143" s="60"/>
      <c r="E143" s="60"/>
      <c r="F143" s="60"/>
      <c r="G143" s="50"/>
      <c r="H143" s="61"/>
      <c r="I143" s="61"/>
      <c r="J143" s="61"/>
      <c r="K143" s="61"/>
      <c r="L143" s="61"/>
      <c r="M143" s="44"/>
      <c r="N143" s="44"/>
      <c r="O143" s="44"/>
      <c r="P143" s="44"/>
      <c r="Q143" s="64"/>
      <c r="R143" s="64"/>
      <c r="V143" s="207"/>
      <c r="AF143" s="207"/>
      <c r="AP143" s="207"/>
      <c r="AZ143" s="207"/>
    </row>
    <row r="144" spans="3:52" s="49" customFormat="1" ht="15.75" x14ac:dyDescent="0.25">
      <c r="C144" s="48"/>
      <c r="D144" s="60"/>
      <c r="E144" s="60"/>
      <c r="F144" s="60"/>
      <c r="G144" s="50"/>
      <c r="H144" s="61"/>
      <c r="I144" s="61"/>
      <c r="J144" s="61"/>
      <c r="K144" s="61"/>
      <c r="L144" s="61"/>
      <c r="M144" s="44"/>
      <c r="N144" s="44"/>
      <c r="O144" s="44"/>
      <c r="P144" s="44"/>
      <c r="Q144" s="64"/>
      <c r="R144" s="64"/>
      <c r="V144" s="207"/>
      <c r="AF144" s="207"/>
      <c r="AP144" s="207"/>
      <c r="AZ144" s="207"/>
    </row>
    <row r="145" spans="3:52" s="49" customFormat="1" ht="15.75" x14ac:dyDescent="0.25">
      <c r="C145" s="48"/>
      <c r="D145" s="60"/>
      <c r="E145" s="60"/>
      <c r="F145" s="60"/>
      <c r="G145" s="50"/>
      <c r="H145" s="61"/>
      <c r="I145" s="61"/>
      <c r="J145" s="61"/>
      <c r="K145" s="61"/>
      <c r="L145" s="61"/>
      <c r="M145" s="44"/>
      <c r="N145" s="44"/>
      <c r="O145" s="44"/>
      <c r="P145" s="44"/>
      <c r="Q145" s="64"/>
      <c r="R145" s="64"/>
      <c r="V145" s="207"/>
      <c r="AF145" s="207"/>
      <c r="AP145" s="207"/>
      <c r="AZ145" s="207"/>
    </row>
    <row r="146" spans="3:52" s="49" customFormat="1" ht="15.75" x14ac:dyDescent="0.25">
      <c r="C146" s="48"/>
      <c r="D146" s="60"/>
      <c r="E146" s="60"/>
      <c r="F146" s="60"/>
      <c r="G146" s="50"/>
      <c r="H146" s="61"/>
      <c r="I146" s="61"/>
      <c r="J146" s="61"/>
      <c r="K146" s="61"/>
      <c r="L146" s="61"/>
      <c r="M146" s="44"/>
      <c r="N146" s="44"/>
      <c r="O146" s="44"/>
      <c r="P146" s="44"/>
      <c r="Q146" s="64"/>
      <c r="R146" s="64"/>
      <c r="V146" s="207"/>
      <c r="AF146" s="207"/>
      <c r="AP146" s="207"/>
      <c r="AZ146" s="207"/>
    </row>
    <row r="147" spans="3:52" s="49" customFormat="1" ht="15.75" x14ac:dyDescent="0.25">
      <c r="C147" s="48"/>
      <c r="D147" s="60"/>
      <c r="E147" s="60"/>
      <c r="F147" s="60"/>
      <c r="G147" s="50"/>
      <c r="H147" s="61"/>
      <c r="I147" s="61"/>
      <c r="J147" s="61"/>
      <c r="K147" s="61"/>
      <c r="L147" s="61"/>
      <c r="M147" s="44"/>
      <c r="N147" s="44"/>
      <c r="O147" s="44"/>
      <c r="P147" s="44"/>
      <c r="Q147" s="64"/>
      <c r="R147" s="64"/>
      <c r="V147" s="207"/>
      <c r="AF147" s="207"/>
      <c r="AP147" s="207"/>
      <c r="AZ147" s="207"/>
    </row>
    <row r="148" spans="3:52" s="49" customFormat="1" ht="15.75" x14ac:dyDescent="0.25">
      <c r="C148" s="48"/>
      <c r="D148" s="60"/>
      <c r="E148" s="60"/>
      <c r="F148" s="60"/>
      <c r="G148" s="50"/>
      <c r="H148" s="61"/>
      <c r="I148" s="61"/>
      <c r="J148" s="61"/>
      <c r="K148" s="61"/>
      <c r="L148" s="61"/>
      <c r="M148" s="44"/>
      <c r="N148" s="44"/>
      <c r="O148" s="44"/>
      <c r="P148" s="44"/>
      <c r="Q148" s="64"/>
      <c r="R148" s="64"/>
      <c r="V148" s="207"/>
      <c r="AF148" s="207"/>
      <c r="AP148" s="207"/>
      <c r="AZ148" s="207"/>
    </row>
    <row r="149" spans="3:52" s="49" customFormat="1" ht="15.75" x14ac:dyDescent="0.25">
      <c r="C149" s="48"/>
      <c r="D149" s="60"/>
      <c r="E149" s="60"/>
      <c r="F149" s="60"/>
      <c r="G149" s="50"/>
      <c r="H149" s="61"/>
      <c r="I149" s="61"/>
      <c r="J149" s="61"/>
      <c r="K149" s="61"/>
      <c r="L149" s="61"/>
      <c r="M149" s="44"/>
      <c r="N149" s="44"/>
      <c r="O149" s="44"/>
      <c r="P149" s="44"/>
      <c r="Q149" s="64"/>
      <c r="R149" s="64"/>
      <c r="V149" s="207"/>
      <c r="AF149" s="207"/>
      <c r="AP149" s="207"/>
      <c r="AZ149" s="207"/>
    </row>
    <row r="150" spans="3:52" s="49" customFormat="1" ht="15.75" x14ac:dyDescent="0.25">
      <c r="C150" s="48"/>
      <c r="D150" s="60"/>
      <c r="E150" s="60"/>
      <c r="F150" s="60"/>
      <c r="G150" s="50"/>
      <c r="H150" s="61"/>
      <c r="I150" s="61"/>
      <c r="J150" s="61"/>
      <c r="K150" s="61"/>
      <c r="L150" s="61"/>
      <c r="M150" s="44"/>
      <c r="N150" s="44"/>
      <c r="O150" s="44"/>
      <c r="P150" s="44"/>
      <c r="Q150" s="64"/>
      <c r="R150" s="64"/>
      <c r="V150" s="207"/>
      <c r="AF150" s="207"/>
      <c r="AP150" s="207"/>
      <c r="AZ150" s="207"/>
    </row>
    <row r="151" spans="3:52" s="49" customFormat="1" ht="15.75" x14ac:dyDescent="0.25">
      <c r="C151" s="48"/>
      <c r="D151" s="60"/>
      <c r="E151" s="60"/>
      <c r="F151" s="60"/>
      <c r="G151" s="50"/>
      <c r="H151" s="61"/>
      <c r="I151" s="61"/>
      <c r="J151" s="61"/>
      <c r="K151" s="61"/>
      <c r="L151" s="61"/>
      <c r="M151" s="44"/>
      <c r="N151" s="44"/>
      <c r="O151" s="44"/>
      <c r="P151" s="44"/>
      <c r="Q151" s="64"/>
      <c r="R151" s="64"/>
      <c r="V151" s="207"/>
      <c r="AF151" s="207"/>
      <c r="AP151" s="207"/>
      <c r="AZ151" s="207"/>
    </row>
    <row r="152" spans="3:52" s="49" customFormat="1" ht="15.75" x14ac:dyDescent="0.25">
      <c r="C152" s="48"/>
      <c r="D152" s="60"/>
      <c r="E152" s="60"/>
      <c r="F152" s="60"/>
      <c r="G152" s="50"/>
      <c r="H152" s="61"/>
      <c r="I152" s="61"/>
      <c r="J152" s="61"/>
      <c r="K152" s="61"/>
      <c r="L152" s="61"/>
      <c r="M152" s="44"/>
      <c r="N152" s="44"/>
      <c r="O152" s="44"/>
      <c r="P152" s="44"/>
      <c r="Q152" s="64"/>
      <c r="R152" s="64"/>
      <c r="V152" s="207"/>
      <c r="AF152" s="207"/>
      <c r="AP152" s="207"/>
      <c r="AZ152" s="207"/>
    </row>
    <row r="153" spans="3:52" s="49" customFormat="1" ht="15.75" x14ac:dyDescent="0.25">
      <c r="C153" s="48"/>
      <c r="D153" s="60"/>
      <c r="E153" s="60"/>
      <c r="F153" s="60"/>
      <c r="G153" s="50"/>
      <c r="H153" s="61"/>
      <c r="I153" s="61"/>
      <c r="J153" s="61"/>
      <c r="K153" s="61"/>
      <c r="L153" s="61"/>
      <c r="M153" s="44"/>
      <c r="N153" s="44"/>
      <c r="O153" s="44"/>
      <c r="P153" s="44"/>
      <c r="Q153" s="64"/>
      <c r="R153" s="64"/>
      <c r="V153" s="207"/>
      <c r="AF153" s="207"/>
      <c r="AP153" s="207"/>
      <c r="AZ153" s="207"/>
    </row>
    <row r="154" spans="3:52" s="49" customFormat="1" ht="15.75" x14ac:dyDescent="0.25">
      <c r="C154" s="48"/>
      <c r="D154" s="60"/>
      <c r="E154" s="60"/>
      <c r="F154" s="60"/>
      <c r="G154" s="50"/>
      <c r="H154" s="61"/>
      <c r="I154" s="61"/>
      <c r="J154" s="61"/>
      <c r="K154" s="61"/>
      <c r="L154" s="61"/>
      <c r="M154" s="44"/>
      <c r="N154" s="44"/>
      <c r="O154" s="44"/>
      <c r="P154" s="44"/>
      <c r="Q154" s="64"/>
      <c r="R154" s="64"/>
      <c r="V154" s="207"/>
      <c r="AF154" s="207"/>
      <c r="AP154" s="207"/>
      <c r="AZ154" s="207"/>
    </row>
    <row r="155" spans="3:52" s="49" customFormat="1" ht="15.75" x14ac:dyDescent="0.25">
      <c r="C155" s="48"/>
      <c r="D155" s="60"/>
      <c r="E155" s="60"/>
      <c r="F155" s="60"/>
      <c r="G155" s="50"/>
      <c r="H155" s="61"/>
      <c r="I155" s="61"/>
      <c r="J155" s="61"/>
      <c r="K155" s="61"/>
      <c r="L155" s="61"/>
      <c r="M155" s="44"/>
      <c r="N155" s="44"/>
      <c r="O155" s="44"/>
      <c r="P155" s="44"/>
      <c r="Q155" s="64"/>
      <c r="R155" s="64"/>
      <c r="V155" s="207"/>
      <c r="AF155" s="207"/>
      <c r="AP155" s="207"/>
      <c r="AZ155" s="207"/>
    </row>
    <row r="156" spans="3:52" s="49" customFormat="1" ht="15.75" x14ac:dyDescent="0.25">
      <c r="C156" s="48"/>
      <c r="D156" s="60"/>
      <c r="E156" s="60"/>
      <c r="F156" s="60"/>
      <c r="G156" s="50"/>
      <c r="H156" s="61"/>
      <c r="I156" s="61"/>
      <c r="J156" s="61"/>
      <c r="K156" s="61"/>
      <c r="L156" s="61"/>
      <c r="M156" s="44"/>
      <c r="N156" s="44"/>
      <c r="O156" s="44"/>
      <c r="P156" s="44"/>
      <c r="Q156" s="64"/>
      <c r="R156" s="64"/>
      <c r="V156" s="207"/>
      <c r="AF156" s="207"/>
      <c r="AP156" s="207"/>
      <c r="AZ156" s="207"/>
    </row>
    <row r="157" spans="3:52" s="49" customFormat="1" ht="15.75" x14ac:dyDescent="0.25">
      <c r="C157" s="48"/>
      <c r="D157" s="60"/>
      <c r="E157" s="60"/>
      <c r="F157" s="60"/>
      <c r="G157" s="50"/>
      <c r="H157" s="61"/>
      <c r="I157" s="61"/>
      <c r="J157" s="61"/>
      <c r="K157" s="61"/>
      <c r="L157" s="61"/>
      <c r="M157" s="44"/>
      <c r="N157" s="44"/>
      <c r="O157" s="44"/>
      <c r="P157" s="44"/>
      <c r="Q157" s="64"/>
      <c r="R157" s="64"/>
      <c r="V157" s="207"/>
      <c r="AF157" s="207"/>
      <c r="AP157" s="207"/>
      <c r="AZ157" s="207"/>
    </row>
    <row r="158" spans="3:52" s="49" customFormat="1" ht="15.75" x14ac:dyDescent="0.25">
      <c r="C158" s="48"/>
      <c r="D158" s="60"/>
      <c r="E158" s="60"/>
      <c r="F158" s="60"/>
      <c r="G158" s="50"/>
      <c r="H158" s="61"/>
      <c r="I158" s="61"/>
      <c r="J158" s="61"/>
      <c r="K158" s="61"/>
      <c r="L158" s="61"/>
      <c r="M158" s="44"/>
      <c r="N158" s="44"/>
      <c r="O158" s="44"/>
      <c r="P158" s="44"/>
      <c r="Q158" s="64"/>
      <c r="R158" s="64"/>
      <c r="V158" s="207"/>
      <c r="AF158" s="207"/>
      <c r="AP158" s="207"/>
      <c r="AZ158" s="207"/>
    </row>
    <row r="159" spans="3:52" s="49" customFormat="1" ht="15.75" x14ac:dyDescent="0.25">
      <c r="C159" s="48"/>
      <c r="D159" s="60"/>
      <c r="E159" s="60"/>
      <c r="F159" s="60"/>
      <c r="G159" s="50"/>
      <c r="H159" s="61"/>
      <c r="I159" s="61"/>
      <c r="J159" s="61"/>
      <c r="K159" s="61"/>
      <c r="L159" s="61"/>
      <c r="M159" s="44"/>
      <c r="N159" s="44"/>
      <c r="O159" s="44"/>
      <c r="P159" s="44"/>
      <c r="Q159" s="64"/>
      <c r="R159" s="64"/>
      <c r="V159" s="207"/>
      <c r="AF159" s="207"/>
      <c r="AP159" s="207"/>
      <c r="AZ159" s="207"/>
    </row>
    <row r="160" spans="3:52" s="49" customFormat="1" ht="15.75" x14ac:dyDescent="0.25">
      <c r="C160" s="48"/>
      <c r="D160" s="60"/>
      <c r="E160" s="60"/>
      <c r="F160" s="60"/>
      <c r="G160" s="50"/>
      <c r="H160" s="61"/>
      <c r="I160" s="61"/>
      <c r="J160" s="61"/>
      <c r="K160" s="61"/>
      <c r="L160" s="61"/>
      <c r="M160" s="44"/>
      <c r="N160" s="44"/>
      <c r="O160" s="44"/>
      <c r="P160" s="44"/>
      <c r="Q160" s="64"/>
      <c r="R160" s="64"/>
      <c r="V160" s="207"/>
      <c r="AF160" s="207"/>
      <c r="AP160" s="207"/>
      <c r="AZ160" s="207"/>
    </row>
    <row r="161" spans="3:52" s="49" customFormat="1" ht="15.75" x14ac:dyDescent="0.25">
      <c r="C161" s="48"/>
      <c r="D161" s="60"/>
      <c r="E161" s="60"/>
      <c r="F161" s="60"/>
      <c r="G161" s="50"/>
      <c r="H161" s="61"/>
      <c r="I161" s="61"/>
      <c r="J161" s="61"/>
      <c r="K161" s="61"/>
      <c r="L161" s="61"/>
      <c r="M161" s="44"/>
      <c r="N161" s="44"/>
      <c r="O161" s="44"/>
      <c r="P161" s="44"/>
      <c r="Q161" s="64"/>
      <c r="R161" s="64"/>
      <c r="V161" s="207"/>
      <c r="AF161" s="207"/>
      <c r="AP161" s="207"/>
      <c r="AZ161" s="207"/>
    </row>
    <row r="162" spans="3:52" s="49" customFormat="1" ht="15.75" x14ac:dyDescent="0.25">
      <c r="C162" s="48"/>
      <c r="D162" s="60"/>
      <c r="E162" s="60"/>
      <c r="F162" s="60"/>
      <c r="G162" s="50"/>
      <c r="H162" s="61"/>
      <c r="I162" s="61"/>
      <c r="J162" s="61"/>
      <c r="K162" s="61"/>
      <c r="L162" s="61"/>
      <c r="M162" s="44"/>
      <c r="N162" s="44"/>
      <c r="O162" s="44"/>
      <c r="P162" s="44"/>
      <c r="Q162" s="64"/>
      <c r="R162" s="64"/>
      <c r="V162" s="207"/>
      <c r="AF162" s="207"/>
      <c r="AP162" s="207"/>
      <c r="AZ162" s="207"/>
    </row>
    <row r="163" spans="3:52" s="49" customFormat="1" ht="15.75" x14ac:dyDescent="0.25">
      <c r="C163" s="48"/>
      <c r="D163" s="60"/>
      <c r="E163" s="60"/>
      <c r="F163" s="60"/>
      <c r="G163" s="50"/>
      <c r="H163" s="61"/>
      <c r="I163" s="61"/>
      <c r="J163" s="61"/>
      <c r="K163" s="61"/>
      <c r="L163" s="61"/>
      <c r="M163" s="44"/>
      <c r="N163" s="44"/>
      <c r="O163" s="44"/>
      <c r="P163" s="44"/>
      <c r="Q163" s="64"/>
      <c r="R163" s="64"/>
      <c r="V163" s="207"/>
      <c r="AF163" s="207"/>
      <c r="AP163" s="207"/>
      <c r="AZ163" s="207"/>
    </row>
    <row r="164" spans="3:52" s="49" customFormat="1" ht="15.75" x14ac:dyDescent="0.25">
      <c r="C164" s="48"/>
      <c r="D164" s="60"/>
      <c r="E164" s="60"/>
      <c r="F164" s="60"/>
      <c r="G164" s="50"/>
      <c r="H164" s="61"/>
      <c r="I164" s="61"/>
      <c r="J164" s="61"/>
      <c r="K164" s="61"/>
      <c r="L164" s="61"/>
      <c r="M164" s="44"/>
      <c r="N164" s="44"/>
      <c r="O164" s="44"/>
      <c r="P164" s="44"/>
      <c r="Q164" s="64"/>
      <c r="R164" s="64"/>
      <c r="V164" s="207"/>
      <c r="AF164" s="207"/>
      <c r="AP164" s="207"/>
      <c r="AZ164" s="207"/>
    </row>
    <row r="165" spans="3:52" s="49" customFormat="1" ht="15.75" x14ac:dyDescent="0.25">
      <c r="C165" s="48"/>
      <c r="D165" s="60"/>
      <c r="E165" s="60"/>
      <c r="F165" s="60"/>
      <c r="G165" s="50"/>
      <c r="H165" s="61"/>
      <c r="I165" s="61"/>
      <c r="J165" s="61"/>
      <c r="K165" s="61"/>
      <c r="L165" s="61"/>
      <c r="M165" s="44"/>
      <c r="N165" s="44"/>
      <c r="O165" s="44"/>
      <c r="P165" s="44"/>
      <c r="Q165" s="64"/>
      <c r="R165" s="64"/>
      <c r="V165" s="207"/>
      <c r="AF165" s="207"/>
      <c r="AP165" s="207"/>
      <c r="AZ165" s="207"/>
    </row>
    <row r="166" spans="3:52" s="49" customFormat="1" ht="15.75" x14ac:dyDescent="0.25">
      <c r="C166" s="48"/>
      <c r="D166" s="60"/>
      <c r="E166" s="60"/>
      <c r="F166" s="60"/>
      <c r="G166" s="50"/>
      <c r="H166" s="61"/>
      <c r="I166" s="61"/>
      <c r="J166" s="61"/>
      <c r="K166" s="61"/>
      <c r="L166" s="61"/>
      <c r="M166" s="44"/>
      <c r="N166" s="44"/>
      <c r="O166" s="44"/>
      <c r="P166" s="44"/>
      <c r="Q166" s="64"/>
      <c r="R166" s="64"/>
      <c r="V166" s="207"/>
      <c r="AF166" s="207"/>
      <c r="AP166" s="207"/>
      <c r="AZ166" s="207"/>
    </row>
    <row r="167" spans="3:52" s="49" customFormat="1" ht="15.75" x14ac:dyDescent="0.25">
      <c r="C167" s="48"/>
      <c r="D167" s="60"/>
      <c r="E167" s="60"/>
      <c r="F167" s="60"/>
      <c r="G167" s="50"/>
      <c r="H167" s="61"/>
      <c r="I167" s="61"/>
      <c r="J167" s="61"/>
      <c r="K167" s="61"/>
      <c r="L167" s="61"/>
      <c r="M167" s="44"/>
      <c r="N167" s="44"/>
      <c r="O167" s="44"/>
      <c r="P167" s="44"/>
      <c r="Q167" s="64"/>
      <c r="R167" s="64"/>
      <c r="V167" s="207"/>
      <c r="AF167" s="207"/>
      <c r="AP167" s="207"/>
      <c r="AZ167" s="207"/>
    </row>
    <row r="168" spans="3:52" s="49" customFormat="1" ht="15.75" x14ac:dyDescent="0.25">
      <c r="C168" s="48"/>
      <c r="D168" s="60"/>
      <c r="E168" s="60"/>
      <c r="F168" s="60"/>
      <c r="G168" s="50"/>
      <c r="H168" s="61"/>
      <c r="I168" s="61"/>
      <c r="J168" s="61"/>
      <c r="K168" s="61"/>
      <c r="L168" s="61"/>
      <c r="M168" s="44"/>
      <c r="N168" s="44"/>
      <c r="O168" s="44"/>
      <c r="P168" s="44"/>
      <c r="Q168" s="64"/>
      <c r="R168" s="64"/>
      <c r="V168" s="207"/>
      <c r="AF168" s="207"/>
      <c r="AP168" s="207"/>
      <c r="AZ168" s="207"/>
    </row>
    <row r="169" spans="3:52" s="49" customFormat="1" ht="15.75" x14ac:dyDescent="0.25">
      <c r="C169" s="48"/>
      <c r="D169" s="60"/>
      <c r="E169" s="60"/>
      <c r="F169" s="60"/>
      <c r="G169" s="50"/>
      <c r="H169" s="61"/>
      <c r="I169" s="61"/>
      <c r="J169" s="61"/>
      <c r="K169" s="61"/>
      <c r="L169" s="61"/>
      <c r="M169" s="44"/>
      <c r="N169" s="44"/>
      <c r="O169" s="44"/>
      <c r="P169" s="44"/>
      <c r="Q169" s="64"/>
      <c r="R169" s="64"/>
      <c r="V169" s="207"/>
      <c r="AF169" s="207"/>
      <c r="AP169" s="207"/>
      <c r="AZ169" s="207"/>
    </row>
    <row r="170" spans="3:52" s="49" customFormat="1" ht="15.75" x14ac:dyDescent="0.25">
      <c r="C170" s="48"/>
      <c r="D170" s="60"/>
      <c r="E170" s="60"/>
      <c r="F170" s="60"/>
      <c r="G170" s="50"/>
      <c r="H170" s="61"/>
      <c r="I170" s="61"/>
      <c r="J170" s="61"/>
      <c r="K170" s="61"/>
      <c r="L170" s="61"/>
      <c r="M170" s="44"/>
      <c r="N170" s="44"/>
      <c r="O170" s="44"/>
      <c r="P170" s="44"/>
      <c r="Q170" s="64"/>
      <c r="R170" s="64"/>
      <c r="V170" s="207"/>
      <c r="AF170" s="207"/>
      <c r="AP170" s="207"/>
      <c r="AZ170" s="207"/>
    </row>
    <row r="171" spans="3:52" s="49" customFormat="1" ht="15.75" x14ac:dyDescent="0.25">
      <c r="C171" s="48"/>
      <c r="D171" s="60"/>
      <c r="E171" s="60"/>
      <c r="F171" s="60"/>
      <c r="G171" s="50"/>
      <c r="H171" s="61"/>
      <c r="I171" s="61"/>
      <c r="J171" s="61"/>
      <c r="K171" s="61"/>
      <c r="L171" s="61"/>
      <c r="M171" s="44"/>
      <c r="N171" s="44"/>
      <c r="O171" s="44"/>
      <c r="P171" s="44"/>
      <c r="Q171" s="64"/>
      <c r="R171" s="64"/>
      <c r="V171" s="207"/>
      <c r="AF171" s="207"/>
      <c r="AP171" s="207"/>
      <c r="AZ171" s="207"/>
    </row>
    <row r="172" spans="3:52" s="49" customFormat="1" ht="15.75" x14ac:dyDescent="0.25">
      <c r="C172" s="48"/>
      <c r="D172" s="60"/>
      <c r="E172" s="60"/>
      <c r="F172" s="60"/>
      <c r="G172" s="50"/>
      <c r="H172" s="61"/>
      <c r="I172" s="61"/>
      <c r="J172" s="61"/>
      <c r="K172" s="61"/>
      <c r="L172" s="61"/>
      <c r="M172" s="44"/>
      <c r="N172" s="44"/>
      <c r="O172" s="44"/>
      <c r="P172" s="44"/>
      <c r="Q172" s="64"/>
      <c r="R172" s="64"/>
      <c r="V172" s="207"/>
      <c r="AF172" s="207"/>
      <c r="AP172" s="207"/>
      <c r="AZ172" s="207"/>
    </row>
    <row r="173" spans="3:52" s="49" customFormat="1" ht="15.75" x14ac:dyDescent="0.25">
      <c r="C173" s="48"/>
      <c r="D173" s="60"/>
      <c r="E173" s="60"/>
      <c r="F173" s="60"/>
      <c r="G173" s="50"/>
      <c r="H173" s="61"/>
      <c r="I173" s="61"/>
      <c r="J173" s="61"/>
      <c r="K173" s="61"/>
      <c r="L173" s="61"/>
      <c r="M173" s="44"/>
      <c r="N173" s="44"/>
      <c r="O173" s="44"/>
      <c r="P173" s="44"/>
      <c r="Q173" s="64"/>
      <c r="R173" s="64"/>
      <c r="V173" s="207"/>
      <c r="AF173" s="207"/>
      <c r="AP173" s="207"/>
      <c r="AZ173" s="207"/>
    </row>
    <row r="174" spans="3:52" s="49" customFormat="1" ht="15.75" x14ac:dyDescent="0.25">
      <c r="C174" s="48"/>
      <c r="D174" s="60"/>
      <c r="E174" s="60"/>
      <c r="F174" s="60"/>
      <c r="G174" s="50"/>
      <c r="H174" s="61"/>
      <c r="I174" s="61"/>
      <c r="J174" s="61"/>
      <c r="K174" s="61"/>
      <c r="L174" s="61"/>
      <c r="M174" s="44"/>
      <c r="N174" s="44"/>
      <c r="O174" s="44"/>
      <c r="P174" s="44"/>
      <c r="Q174" s="64"/>
      <c r="R174" s="64"/>
      <c r="V174" s="207"/>
      <c r="AF174" s="207"/>
      <c r="AP174" s="207"/>
      <c r="AZ174" s="207"/>
    </row>
    <row r="175" spans="3:52" s="49" customFormat="1" ht="15.75" x14ac:dyDescent="0.25">
      <c r="C175" s="48"/>
      <c r="D175" s="60"/>
      <c r="E175" s="60"/>
      <c r="F175" s="60"/>
      <c r="G175" s="50"/>
      <c r="H175" s="61"/>
      <c r="I175" s="61"/>
      <c r="J175" s="61"/>
      <c r="K175" s="61"/>
      <c r="L175" s="61"/>
      <c r="M175" s="44"/>
      <c r="N175" s="44"/>
      <c r="O175" s="44"/>
      <c r="P175" s="44"/>
      <c r="Q175" s="64"/>
      <c r="R175" s="64"/>
      <c r="V175" s="207"/>
      <c r="AF175" s="207"/>
      <c r="AP175" s="207"/>
      <c r="AZ175" s="207"/>
    </row>
    <row r="176" spans="3:52" s="49" customFormat="1" ht="15.75" x14ac:dyDescent="0.25">
      <c r="C176" s="48"/>
      <c r="D176" s="60"/>
      <c r="E176" s="60"/>
      <c r="F176" s="60"/>
      <c r="G176" s="50"/>
      <c r="H176" s="61"/>
      <c r="I176" s="61"/>
      <c r="J176" s="61"/>
      <c r="K176" s="61"/>
      <c r="L176" s="61"/>
      <c r="M176" s="44"/>
      <c r="N176" s="44"/>
      <c r="O176" s="44"/>
      <c r="P176" s="44"/>
      <c r="Q176" s="64"/>
      <c r="R176" s="64"/>
      <c r="V176" s="207"/>
      <c r="AF176" s="207"/>
      <c r="AP176" s="207"/>
      <c r="AZ176" s="207"/>
    </row>
    <row r="177" spans="3:52" s="49" customFormat="1" ht="15.75" x14ac:dyDescent="0.25">
      <c r="C177" s="48"/>
      <c r="D177" s="60"/>
      <c r="E177" s="60"/>
      <c r="F177" s="60"/>
      <c r="G177" s="50"/>
      <c r="H177" s="61"/>
      <c r="I177" s="61"/>
      <c r="J177" s="61"/>
      <c r="K177" s="61"/>
      <c r="L177" s="61"/>
      <c r="M177" s="44"/>
      <c r="N177" s="44"/>
      <c r="O177" s="44"/>
      <c r="P177" s="44"/>
      <c r="Q177" s="64"/>
      <c r="R177" s="64"/>
      <c r="V177" s="207"/>
      <c r="AF177" s="207"/>
      <c r="AP177" s="207"/>
      <c r="AZ177" s="207"/>
    </row>
    <row r="178" spans="3:52" s="49" customFormat="1" ht="15.75" x14ac:dyDescent="0.25">
      <c r="C178" s="48"/>
      <c r="D178" s="60"/>
      <c r="E178" s="60"/>
      <c r="F178" s="60"/>
      <c r="G178" s="50"/>
      <c r="H178" s="61"/>
      <c r="I178" s="61"/>
      <c r="J178" s="61"/>
      <c r="K178" s="61"/>
      <c r="L178" s="61"/>
      <c r="M178" s="44"/>
      <c r="N178" s="44"/>
      <c r="O178" s="44"/>
      <c r="P178" s="44"/>
      <c r="Q178" s="64"/>
      <c r="R178" s="64"/>
      <c r="V178" s="207"/>
      <c r="AF178" s="207"/>
      <c r="AP178" s="207"/>
      <c r="AZ178" s="207"/>
    </row>
    <row r="179" spans="3:52" s="49" customFormat="1" ht="15.75" x14ac:dyDescent="0.25">
      <c r="C179" s="48"/>
      <c r="D179" s="60"/>
      <c r="E179" s="60"/>
      <c r="F179" s="60"/>
      <c r="G179" s="50"/>
      <c r="H179" s="61"/>
      <c r="I179" s="61"/>
      <c r="J179" s="61"/>
      <c r="K179" s="61"/>
      <c r="L179" s="61"/>
      <c r="M179" s="44"/>
      <c r="N179" s="44"/>
      <c r="O179" s="44"/>
      <c r="P179" s="44"/>
      <c r="Q179" s="64"/>
      <c r="R179" s="64"/>
      <c r="V179" s="207"/>
      <c r="AF179" s="207"/>
      <c r="AP179" s="207"/>
      <c r="AZ179" s="207"/>
    </row>
    <row r="180" spans="3:52" s="49" customFormat="1" ht="15.75" x14ac:dyDescent="0.25">
      <c r="C180" s="48"/>
      <c r="D180" s="60"/>
      <c r="E180" s="60"/>
      <c r="F180" s="60"/>
      <c r="G180" s="50"/>
      <c r="H180" s="61"/>
      <c r="I180" s="61"/>
      <c r="J180" s="61"/>
      <c r="K180" s="61"/>
      <c r="L180" s="61"/>
      <c r="M180" s="44"/>
      <c r="N180" s="44"/>
      <c r="O180" s="44"/>
      <c r="P180" s="44"/>
      <c r="Q180" s="64"/>
      <c r="R180" s="64"/>
      <c r="V180" s="207"/>
      <c r="AF180" s="207"/>
      <c r="AP180" s="207"/>
      <c r="AZ180" s="207"/>
    </row>
    <row r="181" spans="3:52" s="49" customFormat="1" ht="15.75" x14ac:dyDescent="0.25">
      <c r="C181" s="48"/>
      <c r="D181" s="60"/>
      <c r="E181" s="60"/>
      <c r="F181" s="60"/>
      <c r="G181" s="50"/>
      <c r="H181" s="61"/>
      <c r="I181" s="61"/>
      <c r="J181" s="61"/>
      <c r="K181" s="61"/>
      <c r="L181" s="61"/>
      <c r="M181" s="44"/>
      <c r="N181" s="44"/>
      <c r="O181" s="44"/>
      <c r="P181" s="44"/>
      <c r="Q181" s="64"/>
      <c r="R181" s="64"/>
      <c r="V181" s="207"/>
      <c r="AF181" s="207"/>
      <c r="AP181" s="207"/>
      <c r="AZ181" s="207"/>
    </row>
    <row r="182" spans="3:52" s="49" customFormat="1" ht="15.75" x14ac:dyDescent="0.25">
      <c r="C182" s="48"/>
      <c r="D182" s="60"/>
      <c r="E182" s="60"/>
      <c r="F182" s="60"/>
      <c r="G182" s="50"/>
      <c r="H182" s="61"/>
      <c r="I182" s="61"/>
      <c r="J182" s="61"/>
      <c r="K182" s="61"/>
      <c r="L182" s="61"/>
      <c r="M182" s="44"/>
      <c r="N182" s="44"/>
      <c r="O182" s="44"/>
      <c r="P182" s="44"/>
      <c r="Q182" s="64"/>
      <c r="R182" s="64"/>
      <c r="V182" s="207"/>
      <c r="AF182" s="207"/>
      <c r="AP182" s="207"/>
      <c r="AZ182" s="207"/>
    </row>
    <row r="183" spans="3:52" s="49" customFormat="1" ht="15.75" x14ac:dyDescent="0.25">
      <c r="C183" s="48"/>
      <c r="D183" s="60"/>
      <c r="E183" s="60"/>
      <c r="F183" s="60"/>
      <c r="G183" s="50"/>
      <c r="H183" s="61"/>
      <c r="I183" s="61"/>
      <c r="J183" s="61"/>
      <c r="K183" s="61"/>
      <c r="L183" s="61"/>
      <c r="M183" s="44"/>
      <c r="N183" s="44"/>
      <c r="O183" s="44"/>
      <c r="P183" s="44"/>
      <c r="Q183" s="64"/>
      <c r="R183" s="64"/>
      <c r="V183" s="207"/>
      <c r="AF183" s="207"/>
      <c r="AP183" s="207"/>
      <c r="AZ183" s="207"/>
    </row>
    <row r="184" spans="3:52" s="49" customFormat="1" ht="15.75" x14ac:dyDescent="0.25">
      <c r="C184" s="48"/>
      <c r="D184" s="60"/>
      <c r="E184" s="60"/>
      <c r="F184" s="60"/>
      <c r="G184" s="50"/>
      <c r="H184" s="61"/>
      <c r="I184" s="61"/>
      <c r="J184" s="61"/>
      <c r="K184" s="61"/>
      <c r="L184" s="61"/>
      <c r="M184" s="44"/>
      <c r="N184" s="44"/>
      <c r="O184" s="44"/>
      <c r="P184" s="44"/>
      <c r="Q184" s="64"/>
      <c r="R184" s="64"/>
      <c r="V184" s="207"/>
      <c r="AF184" s="207"/>
      <c r="AP184" s="207"/>
      <c r="AZ184" s="207"/>
    </row>
    <row r="185" spans="3:52" s="49" customFormat="1" ht="15.75" x14ac:dyDescent="0.25">
      <c r="C185" s="48"/>
      <c r="D185" s="60"/>
      <c r="E185" s="60"/>
      <c r="F185" s="60"/>
      <c r="G185" s="50"/>
      <c r="H185" s="61"/>
      <c r="I185" s="61"/>
      <c r="J185" s="61"/>
      <c r="K185" s="61"/>
      <c r="L185" s="61"/>
      <c r="M185" s="44"/>
      <c r="N185" s="44"/>
      <c r="O185" s="44"/>
      <c r="P185" s="44"/>
      <c r="Q185" s="64"/>
      <c r="R185" s="64"/>
      <c r="V185" s="207"/>
      <c r="AF185" s="207"/>
      <c r="AP185" s="207"/>
      <c r="AZ185" s="207"/>
    </row>
    <row r="186" spans="3:52" s="49" customFormat="1" ht="15.75" x14ac:dyDescent="0.25">
      <c r="C186" s="48"/>
      <c r="D186" s="60"/>
      <c r="E186" s="60"/>
      <c r="F186" s="60"/>
      <c r="G186" s="50"/>
      <c r="H186" s="61"/>
      <c r="I186" s="61"/>
      <c r="J186" s="61"/>
      <c r="K186" s="61"/>
      <c r="L186" s="61"/>
      <c r="M186" s="44"/>
      <c r="N186" s="44"/>
      <c r="O186" s="44"/>
      <c r="P186" s="44"/>
      <c r="Q186" s="64"/>
      <c r="R186" s="64"/>
      <c r="V186" s="207"/>
      <c r="AF186" s="207"/>
      <c r="AP186" s="207"/>
      <c r="AZ186" s="207"/>
    </row>
    <row r="187" spans="3:52" s="49" customFormat="1" ht="15.75" x14ac:dyDescent="0.25">
      <c r="C187" s="48"/>
      <c r="D187" s="60"/>
      <c r="E187" s="60"/>
      <c r="F187" s="60"/>
      <c r="G187" s="50"/>
      <c r="H187" s="61"/>
      <c r="I187" s="61"/>
      <c r="J187" s="61"/>
      <c r="K187" s="61"/>
      <c r="L187" s="61"/>
      <c r="M187" s="44"/>
      <c r="N187" s="44"/>
      <c r="O187" s="44"/>
      <c r="P187" s="44"/>
      <c r="Q187" s="64"/>
      <c r="R187" s="64"/>
      <c r="V187" s="207"/>
      <c r="AF187" s="207"/>
      <c r="AP187" s="207"/>
      <c r="AZ187" s="207"/>
    </row>
    <row r="188" spans="3:52" s="49" customFormat="1" ht="15.75" x14ac:dyDescent="0.25">
      <c r="C188" s="48"/>
      <c r="D188" s="60"/>
      <c r="E188" s="60"/>
      <c r="F188" s="60"/>
      <c r="G188" s="50"/>
      <c r="H188" s="61"/>
      <c r="I188" s="61"/>
      <c r="J188" s="61"/>
      <c r="K188" s="61"/>
      <c r="L188" s="61"/>
      <c r="M188" s="44"/>
      <c r="N188" s="44"/>
      <c r="O188" s="44"/>
      <c r="P188" s="44"/>
      <c r="Q188" s="64"/>
      <c r="R188" s="64"/>
      <c r="V188" s="207"/>
      <c r="AF188" s="207"/>
      <c r="AP188" s="207"/>
      <c r="AZ188" s="207"/>
    </row>
    <row r="189" spans="3:52" s="49" customFormat="1" ht="15.75" x14ac:dyDescent="0.25">
      <c r="C189" s="48"/>
      <c r="D189" s="60"/>
      <c r="E189" s="60"/>
      <c r="F189" s="60"/>
      <c r="G189" s="50"/>
      <c r="H189" s="61"/>
      <c r="I189" s="61"/>
      <c r="J189" s="61"/>
      <c r="K189" s="61"/>
      <c r="L189" s="61"/>
      <c r="M189" s="44"/>
      <c r="N189" s="44"/>
      <c r="O189" s="44"/>
      <c r="P189" s="44"/>
      <c r="Q189" s="64"/>
      <c r="R189" s="64"/>
      <c r="V189" s="207"/>
      <c r="AF189" s="207"/>
      <c r="AP189" s="207"/>
      <c r="AZ189" s="207"/>
    </row>
    <row r="190" spans="3:52" s="49" customFormat="1" ht="15.75" x14ac:dyDescent="0.25">
      <c r="C190" s="48"/>
      <c r="D190" s="60"/>
      <c r="E190" s="60"/>
      <c r="F190" s="60"/>
      <c r="G190" s="50"/>
      <c r="H190" s="61"/>
      <c r="I190" s="61"/>
      <c r="J190" s="61"/>
      <c r="K190" s="61"/>
      <c r="L190" s="61"/>
      <c r="M190" s="44"/>
      <c r="N190" s="44"/>
      <c r="O190" s="44"/>
      <c r="P190" s="44"/>
      <c r="Q190" s="64"/>
      <c r="R190" s="64"/>
      <c r="V190" s="207"/>
      <c r="AF190" s="207"/>
      <c r="AP190" s="207"/>
      <c r="AZ190" s="207"/>
    </row>
    <row r="191" spans="3:52" s="49" customFormat="1" ht="15.75" x14ac:dyDescent="0.25">
      <c r="C191" s="48"/>
      <c r="D191" s="60"/>
      <c r="E191" s="60"/>
      <c r="F191" s="60"/>
      <c r="G191" s="50"/>
      <c r="H191" s="61"/>
      <c r="I191" s="61"/>
      <c r="J191" s="61"/>
      <c r="K191" s="61"/>
      <c r="L191" s="61"/>
      <c r="M191" s="44"/>
      <c r="N191" s="44"/>
      <c r="O191" s="44"/>
      <c r="P191" s="44"/>
      <c r="Q191" s="64"/>
      <c r="R191" s="64"/>
      <c r="V191" s="207"/>
      <c r="AF191" s="207"/>
      <c r="AP191" s="207"/>
      <c r="AZ191" s="207"/>
    </row>
    <row r="192" spans="3:52" s="49" customFormat="1" ht="15.75" x14ac:dyDescent="0.25">
      <c r="C192" s="48"/>
      <c r="D192" s="60"/>
      <c r="E192" s="60"/>
      <c r="F192" s="60"/>
      <c r="G192" s="50"/>
      <c r="H192" s="61"/>
      <c r="I192" s="61"/>
      <c r="J192" s="61"/>
      <c r="K192" s="61"/>
      <c r="L192" s="61"/>
      <c r="M192" s="44"/>
      <c r="N192" s="44"/>
      <c r="O192" s="44"/>
      <c r="P192" s="44"/>
      <c r="Q192" s="64"/>
      <c r="R192" s="64"/>
      <c r="V192" s="207"/>
      <c r="AF192" s="207"/>
      <c r="AP192" s="207"/>
      <c r="AZ192" s="207"/>
    </row>
    <row r="193" spans="3:52" s="49" customFormat="1" ht="15.75" x14ac:dyDescent="0.25">
      <c r="C193" s="48"/>
      <c r="D193" s="60"/>
      <c r="E193" s="60"/>
      <c r="F193" s="60"/>
      <c r="G193" s="50"/>
      <c r="H193" s="61"/>
      <c r="I193" s="61"/>
      <c r="J193" s="61"/>
      <c r="K193" s="61"/>
      <c r="L193" s="61"/>
      <c r="M193" s="44"/>
      <c r="N193" s="44"/>
      <c r="O193" s="44"/>
      <c r="P193" s="44"/>
      <c r="Q193" s="64"/>
      <c r="R193" s="64"/>
      <c r="V193" s="207"/>
      <c r="AF193" s="207"/>
      <c r="AP193" s="207"/>
      <c r="AZ193" s="207"/>
    </row>
    <row r="194" spans="3:52" s="49" customFormat="1" ht="15.75" x14ac:dyDescent="0.25">
      <c r="C194" s="48"/>
      <c r="D194" s="60"/>
      <c r="E194" s="60"/>
      <c r="F194" s="60"/>
      <c r="G194" s="50"/>
      <c r="H194" s="61"/>
      <c r="I194" s="61"/>
      <c r="J194" s="61"/>
      <c r="K194" s="61"/>
      <c r="L194" s="61"/>
      <c r="M194" s="44"/>
      <c r="N194" s="44"/>
      <c r="O194" s="44"/>
      <c r="P194" s="44"/>
      <c r="Q194" s="64"/>
      <c r="R194" s="64"/>
      <c r="V194" s="207"/>
      <c r="AF194" s="207"/>
      <c r="AP194" s="207"/>
      <c r="AZ194" s="207"/>
    </row>
    <row r="195" spans="3:52" s="49" customFormat="1" ht="15.75" x14ac:dyDescent="0.25">
      <c r="C195" s="48"/>
      <c r="D195" s="60"/>
      <c r="E195" s="60"/>
      <c r="F195" s="60"/>
      <c r="G195" s="50"/>
      <c r="H195" s="61"/>
      <c r="I195" s="61"/>
      <c r="J195" s="61"/>
      <c r="K195" s="61"/>
      <c r="L195" s="61"/>
      <c r="M195" s="44"/>
      <c r="N195" s="44"/>
      <c r="O195" s="44"/>
      <c r="P195" s="44"/>
      <c r="Q195" s="64"/>
      <c r="R195" s="64"/>
      <c r="V195" s="207"/>
      <c r="AF195" s="207"/>
      <c r="AP195" s="207"/>
      <c r="AZ195" s="207"/>
    </row>
    <row r="196" spans="3:52" s="49" customFormat="1" ht="15.75" x14ac:dyDescent="0.25">
      <c r="C196" s="48"/>
      <c r="D196" s="60"/>
      <c r="E196" s="60"/>
      <c r="F196" s="60"/>
      <c r="G196" s="50"/>
      <c r="H196" s="61"/>
      <c r="I196" s="61"/>
      <c r="J196" s="61"/>
      <c r="K196" s="61"/>
      <c r="L196" s="61"/>
      <c r="M196" s="44"/>
      <c r="N196" s="44"/>
      <c r="O196" s="44"/>
      <c r="P196" s="44"/>
      <c r="Q196" s="64"/>
      <c r="R196" s="64"/>
      <c r="V196" s="207"/>
      <c r="AF196" s="207"/>
      <c r="AP196" s="207"/>
      <c r="AZ196" s="207"/>
    </row>
    <row r="197" spans="3:52" s="49" customFormat="1" ht="15.75" x14ac:dyDescent="0.25">
      <c r="C197" s="48"/>
      <c r="D197" s="60"/>
      <c r="E197" s="60"/>
      <c r="F197" s="60"/>
      <c r="G197" s="50"/>
      <c r="H197" s="61"/>
      <c r="I197" s="61"/>
      <c r="J197" s="61"/>
      <c r="K197" s="61"/>
      <c r="L197" s="61"/>
      <c r="M197" s="44"/>
      <c r="N197" s="44"/>
      <c r="O197" s="44"/>
      <c r="P197" s="44"/>
      <c r="Q197" s="64"/>
      <c r="R197" s="64"/>
      <c r="V197" s="207"/>
      <c r="AF197" s="207"/>
      <c r="AP197" s="207"/>
      <c r="AZ197" s="207"/>
    </row>
    <row r="198" spans="3:52" s="49" customFormat="1" ht="15.75" x14ac:dyDescent="0.25">
      <c r="C198" s="48"/>
      <c r="D198" s="60"/>
      <c r="E198" s="60"/>
      <c r="F198" s="60"/>
      <c r="G198" s="50"/>
      <c r="H198" s="61"/>
      <c r="I198" s="61"/>
      <c r="J198" s="61"/>
      <c r="K198" s="61"/>
      <c r="L198" s="61"/>
      <c r="M198" s="44"/>
      <c r="N198" s="44"/>
      <c r="O198" s="44"/>
      <c r="P198" s="44"/>
      <c r="Q198" s="64"/>
      <c r="R198" s="64"/>
      <c r="V198" s="207"/>
      <c r="AF198" s="207"/>
      <c r="AP198" s="207"/>
      <c r="AZ198" s="207"/>
    </row>
    <row r="199" spans="3:52" s="49" customFormat="1" ht="15.75" x14ac:dyDescent="0.25">
      <c r="C199" s="48"/>
      <c r="D199" s="60"/>
      <c r="E199" s="60"/>
      <c r="F199" s="60"/>
      <c r="G199" s="50"/>
      <c r="H199" s="61"/>
      <c r="I199" s="61"/>
      <c r="J199" s="61"/>
      <c r="K199" s="61"/>
      <c r="L199" s="61"/>
      <c r="M199" s="44"/>
      <c r="N199" s="44"/>
      <c r="O199" s="44"/>
      <c r="P199" s="44"/>
      <c r="Q199" s="64"/>
      <c r="R199" s="64"/>
      <c r="V199" s="207"/>
      <c r="AF199" s="207"/>
      <c r="AP199" s="207"/>
      <c r="AZ199" s="207"/>
    </row>
    <row r="200" spans="3:52" s="49" customFormat="1" ht="15.75" x14ac:dyDescent="0.25">
      <c r="C200" s="48"/>
      <c r="D200" s="60"/>
      <c r="E200" s="60"/>
      <c r="F200" s="60"/>
      <c r="G200" s="50"/>
      <c r="H200" s="61"/>
      <c r="I200" s="61"/>
      <c r="J200" s="61"/>
      <c r="K200" s="61"/>
      <c r="L200" s="61"/>
      <c r="M200" s="44"/>
      <c r="N200" s="44"/>
      <c r="O200" s="44"/>
      <c r="P200" s="44"/>
      <c r="Q200" s="64"/>
      <c r="R200" s="64"/>
      <c r="V200" s="207"/>
      <c r="AF200" s="207"/>
      <c r="AP200" s="207"/>
      <c r="AZ200" s="207"/>
    </row>
    <row r="201" spans="3:52" s="49" customFormat="1" ht="15.75" x14ac:dyDescent="0.25">
      <c r="C201" s="48"/>
      <c r="D201" s="60"/>
      <c r="E201" s="60"/>
      <c r="F201" s="60"/>
      <c r="G201" s="50"/>
      <c r="H201" s="61"/>
      <c r="I201" s="61"/>
      <c r="J201" s="61"/>
      <c r="K201" s="61"/>
      <c r="L201" s="61"/>
      <c r="M201" s="44"/>
      <c r="N201" s="44"/>
      <c r="O201" s="44"/>
      <c r="P201" s="44"/>
      <c r="Q201" s="64"/>
      <c r="R201" s="64"/>
      <c r="V201" s="207"/>
      <c r="AF201" s="207"/>
      <c r="AP201" s="207"/>
      <c r="AZ201" s="207"/>
    </row>
    <row r="202" spans="3:52" s="49" customFormat="1" ht="15.75" x14ac:dyDescent="0.25">
      <c r="C202" s="48"/>
      <c r="D202" s="60"/>
      <c r="E202" s="60"/>
      <c r="F202" s="60"/>
      <c r="G202" s="50"/>
      <c r="H202" s="61"/>
      <c r="I202" s="61"/>
      <c r="J202" s="61"/>
      <c r="K202" s="61"/>
      <c r="L202" s="61"/>
      <c r="M202" s="44"/>
      <c r="N202" s="44"/>
      <c r="O202" s="44"/>
      <c r="P202" s="44"/>
      <c r="Q202" s="64"/>
      <c r="R202" s="64"/>
      <c r="V202" s="207"/>
      <c r="AF202" s="207"/>
      <c r="AP202" s="207"/>
      <c r="AZ202" s="207"/>
    </row>
    <row r="203" spans="3:52" s="49" customFormat="1" ht="15.75" x14ac:dyDescent="0.25">
      <c r="C203" s="48"/>
      <c r="D203" s="60"/>
      <c r="E203" s="60"/>
      <c r="F203" s="60"/>
      <c r="G203" s="50"/>
      <c r="H203" s="61"/>
      <c r="I203" s="61"/>
      <c r="J203" s="61"/>
      <c r="K203" s="61"/>
      <c r="L203" s="61"/>
      <c r="M203" s="44"/>
      <c r="N203" s="44"/>
      <c r="O203" s="44"/>
      <c r="P203" s="44"/>
      <c r="Q203" s="64"/>
      <c r="R203" s="64"/>
      <c r="V203" s="207"/>
      <c r="AF203" s="207"/>
      <c r="AP203" s="207"/>
      <c r="AZ203" s="207"/>
    </row>
    <row r="204" spans="3:52" s="49" customFormat="1" ht="15.75" x14ac:dyDescent="0.25">
      <c r="C204" s="48"/>
      <c r="D204" s="60"/>
      <c r="E204" s="60"/>
      <c r="F204" s="60"/>
      <c r="G204" s="50"/>
      <c r="H204" s="61"/>
      <c r="I204" s="61"/>
      <c r="J204" s="61"/>
      <c r="K204" s="61"/>
      <c r="L204" s="61"/>
      <c r="M204" s="44"/>
      <c r="N204" s="44"/>
      <c r="O204" s="44"/>
      <c r="P204" s="44"/>
      <c r="Q204" s="64"/>
      <c r="R204" s="64"/>
      <c r="V204" s="207"/>
      <c r="AF204" s="207"/>
      <c r="AP204" s="207"/>
      <c r="AZ204" s="207"/>
    </row>
    <row r="205" spans="3:52" s="49" customFormat="1" ht="15.75" x14ac:dyDescent="0.25">
      <c r="C205" s="48"/>
      <c r="D205" s="60"/>
      <c r="E205" s="60"/>
      <c r="F205" s="60"/>
      <c r="G205" s="50"/>
      <c r="H205" s="61"/>
      <c r="I205" s="61"/>
      <c r="J205" s="61"/>
      <c r="K205" s="61"/>
      <c r="L205" s="61"/>
      <c r="M205" s="44"/>
      <c r="N205" s="44"/>
      <c r="O205" s="44"/>
      <c r="P205" s="44"/>
      <c r="Q205" s="64"/>
      <c r="R205" s="64"/>
      <c r="V205" s="207"/>
      <c r="AF205" s="207"/>
      <c r="AP205" s="207"/>
      <c r="AZ205" s="207"/>
    </row>
    <row r="206" spans="3:52" s="49" customFormat="1" ht="15.75" x14ac:dyDescent="0.25">
      <c r="C206" s="48"/>
      <c r="D206" s="60"/>
      <c r="E206" s="60"/>
      <c r="F206" s="60"/>
      <c r="G206" s="50"/>
      <c r="H206" s="61"/>
      <c r="I206" s="61"/>
      <c r="J206" s="61"/>
      <c r="K206" s="61"/>
      <c r="L206" s="61"/>
      <c r="M206" s="44"/>
      <c r="N206" s="44"/>
      <c r="O206" s="44"/>
      <c r="P206" s="44"/>
      <c r="Q206" s="64"/>
      <c r="R206" s="64"/>
      <c r="V206" s="207"/>
      <c r="AF206" s="207"/>
      <c r="AP206" s="207"/>
      <c r="AZ206" s="207"/>
    </row>
    <row r="207" spans="3:52" s="49" customFormat="1" ht="15.75" x14ac:dyDescent="0.25">
      <c r="C207" s="48"/>
      <c r="D207" s="60"/>
      <c r="E207" s="60"/>
      <c r="F207" s="60"/>
      <c r="G207" s="50"/>
      <c r="H207" s="61"/>
      <c r="I207" s="61"/>
      <c r="J207" s="61"/>
      <c r="K207" s="61"/>
      <c r="L207" s="61"/>
      <c r="M207" s="44"/>
      <c r="N207" s="44"/>
      <c r="O207" s="44"/>
      <c r="P207" s="44"/>
      <c r="Q207" s="64"/>
      <c r="R207" s="64"/>
      <c r="V207" s="207"/>
      <c r="AF207" s="207"/>
      <c r="AP207" s="207"/>
      <c r="AZ207" s="207"/>
    </row>
    <row r="208" spans="3:52" s="49" customFormat="1" ht="15.75" x14ac:dyDescent="0.25">
      <c r="C208" s="48"/>
      <c r="D208" s="60"/>
      <c r="E208" s="60"/>
      <c r="F208" s="60"/>
      <c r="G208" s="50"/>
      <c r="H208" s="61"/>
      <c r="I208" s="61"/>
      <c r="J208" s="61"/>
      <c r="K208" s="61"/>
      <c r="L208" s="61"/>
      <c r="M208" s="44"/>
      <c r="N208" s="44"/>
      <c r="O208" s="44"/>
      <c r="P208" s="44"/>
      <c r="Q208" s="64"/>
      <c r="R208" s="64"/>
      <c r="V208" s="207"/>
      <c r="AF208" s="207"/>
      <c r="AP208" s="207"/>
      <c r="AZ208" s="207"/>
    </row>
    <row r="209" spans="3:52" s="49" customFormat="1" ht="15.75" x14ac:dyDescent="0.25">
      <c r="C209" s="48"/>
      <c r="D209" s="60"/>
      <c r="E209" s="60"/>
      <c r="F209" s="60"/>
      <c r="G209" s="50"/>
      <c r="H209" s="61"/>
      <c r="I209" s="61"/>
      <c r="J209" s="61"/>
      <c r="K209" s="61"/>
      <c r="L209" s="61"/>
      <c r="M209" s="44"/>
      <c r="N209" s="44"/>
      <c r="O209" s="44"/>
      <c r="P209" s="44"/>
      <c r="Q209" s="64"/>
      <c r="R209" s="64"/>
      <c r="V209" s="207"/>
      <c r="AF209" s="207"/>
      <c r="AP209" s="207"/>
      <c r="AZ209" s="207"/>
    </row>
    <row r="210" spans="3:52" s="49" customFormat="1" ht="15.75" x14ac:dyDescent="0.25">
      <c r="C210" s="48"/>
      <c r="D210" s="60"/>
      <c r="E210" s="60"/>
      <c r="F210" s="60"/>
      <c r="G210" s="50"/>
      <c r="H210" s="61"/>
      <c r="I210" s="61"/>
      <c r="J210" s="61"/>
      <c r="K210" s="61"/>
      <c r="L210" s="61"/>
      <c r="M210" s="44"/>
      <c r="N210" s="44"/>
      <c r="O210" s="44"/>
      <c r="P210" s="44"/>
      <c r="Q210" s="64"/>
      <c r="R210" s="64"/>
      <c r="V210" s="207"/>
      <c r="AF210" s="207"/>
      <c r="AP210" s="207"/>
      <c r="AZ210" s="207"/>
    </row>
    <row r="211" spans="3:52" s="49" customFormat="1" ht="15.75" x14ac:dyDescent="0.25">
      <c r="C211" s="48"/>
      <c r="D211" s="60"/>
      <c r="E211" s="60"/>
      <c r="F211" s="60"/>
      <c r="G211" s="50"/>
      <c r="H211" s="61"/>
      <c r="I211" s="61"/>
      <c r="J211" s="61"/>
      <c r="K211" s="61"/>
      <c r="L211" s="61"/>
      <c r="M211" s="44"/>
      <c r="N211" s="44"/>
      <c r="O211" s="44"/>
      <c r="P211" s="44"/>
      <c r="Q211" s="64"/>
      <c r="R211" s="64"/>
      <c r="V211" s="207"/>
      <c r="AF211" s="207"/>
      <c r="AP211" s="207"/>
      <c r="AZ211" s="207"/>
    </row>
    <row r="212" spans="3:52" s="49" customFormat="1" ht="15.75" x14ac:dyDescent="0.25">
      <c r="C212" s="48"/>
      <c r="D212" s="60"/>
      <c r="E212" s="60"/>
      <c r="F212" s="60"/>
      <c r="G212" s="50"/>
      <c r="H212" s="61"/>
      <c r="I212" s="61"/>
      <c r="J212" s="61"/>
      <c r="K212" s="61"/>
      <c r="L212" s="61"/>
      <c r="M212" s="44"/>
      <c r="N212" s="44"/>
      <c r="O212" s="44"/>
      <c r="P212" s="44"/>
      <c r="Q212" s="64"/>
      <c r="R212" s="64"/>
      <c r="V212" s="207"/>
      <c r="AF212" s="207"/>
      <c r="AP212" s="207"/>
      <c r="AZ212" s="207"/>
    </row>
    <row r="213" spans="3:52" s="49" customFormat="1" ht="15.75" x14ac:dyDescent="0.25">
      <c r="C213" s="48"/>
      <c r="D213" s="60"/>
      <c r="E213" s="60"/>
      <c r="F213" s="60"/>
      <c r="G213" s="50"/>
      <c r="H213" s="61"/>
      <c r="I213" s="61"/>
      <c r="J213" s="61"/>
      <c r="K213" s="61"/>
      <c r="L213" s="61"/>
      <c r="M213" s="44"/>
      <c r="N213" s="44"/>
      <c r="O213" s="44"/>
      <c r="P213" s="44"/>
      <c r="Q213" s="64"/>
      <c r="R213" s="64"/>
      <c r="V213" s="207"/>
      <c r="AF213" s="207"/>
      <c r="AP213" s="207"/>
      <c r="AZ213" s="207"/>
    </row>
    <row r="214" spans="3:52" s="49" customFormat="1" ht="15.75" x14ac:dyDescent="0.25">
      <c r="C214" s="48"/>
      <c r="D214" s="60"/>
      <c r="E214" s="60"/>
      <c r="F214" s="60"/>
      <c r="G214" s="50"/>
      <c r="H214" s="61"/>
      <c r="I214" s="61"/>
      <c r="J214" s="61"/>
      <c r="K214" s="61"/>
      <c r="L214" s="61"/>
      <c r="M214" s="44"/>
      <c r="N214" s="44"/>
      <c r="O214" s="44"/>
      <c r="P214" s="44"/>
      <c r="Q214" s="64"/>
      <c r="R214" s="64"/>
      <c r="V214" s="207"/>
      <c r="AF214" s="207"/>
      <c r="AP214" s="207"/>
      <c r="AZ214" s="207"/>
    </row>
    <row r="215" spans="3:52" s="49" customFormat="1" ht="15.75" x14ac:dyDescent="0.25">
      <c r="C215" s="48"/>
      <c r="D215" s="60"/>
      <c r="E215" s="60"/>
      <c r="F215" s="60"/>
      <c r="G215" s="50"/>
      <c r="H215" s="61"/>
      <c r="I215" s="61"/>
      <c r="J215" s="61"/>
      <c r="K215" s="61"/>
      <c r="L215" s="61"/>
      <c r="M215" s="44"/>
      <c r="N215" s="44"/>
      <c r="O215" s="44"/>
      <c r="P215" s="44"/>
      <c r="Q215" s="64"/>
      <c r="R215" s="64"/>
      <c r="V215" s="207"/>
      <c r="AF215" s="207"/>
      <c r="AP215" s="207"/>
      <c r="AZ215" s="207"/>
    </row>
    <row r="216" spans="3:52" s="49" customFormat="1" ht="15.75" x14ac:dyDescent="0.25">
      <c r="C216" s="48"/>
      <c r="D216" s="60"/>
      <c r="E216" s="60"/>
      <c r="F216" s="60"/>
      <c r="G216" s="50"/>
      <c r="H216" s="61"/>
      <c r="I216" s="61"/>
      <c r="J216" s="61"/>
      <c r="K216" s="61"/>
      <c r="L216" s="61"/>
      <c r="M216" s="44"/>
      <c r="N216" s="44"/>
      <c r="O216" s="44"/>
      <c r="P216" s="44"/>
      <c r="Q216" s="64"/>
      <c r="R216" s="64"/>
      <c r="V216" s="207"/>
      <c r="AF216" s="207"/>
      <c r="AP216" s="207"/>
      <c r="AZ216" s="207"/>
    </row>
    <row r="217" spans="3:52" s="49" customFormat="1" ht="15.75" x14ac:dyDescent="0.25">
      <c r="C217" s="48"/>
      <c r="D217" s="60"/>
      <c r="E217" s="60"/>
      <c r="F217" s="60"/>
      <c r="G217" s="50"/>
      <c r="H217" s="61"/>
      <c r="I217" s="61"/>
      <c r="J217" s="61"/>
      <c r="K217" s="61"/>
      <c r="L217" s="61"/>
      <c r="M217" s="44"/>
      <c r="N217" s="44"/>
      <c r="O217" s="44"/>
      <c r="P217" s="44"/>
      <c r="Q217" s="64"/>
      <c r="R217" s="64"/>
      <c r="V217" s="207"/>
      <c r="AF217" s="207"/>
      <c r="AP217" s="207"/>
      <c r="AZ217" s="207"/>
    </row>
    <row r="218" spans="3:52" s="49" customFormat="1" ht="15.75" x14ac:dyDescent="0.25">
      <c r="C218" s="48"/>
      <c r="D218" s="60"/>
      <c r="E218" s="60"/>
      <c r="F218" s="60"/>
      <c r="G218" s="50"/>
      <c r="H218" s="61"/>
      <c r="I218" s="61"/>
      <c r="J218" s="61"/>
      <c r="K218" s="61"/>
      <c r="L218" s="61"/>
      <c r="M218" s="44"/>
      <c r="N218" s="44"/>
      <c r="O218" s="44"/>
      <c r="P218" s="44"/>
      <c r="Q218" s="64"/>
      <c r="R218" s="64"/>
      <c r="V218" s="207"/>
      <c r="AF218" s="207"/>
      <c r="AP218" s="207"/>
      <c r="AZ218" s="207"/>
    </row>
    <row r="219" spans="3:52" s="49" customFormat="1" ht="15.75" x14ac:dyDescent="0.25">
      <c r="C219" s="48"/>
      <c r="D219" s="60"/>
      <c r="E219" s="60"/>
      <c r="F219" s="60"/>
      <c r="G219" s="50"/>
      <c r="H219" s="61"/>
      <c r="I219" s="61"/>
      <c r="J219" s="61"/>
      <c r="K219" s="61"/>
      <c r="L219" s="61"/>
      <c r="M219" s="44"/>
      <c r="N219" s="44"/>
      <c r="O219" s="44"/>
      <c r="P219" s="44"/>
      <c r="Q219" s="64"/>
      <c r="R219" s="64"/>
      <c r="V219" s="207"/>
      <c r="AF219" s="207"/>
      <c r="AP219" s="207"/>
      <c r="AZ219" s="207"/>
    </row>
    <row r="220" spans="3:52" s="49" customFormat="1" ht="15.75" x14ac:dyDescent="0.25">
      <c r="C220" s="48"/>
      <c r="D220" s="60"/>
      <c r="E220" s="60"/>
      <c r="F220" s="60"/>
      <c r="G220" s="50"/>
      <c r="H220" s="61"/>
      <c r="I220" s="61"/>
      <c r="J220" s="61"/>
      <c r="K220" s="61"/>
      <c r="L220" s="61"/>
      <c r="M220" s="44"/>
      <c r="N220" s="44"/>
      <c r="O220" s="44"/>
      <c r="P220" s="44"/>
      <c r="Q220" s="64"/>
      <c r="R220" s="64"/>
      <c r="V220" s="207"/>
      <c r="AF220" s="207"/>
      <c r="AP220" s="207"/>
      <c r="AZ220" s="207"/>
    </row>
    <row r="221" spans="3:52" s="49" customFormat="1" ht="15.75" x14ac:dyDescent="0.25">
      <c r="C221" s="48"/>
      <c r="D221" s="60"/>
      <c r="E221" s="60"/>
      <c r="F221" s="60"/>
      <c r="G221" s="50"/>
      <c r="H221" s="61"/>
      <c r="I221" s="61"/>
      <c r="J221" s="61"/>
      <c r="K221" s="61"/>
      <c r="L221" s="61"/>
      <c r="M221" s="44"/>
      <c r="N221" s="44"/>
      <c r="O221" s="44"/>
      <c r="P221" s="44"/>
      <c r="Q221" s="64"/>
      <c r="R221" s="64"/>
      <c r="V221" s="207"/>
      <c r="AF221" s="207"/>
      <c r="AP221" s="207"/>
      <c r="AZ221" s="207"/>
    </row>
    <row r="222" spans="3:52" s="49" customFormat="1" ht="15.75" x14ac:dyDescent="0.25">
      <c r="C222" s="48"/>
      <c r="D222" s="60"/>
      <c r="E222" s="60"/>
      <c r="F222" s="60"/>
      <c r="G222" s="50"/>
      <c r="H222" s="61"/>
      <c r="I222" s="61"/>
      <c r="J222" s="61"/>
      <c r="K222" s="61"/>
      <c r="L222" s="61"/>
      <c r="M222" s="44"/>
      <c r="N222" s="44"/>
      <c r="O222" s="44"/>
      <c r="P222" s="44"/>
      <c r="Q222" s="64"/>
      <c r="R222" s="64"/>
      <c r="V222" s="207"/>
      <c r="AF222" s="207"/>
      <c r="AP222" s="207"/>
      <c r="AZ222" s="207"/>
    </row>
    <row r="223" spans="3:52" s="49" customFormat="1" ht="15.75" x14ac:dyDescent="0.25">
      <c r="C223" s="48"/>
      <c r="D223" s="60"/>
      <c r="E223" s="60"/>
      <c r="F223" s="60"/>
      <c r="G223" s="50"/>
      <c r="H223" s="61"/>
      <c r="I223" s="61"/>
      <c r="J223" s="61"/>
      <c r="K223" s="61"/>
      <c r="L223" s="61"/>
      <c r="M223" s="44"/>
      <c r="N223" s="44"/>
      <c r="O223" s="44"/>
      <c r="P223" s="44"/>
      <c r="Q223" s="64"/>
      <c r="R223" s="64"/>
      <c r="V223" s="207"/>
      <c r="AF223" s="207"/>
      <c r="AP223" s="207"/>
      <c r="AZ223" s="207"/>
    </row>
    <row r="224" spans="3:52" s="49" customFormat="1" ht="15.75" x14ac:dyDescent="0.25">
      <c r="C224" s="48"/>
      <c r="D224" s="60"/>
      <c r="E224" s="60"/>
      <c r="F224" s="60"/>
      <c r="G224" s="50"/>
      <c r="H224" s="61"/>
      <c r="I224" s="61"/>
      <c r="J224" s="61"/>
      <c r="K224" s="61"/>
      <c r="L224" s="61"/>
      <c r="M224" s="44"/>
      <c r="N224" s="44"/>
      <c r="O224" s="44"/>
      <c r="P224" s="44"/>
      <c r="Q224" s="64"/>
      <c r="R224" s="64"/>
      <c r="V224" s="207"/>
      <c r="AF224" s="207"/>
      <c r="AP224" s="207"/>
      <c r="AZ224" s="207"/>
    </row>
    <row r="225" spans="3:52" s="49" customFormat="1" ht="15.75" x14ac:dyDescent="0.25">
      <c r="C225" s="48"/>
      <c r="D225" s="60"/>
      <c r="E225" s="60"/>
      <c r="F225" s="60"/>
      <c r="G225" s="50"/>
      <c r="H225" s="61"/>
      <c r="I225" s="61"/>
      <c r="J225" s="61"/>
      <c r="K225" s="61"/>
      <c r="L225" s="61"/>
      <c r="M225" s="44"/>
      <c r="N225" s="44"/>
      <c r="O225" s="44"/>
      <c r="P225" s="44"/>
      <c r="Q225" s="64"/>
      <c r="R225" s="64"/>
      <c r="V225" s="207"/>
      <c r="AF225" s="207"/>
      <c r="AP225" s="207"/>
      <c r="AZ225" s="207"/>
    </row>
    <row r="226" spans="3:52" s="49" customFormat="1" ht="15.75" x14ac:dyDescent="0.25">
      <c r="C226" s="48"/>
      <c r="D226" s="60"/>
      <c r="E226" s="60"/>
      <c r="F226" s="60"/>
      <c r="G226" s="50"/>
      <c r="H226" s="61"/>
      <c r="I226" s="61"/>
      <c r="J226" s="61"/>
      <c r="K226" s="61"/>
      <c r="L226" s="61"/>
      <c r="M226" s="44"/>
      <c r="N226" s="44"/>
      <c r="O226" s="44"/>
      <c r="P226" s="44"/>
      <c r="Q226" s="64"/>
      <c r="R226" s="64"/>
      <c r="V226" s="207"/>
      <c r="AF226" s="207"/>
      <c r="AP226" s="207"/>
      <c r="AZ226" s="207"/>
    </row>
    <row r="227" spans="3:52" s="49" customFormat="1" ht="15.75" x14ac:dyDescent="0.25">
      <c r="C227" s="48"/>
      <c r="D227" s="60"/>
      <c r="E227" s="60"/>
      <c r="F227" s="60"/>
      <c r="G227" s="50"/>
      <c r="H227" s="61"/>
      <c r="I227" s="61"/>
      <c r="J227" s="61"/>
      <c r="K227" s="61"/>
      <c r="L227" s="61"/>
      <c r="M227" s="44"/>
      <c r="N227" s="44"/>
      <c r="O227" s="44"/>
      <c r="P227" s="44"/>
      <c r="Q227" s="64"/>
      <c r="R227" s="64"/>
      <c r="V227" s="207"/>
      <c r="AF227" s="207"/>
      <c r="AP227" s="207"/>
      <c r="AZ227" s="207"/>
    </row>
    <row r="228" spans="3:52" s="49" customFormat="1" ht="15.75" x14ac:dyDescent="0.25">
      <c r="C228" s="48"/>
      <c r="D228" s="60"/>
      <c r="E228" s="60"/>
      <c r="F228" s="60"/>
      <c r="G228" s="50"/>
      <c r="H228" s="61"/>
      <c r="I228" s="61"/>
      <c r="J228" s="61"/>
      <c r="K228" s="61"/>
      <c r="L228" s="61"/>
      <c r="M228" s="44"/>
      <c r="N228" s="44"/>
      <c r="O228" s="44"/>
      <c r="P228" s="44"/>
      <c r="Q228" s="64"/>
      <c r="R228" s="64"/>
      <c r="V228" s="207"/>
      <c r="AF228" s="207"/>
      <c r="AP228" s="207"/>
      <c r="AZ228" s="207"/>
    </row>
    <row r="229" spans="3:52" s="49" customFormat="1" ht="15.75" x14ac:dyDescent="0.25">
      <c r="C229" s="48"/>
      <c r="D229" s="60"/>
      <c r="E229" s="60"/>
      <c r="F229" s="60"/>
      <c r="G229" s="50"/>
      <c r="H229" s="61"/>
      <c r="I229" s="61"/>
      <c r="J229" s="61"/>
      <c r="K229" s="61"/>
      <c r="L229" s="61"/>
      <c r="M229" s="44"/>
      <c r="N229" s="44"/>
      <c r="O229" s="44"/>
      <c r="P229" s="44"/>
      <c r="Q229" s="64"/>
      <c r="R229" s="64"/>
      <c r="V229" s="207"/>
      <c r="AF229" s="207"/>
      <c r="AP229" s="207"/>
      <c r="AZ229" s="207"/>
    </row>
    <row r="230" spans="3:52" s="49" customFormat="1" ht="15.75" x14ac:dyDescent="0.25">
      <c r="C230" s="48"/>
      <c r="D230" s="60"/>
      <c r="E230" s="60"/>
      <c r="F230" s="60"/>
      <c r="G230" s="50"/>
      <c r="H230" s="61"/>
      <c r="I230" s="61"/>
      <c r="J230" s="61"/>
      <c r="K230" s="61"/>
      <c r="L230" s="61"/>
      <c r="M230" s="44"/>
      <c r="N230" s="44"/>
      <c r="O230" s="44"/>
      <c r="P230" s="44"/>
      <c r="Q230" s="64"/>
      <c r="R230" s="64"/>
      <c r="V230" s="207"/>
      <c r="AF230" s="207"/>
      <c r="AP230" s="207"/>
      <c r="AZ230" s="207"/>
    </row>
    <row r="231" spans="3:52" s="49" customFormat="1" ht="15.75" x14ac:dyDescent="0.25">
      <c r="C231" s="48"/>
      <c r="D231" s="60"/>
      <c r="E231" s="60"/>
      <c r="F231" s="60"/>
      <c r="G231" s="50"/>
      <c r="H231" s="61"/>
      <c r="I231" s="61"/>
      <c r="J231" s="61"/>
      <c r="K231" s="61"/>
      <c r="L231" s="61"/>
      <c r="M231" s="44"/>
      <c r="N231" s="44"/>
      <c r="O231" s="44"/>
      <c r="P231" s="44"/>
      <c r="Q231" s="64"/>
      <c r="R231" s="64"/>
      <c r="V231" s="207"/>
      <c r="AF231" s="207"/>
      <c r="AP231" s="207"/>
      <c r="AZ231" s="207"/>
    </row>
    <row r="232" spans="3:52" s="49" customFormat="1" ht="15.75" x14ac:dyDescent="0.25">
      <c r="C232" s="48"/>
      <c r="D232" s="60"/>
      <c r="E232" s="60"/>
      <c r="F232" s="60"/>
      <c r="G232" s="50"/>
      <c r="H232" s="61"/>
      <c r="I232" s="61"/>
      <c r="J232" s="61"/>
      <c r="K232" s="61"/>
      <c r="L232" s="61"/>
      <c r="M232" s="44"/>
      <c r="N232" s="44"/>
      <c r="O232" s="44"/>
      <c r="P232" s="44"/>
      <c r="Q232" s="64"/>
      <c r="R232" s="64"/>
      <c r="V232" s="207"/>
      <c r="AF232" s="207"/>
      <c r="AP232" s="207"/>
      <c r="AZ232" s="207"/>
    </row>
    <row r="233" spans="3:52" s="49" customFormat="1" ht="15.75" x14ac:dyDescent="0.25">
      <c r="C233" s="48"/>
      <c r="D233" s="60"/>
      <c r="E233" s="60"/>
      <c r="F233" s="60"/>
      <c r="G233" s="50"/>
      <c r="H233" s="61"/>
      <c r="I233" s="61"/>
      <c r="J233" s="61"/>
      <c r="K233" s="61"/>
      <c r="L233" s="61"/>
      <c r="M233" s="44"/>
      <c r="N233" s="44"/>
      <c r="O233" s="44"/>
      <c r="P233" s="44"/>
      <c r="Q233" s="64"/>
      <c r="R233" s="64"/>
      <c r="V233" s="207"/>
      <c r="AF233" s="207"/>
      <c r="AP233" s="207"/>
      <c r="AZ233" s="207"/>
    </row>
    <row r="234" spans="3:52" s="49" customFormat="1" ht="15.75" x14ac:dyDescent="0.25">
      <c r="C234" s="48"/>
      <c r="D234" s="60"/>
      <c r="E234" s="60"/>
      <c r="F234" s="60"/>
      <c r="G234" s="50"/>
      <c r="H234" s="61"/>
      <c r="I234" s="61"/>
      <c r="J234" s="61"/>
      <c r="K234" s="61"/>
      <c r="L234" s="61"/>
      <c r="M234" s="44"/>
      <c r="N234" s="44"/>
      <c r="O234" s="44"/>
      <c r="P234" s="44"/>
      <c r="Q234" s="64"/>
      <c r="R234" s="64"/>
      <c r="V234" s="207"/>
      <c r="AF234" s="207"/>
      <c r="AP234" s="207"/>
      <c r="AZ234" s="207"/>
    </row>
    <row r="235" spans="3:52" s="49" customFormat="1" ht="15.75" x14ac:dyDescent="0.25">
      <c r="C235" s="48"/>
      <c r="D235" s="60"/>
      <c r="E235" s="60"/>
      <c r="F235" s="60"/>
      <c r="G235" s="50"/>
      <c r="H235" s="61"/>
      <c r="I235" s="61"/>
      <c r="J235" s="61"/>
      <c r="K235" s="61"/>
      <c r="L235" s="61"/>
      <c r="M235" s="44"/>
      <c r="N235" s="44"/>
      <c r="O235" s="44"/>
      <c r="P235" s="44"/>
      <c r="Q235" s="64"/>
      <c r="R235" s="64"/>
      <c r="V235" s="207"/>
      <c r="AF235" s="207"/>
      <c r="AP235" s="207"/>
      <c r="AZ235" s="207"/>
    </row>
    <row r="236" spans="3:52" s="49" customFormat="1" ht="15.75" x14ac:dyDescent="0.25">
      <c r="C236" s="48"/>
      <c r="D236" s="60"/>
      <c r="E236" s="60"/>
      <c r="F236" s="60"/>
      <c r="G236" s="50"/>
      <c r="H236" s="61"/>
      <c r="I236" s="61"/>
      <c r="J236" s="61"/>
      <c r="K236" s="61"/>
      <c r="L236" s="61"/>
      <c r="M236" s="44"/>
      <c r="N236" s="44"/>
      <c r="O236" s="44"/>
      <c r="P236" s="44"/>
      <c r="Q236" s="64"/>
      <c r="R236" s="64"/>
      <c r="V236" s="207"/>
      <c r="AF236" s="207"/>
      <c r="AP236" s="207"/>
      <c r="AZ236" s="207"/>
    </row>
    <row r="237" spans="3:52" s="49" customFormat="1" ht="15.75" x14ac:dyDescent="0.25">
      <c r="C237" s="48"/>
      <c r="D237" s="60"/>
      <c r="E237" s="60"/>
      <c r="F237" s="60"/>
      <c r="G237" s="50"/>
      <c r="H237" s="61"/>
      <c r="I237" s="61"/>
      <c r="J237" s="61"/>
      <c r="K237" s="61"/>
      <c r="L237" s="61"/>
      <c r="M237" s="44"/>
      <c r="N237" s="44"/>
      <c r="O237" s="44"/>
      <c r="P237" s="44"/>
      <c r="Q237" s="64"/>
      <c r="R237" s="64"/>
      <c r="V237" s="207"/>
      <c r="AF237" s="207"/>
      <c r="AP237" s="207"/>
      <c r="AZ237" s="207"/>
    </row>
    <row r="238" spans="3:52" s="49" customFormat="1" ht="15.75" x14ac:dyDescent="0.25">
      <c r="C238" s="48"/>
      <c r="D238" s="60"/>
      <c r="E238" s="60"/>
      <c r="F238" s="60"/>
      <c r="G238" s="50"/>
      <c r="H238" s="61"/>
      <c r="I238" s="61"/>
      <c r="J238" s="61"/>
      <c r="K238" s="61"/>
      <c r="L238" s="61"/>
      <c r="M238" s="44"/>
      <c r="N238" s="44"/>
      <c r="O238" s="44"/>
      <c r="P238" s="44"/>
      <c r="Q238" s="64"/>
      <c r="R238" s="64"/>
      <c r="V238" s="207"/>
      <c r="AF238" s="207"/>
      <c r="AP238" s="207"/>
      <c r="AZ238" s="207"/>
    </row>
    <row r="239" spans="3:52" s="49" customFormat="1" ht="15.75" x14ac:dyDescent="0.25">
      <c r="C239" s="48"/>
      <c r="D239" s="60"/>
      <c r="E239" s="60"/>
      <c r="F239" s="60"/>
      <c r="G239" s="50"/>
      <c r="H239" s="61"/>
      <c r="I239" s="61"/>
      <c r="J239" s="61"/>
      <c r="K239" s="61"/>
      <c r="L239" s="61"/>
      <c r="M239" s="44"/>
      <c r="N239" s="44"/>
      <c r="O239" s="44"/>
      <c r="P239" s="44"/>
      <c r="Q239" s="64"/>
      <c r="R239" s="64"/>
      <c r="V239" s="207"/>
      <c r="AF239" s="207"/>
      <c r="AP239" s="207"/>
      <c r="AZ239" s="207"/>
    </row>
    <row r="240" spans="3:52" s="49" customFormat="1" ht="15.75" x14ac:dyDescent="0.25">
      <c r="C240" s="48"/>
      <c r="D240" s="60"/>
      <c r="E240" s="60"/>
      <c r="F240" s="60"/>
      <c r="G240" s="50"/>
      <c r="H240" s="61"/>
      <c r="I240" s="61"/>
      <c r="J240" s="61"/>
      <c r="K240" s="61"/>
      <c r="L240" s="61"/>
      <c r="M240" s="44"/>
      <c r="N240" s="44"/>
      <c r="O240" s="44"/>
      <c r="P240" s="44"/>
      <c r="Q240" s="64"/>
      <c r="R240" s="64"/>
      <c r="V240" s="207"/>
      <c r="AF240" s="207"/>
      <c r="AP240" s="207"/>
      <c r="AZ240" s="207"/>
    </row>
    <row r="241" spans="3:52" s="49" customFormat="1" ht="15.75" x14ac:dyDescent="0.25">
      <c r="C241" s="48"/>
      <c r="D241" s="60"/>
      <c r="E241" s="60"/>
      <c r="F241" s="60"/>
      <c r="G241" s="50"/>
      <c r="H241" s="61"/>
      <c r="I241" s="61"/>
      <c r="J241" s="61"/>
      <c r="K241" s="61"/>
      <c r="L241" s="61"/>
      <c r="M241" s="44"/>
      <c r="N241" s="44"/>
      <c r="O241" s="44"/>
      <c r="P241" s="44"/>
      <c r="Q241" s="64"/>
      <c r="R241" s="64"/>
      <c r="V241" s="207"/>
      <c r="AF241" s="207"/>
      <c r="AP241" s="207"/>
      <c r="AZ241" s="207"/>
    </row>
    <row r="242" spans="3:52" s="49" customFormat="1" ht="15.75" x14ac:dyDescent="0.25">
      <c r="C242" s="48"/>
      <c r="D242" s="60"/>
      <c r="E242" s="60"/>
      <c r="F242" s="60"/>
      <c r="G242" s="50"/>
      <c r="H242" s="61"/>
      <c r="I242" s="61"/>
      <c r="J242" s="61"/>
      <c r="K242" s="61"/>
      <c r="L242" s="61"/>
      <c r="M242" s="44"/>
      <c r="N242" s="44"/>
      <c r="O242" s="44"/>
      <c r="P242" s="44"/>
      <c r="Q242" s="64"/>
      <c r="R242" s="64"/>
      <c r="V242" s="207"/>
      <c r="AF242" s="207"/>
      <c r="AP242" s="207"/>
      <c r="AZ242" s="207"/>
    </row>
    <row r="243" spans="3:52" s="49" customFormat="1" ht="15.75" x14ac:dyDescent="0.25">
      <c r="C243" s="48"/>
      <c r="D243" s="60"/>
      <c r="E243" s="60"/>
      <c r="F243" s="60"/>
      <c r="G243" s="50"/>
      <c r="H243" s="61"/>
      <c r="I243" s="61"/>
      <c r="J243" s="61"/>
      <c r="K243" s="61"/>
      <c r="L243" s="61"/>
      <c r="M243" s="44"/>
      <c r="N243" s="44"/>
      <c r="O243" s="44"/>
      <c r="P243" s="44"/>
      <c r="Q243" s="64"/>
      <c r="R243" s="64"/>
      <c r="V243" s="207"/>
      <c r="AF243" s="207"/>
      <c r="AP243" s="207"/>
      <c r="AZ243" s="207"/>
    </row>
    <row r="244" spans="3:52" s="49" customFormat="1" ht="15.75" x14ac:dyDescent="0.25">
      <c r="C244" s="48"/>
      <c r="D244" s="60"/>
      <c r="E244" s="60"/>
      <c r="F244" s="60"/>
      <c r="G244" s="50"/>
      <c r="H244" s="61"/>
      <c r="I244" s="61"/>
      <c r="J244" s="61"/>
      <c r="K244" s="61"/>
      <c r="L244" s="61"/>
      <c r="M244" s="44"/>
      <c r="N244" s="44"/>
      <c r="O244" s="44"/>
      <c r="P244" s="44"/>
      <c r="Q244" s="64"/>
      <c r="R244" s="64"/>
      <c r="V244" s="207"/>
      <c r="AF244" s="207"/>
      <c r="AP244" s="207"/>
      <c r="AZ244" s="207"/>
    </row>
    <row r="245" spans="3:52" s="49" customFormat="1" ht="15.75" x14ac:dyDescent="0.25">
      <c r="C245" s="48"/>
      <c r="D245" s="60"/>
      <c r="E245" s="60"/>
      <c r="F245" s="60"/>
      <c r="G245" s="50"/>
      <c r="H245" s="61"/>
      <c r="I245" s="61"/>
      <c r="J245" s="61"/>
      <c r="K245" s="61"/>
      <c r="L245" s="61"/>
      <c r="M245" s="44"/>
      <c r="N245" s="44"/>
      <c r="O245" s="44"/>
      <c r="P245" s="44"/>
      <c r="Q245" s="64"/>
      <c r="R245" s="64"/>
      <c r="V245" s="207"/>
      <c r="AF245" s="207"/>
      <c r="AP245" s="207"/>
      <c r="AZ245" s="207"/>
    </row>
    <row r="246" spans="3:52" s="49" customFormat="1" ht="15.75" x14ac:dyDescent="0.25">
      <c r="C246" s="48"/>
      <c r="D246" s="60"/>
      <c r="E246" s="60"/>
      <c r="F246" s="60"/>
      <c r="G246" s="50"/>
      <c r="H246" s="61"/>
      <c r="I246" s="61"/>
      <c r="J246" s="61"/>
      <c r="K246" s="61"/>
      <c r="L246" s="61"/>
      <c r="M246" s="44"/>
      <c r="N246" s="44"/>
      <c r="O246" s="44"/>
      <c r="P246" s="44"/>
      <c r="Q246" s="64"/>
      <c r="R246" s="64"/>
      <c r="V246" s="207"/>
      <c r="AF246" s="207"/>
      <c r="AP246" s="207"/>
      <c r="AZ246" s="207"/>
    </row>
    <row r="247" spans="3:52" s="49" customFormat="1" ht="15.75" x14ac:dyDescent="0.25">
      <c r="C247" s="48"/>
      <c r="D247" s="60"/>
      <c r="E247" s="60"/>
      <c r="F247" s="60"/>
      <c r="G247" s="50"/>
      <c r="H247" s="61"/>
      <c r="I247" s="61"/>
      <c r="J247" s="61"/>
      <c r="K247" s="61"/>
      <c r="L247" s="61"/>
      <c r="M247" s="44"/>
      <c r="N247" s="44"/>
      <c r="O247" s="44"/>
      <c r="P247" s="44"/>
      <c r="Q247" s="64"/>
      <c r="R247" s="64"/>
      <c r="V247" s="207"/>
      <c r="AF247" s="207"/>
      <c r="AP247" s="207"/>
      <c r="AZ247" s="207"/>
    </row>
    <row r="248" spans="3:52" s="49" customFormat="1" ht="15.75" x14ac:dyDescent="0.25">
      <c r="C248" s="48"/>
      <c r="D248" s="60"/>
      <c r="E248" s="60"/>
      <c r="F248" s="60"/>
      <c r="G248" s="50"/>
      <c r="H248" s="61"/>
      <c r="I248" s="61"/>
      <c r="J248" s="61"/>
      <c r="K248" s="61"/>
      <c r="L248" s="61"/>
      <c r="M248" s="44"/>
      <c r="N248" s="44"/>
      <c r="O248" s="44"/>
      <c r="P248" s="44"/>
      <c r="Q248" s="64"/>
      <c r="R248" s="64"/>
      <c r="V248" s="207"/>
      <c r="AF248" s="207"/>
      <c r="AP248" s="207"/>
      <c r="AZ248" s="207"/>
    </row>
    <row r="249" spans="3:52" s="49" customFormat="1" ht="15.75" x14ac:dyDescent="0.25">
      <c r="C249" s="48"/>
      <c r="D249" s="60"/>
      <c r="E249" s="60"/>
      <c r="F249" s="60"/>
      <c r="G249" s="50"/>
      <c r="H249" s="61"/>
      <c r="I249" s="61"/>
      <c r="J249" s="61"/>
      <c r="K249" s="61"/>
      <c r="L249" s="61"/>
      <c r="M249" s="44"/>
      <c r="N249" s="44"/>
      <c r="O249" s="44"/>
      <c r="P249" s="44"/>
      <c r="Q249" s="64"/>
      <c r="R249" s="64"/>
      <c r="V249" s="207"/>
      <c r="AF249" s="207"/>
      <c r="AP249" s="207"/>
      <c r="AZ249" s="207"/>
    </row>
    <row r="250" spans="3:52" s="49" customFormat="1" ht="15.75" x14ac:dyDescent="0.25">
      <c r="C250" s="48"/>
      <c r="D250" s="60"/>
      <c r="E250" s="60"/>
      <c r="F250" s="60"/>
      <c r="G250" s="50"/>
      <c r="H250" s="61"/>
      <c r="I250" s="61"/>
      <c r="J250" s="61"/>
      <c r="K250" s="61"/>
      <c r="L250" s="61"/>
      <c r="M250" s="44"/>
      <c r="N250" s="44"/>
      <c r="O250" s="44"/>
      <c r="P250" s="44"/>
      <c r="Q250" s="64"/>
      <c r="R250" s="64"/>
      <c r="V250" s="207"/>
      <c r="AF250" s="207"/>
      <c r="AP250" s="207"/>
      <c r="AZ250" s="207"/>
    </row>
    <row r="251" spans="3:52" s="49" customFormat="1" ht="15.75" x14ac:dyDescent="0.25">
      <c r="C251" s="48"/>
      <c r="D251" s="60"/>
      <c r="E251" s="60"/>
      <c r="F251" s="60"/>
      <c r="G251" s="50"/>
      <c r="H251" s="61"/>
      <c r="I251" s="61"/>
      <c r="J251" s="61"/>
      <c r="K251" s="61"/>
      <c r="L251" s="61"/>
      <c r="M251" s="44"/>
      <c r="N251" s="44"/>
      <c r="O251" s="44"/>
      <c r="P251" s="44"/>
      <c r="Q251" s="64"/>
      <c r="R251" s="64"/>
      <c r="V251" s="207"/>
      <c r="AF251" s="207"/>
      <c r="AP251" s="207"/>
      <c r="AZ251" s="207"/>
    </row>
    <row r="252" spans="3:52" s="49" customFormat="1" ht="15.75" x14ac:dyDescent="0.25">
      <c r="C252" s="48"/>
      <c r="D252" s="60"/>
      <c r="E252" s="60"/>
      <c r="F252" s="60"/>
      <c r="G252" s="50"/>
      <c r="H252" s="61"/>
      <c r="I252" s="61"/>
      <c r="J252" s="61"/>
      <c r="K252" s="61"/>
      <c r="L252" s="61"/>
      <c r="M252" s="44"/>
      <c r="N252" s="44"/>
      <c r="O252" s="44"/>
      <c r="P252" s="44"/>
      <c r="Q252" s="64"/>
      <c r="R252" s="64"/>
      <c r="V252" s="207"/>
      <c r="AF252" s="207"/>
      <c r="AP252" s="207"/>
      <c r="AZ252" s="207"/>
    </row>
    <row r="253" spans="3:52" s="49" customFormat="1" ht="15.75" x14ac:dyDescent="0.25">
      <c r="C253" s="48"/>
      <c r="D253" s="60"/>
      <c r="E253" s="60"/>
      <c r="F253" s="60"/>
      <c r="G253" s="50"/>
      <c r="H253" s="61"/>
      <c r="I253" s="61"/>
      <c r="J253" s="61"/>
      <c r="K253" s="61"/>
      <c r="L253" s="61"/>
      <c r="M253" s="44"/>
      <c r="N253" s="44"/>
      <c r="O253" s="44"/>
      <c r="P253" s="44"/>
      <c r="Q253" s="64"/>
      <c r="R253" s="64"/>
      <c r="V253" s="207"/>
      <c r="AF253" s="207"/>
      <c r="AP253" s="207"/>
      <c r="AZ253" s="207"/>
    </row>
    <row r="254" spans="3:52" s="49" customFormat="1" ht="15.75" x14ac:dyDescent="0.25">
      <c r="C254" s="48"/>
      <c r="D254" s="60"/>
      <c r="E254" s="60"/>
      <c r="F254" s="60"/>
      <c r="G254" s="50"/>
      <c r="H254" s="61"/>
      <c r="I254" s="61"/>
      <c r="J254" s="61"/>
      <c r="K254" s="61"/>
      <c r="L254" s="61"/>
      <c r="M254" s="44"/>
      <c r="N254" s="44"/>
      <c r="O254" s="44"/>
      <c r="P254" s="44"/>
      <c r="Q254" s="64"/>
      <c r="R254" s="64"/>
      <c r="V254" s="207"/>
      <c r="AF254" s="207"/>
      <c r="AP254" s="207"/>
      <c r="AZ254" s="207"/>
    </row>
    <row r="255" spans="3:52" s="49" customFormat="1" ht="15.75" x14ac:dyDescent="0.25">
      <c r="C255" s="48"/>
      <c r="D255" s="60"/>
      <c r="E255" s="60"/>
      <c r="F255" s="60"/>
      <c r="G255" s="50"/>
      <c r="H255" s="61"/>
      <c r="I255" s="61"/>
      <c r="J255" s="61"/>
      <c r="K255" s="61"/>
      <c r="L255" s="61"/>
      <c r="M255" s="44"/>
      <c r="N255" s="44"/>
      <c r="O255" s="44"/>
      <c r="P255" s="44"/>
      <c r="Q255" s="64"/>
      <c r="R255" s="64"/>
      <c r="V255" s="207"/>
      <c r="AF255" s="207"/>
      <c r="AP255" s="207"/>
      <c r="AZ255" s="207"/>
    </row>
    <row r="256" spans="3:52" s="49" customFormat="1" ht="15.75" x14ac:dyDescent="0.25">
      <c r="C256" s="48"/>
      <c r="D256" s="60"/>
      <c r="E256" s="60"/>
      <c r="F256" s="60"/>
      <c r="G256" s="50"/>
      <c r="H256" s="61"/>
      <c r="I256" s="61"/>
      <c r="J256" s="61"/>
      <c r="K256" s="61"/>
      <c r="L256" s="61"/>
      <c r="M256" s="44"/>
      <c r="N256" s="44"/>
      <c r="O256" s="44"/>
      <c r="P256" s="44"/>
      <c r="Q256" s="64"/>
      <c r="R256" s="64"/>
      <c r="V256" s="207"/>
      <c r="AF256" s="207"/>
      <c r="AP256" s="207"/>
      <c r="AZ256" s="207"/>
    </row>
    <row r="257" spans="3:52" s="49" customFormat="1" ht="15.75" x14ac:dyDescent="0.25">
      <c r="C257" s="48"/>
      <c r="D257" s="60"/>
      <c r="E257" s="60"/>
      <c r="F257" s="60"/>
      <c r="G257" s="50"/>
      <c r="H257" s="61"/>
      <c r="I257" s="61"/>
      <c r="J257" s="61"/>
      <c r="K257" s="61"/>
      <c r="L257" s="61"/>
      <c r="M257" s="44"/>
      <c r="N257" s="44"/>
      <c r="O257" s="44"/>
      <c r="P257" s="44"/>
      <c r="Q257" s="64"/>
      <c r="R257" s="64"/>
      <c r="V257" s="207"/>
      <c r="AF257" s="207"/>
      <c r="AP257" s="207"/>
      <c r="AZ257" s="207"/>
    </row>
    <row r="258" spans="3:52" s="49" customFormat="1" ht="15.75" x14ac:dyDescent="0.25">
      <c r="C258" s="48"/>
      <c r="D258" s="60"/>
      <c r="E258" s="60"/>
      <c r="F258" s="60"/>
      <c r="G258" s="50"/>
      <c r="H258" s="61"/>
      <c r="I258" s="61"/>
      <c r="J258" s="61"/>
      <c r="K258" s="61"/>
      <c r="L258" s="61"/>
      <c r="M258" s="44"/>
      <c r="N258" s="44"/>
      <c r="O258" s="44"/>
      <c r="P258" s="44"/>
      <c r="Q258" s="64"/>
      <c r="R258" s="64"/>
      <c r="V258" s="207"/>
      <c r="AF258" s="207"/>
      <c r="AP258" s="207"/>
      <c r="AZ258" s="207"/>
    </row>
    <row r="259" spans="3:52" s="49" customFormat="1" ht="15.75" x14ac:dyDescent="0.25">
      <c r="C259" s="48"/>
      <c r="D259" s="60"/>
      <c r="E259" s="60"/>
      <c r="F259" s="60"/>
      <c r="G259" s="50"/>
      <c r="H259" s="61"/>
      <c r="I259" s="61"/>
      <c r="J259" s="61"/>
      <c r="K259" s="61"/>
      <c r="L259" s="61"/>
      <c r="M259" s="44"/>
      <c r="N259" s="44"/>
      <c r="O259" s="44"/>
      <c r="P259" s="44"/>
      <c r="Q259" s="64"/>
      <c r="R259" s="64"/>
      <c r="V259" s="207"/>
      <c r="AF259" s="207"/>
      <c r="AP259" s="207"/>
      <c r="AZ259" s="207"/>
    </row>
    <row r="260" spans="3:52" s="49" customFormat="1" ht="15.75" x14ac:dyDescent="0.25">
      <c r="C260" s="48"/>
      <c r="D260" s="60"/>
      <c r="E260" s="60"/>
      <c r="F260" s="60"/>
      <c r="G260" s="50"/>
      <c r="H260" s="61"/>
      <c r="I260" s="61"/>
      <c r="J260" s="61"/>
      <c r="K260" s="61"/>
      <c r="L260" s="61"/>
      <c r="M260" s="44"/>
      <c r="N260" s="44"/>
      <c r="O260" s="44"/>
      <c r="P260" s="44"/>
      <c r="Q260" s="64"/>
      <c r="R260" s="64"/>
      <c r="V260" s="207"/>
      <c r="AF260" s="207"/>
      <c r="AP260" s="207"/>
      <c r="AZ260" s="207"/>
    </row>
    <row r="261" spans="3:52" s="49" customFormat="1" ht="15.75" x14ac:dyDescent="0.25">
      <c r="C261" s="48"/>
      <c r="D261" s="60"/>
      <c r="E261" s="60"/>
      <c r="F261" s="60"/>
      <c r="G261" s="50"/>
      <c r="H261" s="61"/>
      <c r="I261" s="61"/>
      <c r="J261" s="61"/>
      <c r="K261" s="61"/>
      <c r="L261" s="61"/>
      <c r="M261" s="44"/>
      <c r="N261" s="44"/>
      <c r="O261" s="44"/>
      <c r="P261" s="44"/>
      <c r="Q261" s="64"/>
      <c r="R261" s="64"/>
      <c r="V261" s="207"/>
      <c r="AF261" s="207"/>
      <c r="AP261" s="207"/>
      <c r="AZ261" s="207"/>
    </row>
    <row r="262" spans="3:52" s="49" customFormat="1" ht="15.75" x14ac:dyDescent="0.25">
      <c r="C262" s="48"/>
      <c r="D262" s="60"/>
      <c r="E262" s="60"/>
      <c r="F262" s="60"/>
      <c r="G262" s="50"/>
      <c r="H262" s="61"/>
      <c r="I262" s="61"/>
      <c r="J262" s="61"/>
      <c r="K262" s="61"/>
      <c r="L262" s="61"/>
      <c r="M262" s="44"/>
      <c r="N262" s="44"/>
      <c r="O262" s="44"/>
      <c r="P262" s="44"/>
      <c r="Q262" s="64"/>
      <c r="R262" s="64"/>
      <c r="V262" s="207"/>
      <c r="AF262" s="207"/>
      <c r="AP262" s="207"/>
      <c r="AZ262" s="207"/>
    </row>
    <row r="263" spans="3:52" s="49" customFormat="1" ht="15.75" x14ac:dyDescent="0.25">
      <c r="C263" s="48"/>
      <c r="D263" s="60"/>
      <c r="E263" s="60"/>
      <c r="F263" s="60"/>
      <c r="G263" s="50"/>
      <c r="H263" s="61"/>
      <c r="I263" s="61"/>
      <c r="J263" s="61"/>
      <c r="K263" s="61"/>
      <c r="L263" s="61"/>
      <c r="M263" s="44"/>
      <c r="N263" s="44"/>
      <c r="O263" s="44"/>
      <c r="P263" s="44"/>
      <c r="Q263" s="64"/>
      <c r="R263" s="64"/>
      <c r="V263" s="207"/>
      <c r="AF263" s="207"/>
      <c r="AP263" s="207"/>
      <c r="AZ263" s="207"/>
    </row>
    <row r="264" spans="3:52" s="49" customFormat="1" ht="15.75" x14ac:dyDescent="0.25">
      <c r="C264" s="48"/>
      <c r="D264" s="60"/>
      <c r="E264" s="60"/>
      <c r="F264" s="60"/>
      <c r="G264" s="50"/>
      <c r="H264" s="61"/>
      <c r="I264" s="61"/>
      <c r="J264" s="61"/>
      <c r="K264" s="61"/>
      <c r="L264" s="61"/>
      <c r="M264" s="44"/>
      <c r="N264" s="44"/>
      <c r="O264" s="44"/>
      <c r="P264" s="44"/>
      <c r="Q264" s="64"/>
      <c r="R264" s="64"/>
      <c r="V264" s="207"/>
      <c r="AF264" s="207"/>
      <c r="AP264" s="207"/>
      <c r="AZ264" s="207"/>
    </row>
    <row r="265" spans="3:52" s="49" customFormat="1" ht="15.75" x14ac:dyDescent="0.25">
      <c r="C265" s="48"/>
      <c r="D265" s="60"/>
      <c r="E265" s="60"/>
      <c r="F265" s="60"/>
      <c r="G265" s="50"/>
      <c r="H265" s="61"/>
      <c r="I265" s="61"/>
      <c r="J265" s="61"/>
      <c r="K265" s="61"/>
      <c r="L265" s="61"/>
      <c r="M265" s="44"/>
      <c r="N265" s="44"/>
      <c r="O265" s="44"/>
      <c r="P265" s="44"/>
      <c r="Q265" s="64"/>
      <c r="R265" s="64"/>
      <c r="V265" s="207"/>
      <c r="AF265" s="207"/>
      <c r="AP265" s="207"/>
      <c r="AZ265" s="207"/>
    </row>
    <row r="266" spans="3:52" s="49" customFormat="1" ht="15.75" x14ac:dyDescent="0.25">
      <c r="C266" s="48"/>
      <c r="D266" s="60"/>
      <c r="E266" s="60"/>
      <c r="F266" s="60"/>
      <c r="G266" s="50"/>
      <c r="H266" s="61"/>
      <c r="I266" s="61"/>
      <c r="J266" s="61"/>
      <c r="K266" s="61"/>
      <c r="L266" s="61"/>
      <c r="M266" s="44"/>
      <c r="N266" s="44"/>
      <c r="O266" s="44"/>
      <c r="P266" s="44"/>
      <c r="Q266" s="64"/>
      <c r="R266" s="64"/>
      <c r="V266" s="207"/>
      <c r="AF266" s="207"/>
      <c r="AP266" s="207"/>
      <c r="AZ266" s="207"/>
    </row>
    <row r="267" spans="3:52" s="49" customFormat="1" ht="15.75" x14ac:dyDescent="0.25">
      <c r="C267" s="48"/>
      <c r="D267" s="60"/>
      <c r="E267" s="60"/>
      <c r="F267" s="60"/>
      <c r="G267" s="50"/>
      <c r="H267" s="61"/>
      <c r="I267" s="61"/>
      <c r="J267" s="61"/>
      <c r="K267" s="61"/>
      <c r="L267" s="61"/>
      <c r="M267" s="44"/>
      <c r="N267" s="44"/>
      <c r="O267" s="44"/>
      <c r="P267" s="44"/>
      <c r="Q267" s="64"/>
      <c r="R267" s="64"/>
      <c r="V267" s="207"/>
      <c r="AF267" s="207"/>
      <c r="AP267" s="207"/>
      <c r="AZ267" s="207"/>
    </row>
    <row r="268" spans="3:52" s="49" customFormat="1" ht="15.75" x14ac:dyDescent="0.25">
      <c r="C268" s="48"/>
      <c r="D268" s="60"/>
      <c r="E268" s="60"/>
      <c r="F268" s="60"/>
      <c r="G268" s="50"/>
      <c r="H268" s="61"/>
      <c r="I268" s="61"/>
      <c r="J268" s="61"/>
      <c r="K268" s="61"/>
      <c r="L268" s="61"/>
      <c r="M268" s="44"/>
      <c r="N268" s="44"/>
      <c r="O268" s="44"/>
      <c r="P268" s="44"/>
      <c r="Q268" s="64"/>
      <c r="R268" s="64"/>
      <c r="V268" s="207"/>
      <c r="AF268" s="207"/>
      <c r="AP268" s="207"/>
      <c r="AZ268" s="207"/>
    </row>
    <row r="269" spans="3:52" s="49" customFormat="1" ht="15.75" x14ac:dyDescent="0.25">
      <c r="C269" s="48"/>
      <c r="D269" s="60"/>
      <c r="E269" s="60"/>
      <c r="F269" s="60"/>
      <c r="G269" s="50"/>
      <c r="H269" s="61"/>
      <c r="I269" s="61"/>
      <c r="J269" s="61"/>
      <c r="K269" s="61"/>
      <c r="L269" s="61"/>
      <c r="M269" s="44"/>
      <c r="N269" s="44"/>
      <c r="O269" s="44"/>
      <c r="P269" s="44"/>
      <c r="Q269" s="64"/>
      <c r="R269" s="64"/>
      <c r="V269" s="207"/>
      <c r="AF269" s="207"/>
      <c r="AP269" s="207"/>
      <c r="AZ269" s="207"/>
    </row>
    <row r="270" spans="3:52" s="49" customFormat="1" ht="15.75" x14ac:dyDescent="0.25">
      <c r="C270" s="48"/>
      <c r="D270" s="60"/>
      <c r="E270" s="60"/>
      <c r="F270" s="60"/>
      <c r="G270" s="50"/>
      <c r="H270" s="61"/>
      <c r="I270" s="61"/>
      <c r="J270" s="61"/>
      <c r="K270" s="61"/>
      <c r="L270" s="61"/>
      <c r="M270" s="44"/>
      <c r="N270" s="44"/>
      <c r="O270" s="44"/>
      <c r="P270" s="44"/>
      <c r="Q270" s="64"/>
      <c r="R270" s="64"/>
      <c r="V270" s="207"/>
      <c r="AF270" s="207"/>
      <c r="AP270" s="207"/>
      <c r="AZ270" s="207"/>
    </row>
    <row r="271" spans="3:52" s="49" customFormat="1" ht="15.75" x14ac:dyDescent="0.25">
      <c r="C271" s="48"/>
      <c r="D271" s="60"/>
      <c r="E271" s="60"/>
      <c r="F271" s="60"/>
      <c r="G271" s="50"/>
      <c r="H271" s="61"/>
      <c r="I271" s="61"/>
      <c r="J271" s="61"/>
      <c r="K271" s="61"/>
      <c r="L271" s="61"/>
      <c r="M271" s="44"/>
      <c r="N271" s="44"/>
      <c r="O271" s="44"/>
      <c r="P271" s="44"/>
      <c r="Q271" s="64"/>
      <c r="R271" s="64"/>
      <c r="V271" s="207"/>
      <c r="AF271" s="207"/>
      <c r="AP271" s="207"/>
      <c r="AZ271" s="207"/>
    </row>
    <row r="272" spans="3:52" s="49" customFormat="1" ht="15.75" x14ac:dyDescent="0.25">
      <c r="C272" s="48"/>
      <c r="D272" s="60"/>
      <c r="E272" s="60"/>
      <c r="F272" s="60"/>
      <c r="G272" s="50"/>
      <c r="H272" s="61"/>
      <c r="I272" s="61"/>
      <c r="J272" s="61"/>
      <c r="K272" s="61"/>
      <c r="L272" s="61"/>
      <c r="M272" s="44"/>
      <c r="N272" s="44"/>
      <c r="O272" s="44"/>
      <c r="P272" s="44"/>
      <c r="Q272" s="64"/>
      <c r="R272" s="64"/>
      <c r="V272" s="207"/>
      <c r="AF272" s="207"/>
      <c r="AP272" s="207"/>
      <c r="AZ272" s="207"/>
    </row>
    <row r="273" spans="3:52" s="49" customFormat="1" ht="15.75" x14ac:dyDescent="0.25">
      <c r="C273" s="48"/>
      <c r="D273" s="60"/>
      <c r="E273" s="60"/>
      <c r="F273" s="60"/>
      <c r="G273" s="50"/>
      <c r="H273" s="61"/>
      <c r="I273" s="61"/>
      <c r="J273" s="61"/>
      <c r="K273" s="61"/>
      <c r="L273" s="61"/>
      <c r="M273" s="44"/>
      <c r="N273" s="44"/>
      <c r="O273" s="44"/>
      <c r="P273" s="44"/>
      <c r="Q273" s="64"/>
      <c r="R273" s="64"/>
      <c r="V273" s="207"/>
      <c r="AF273" s="207"/>
      <c r="AP273" s="207"/>
      <c r="AZ273" s="207"/>
    </row>
    <row r="274" spans="3:52" s="49" customFormat="1" ht="15.75" x14ac:dyDescent="0.25">
      <c r="C274" s="48"/>
      <c r="D274" s="60"/>
      <c r="E274" s="60"/>
      <c r="F274" s="60"/>
      <c r="G274" s="50"/>
      <c r="H274" s="61"/>
      <c r="I274" s="61"/>
      <c r="J274" s="61"/>
      <c r="K274" s="61"/>
      <c r="L274" s="61"/>
      <c r="M274" s="44"/>
      <c r="N274" s="44"/>
      <c r="O274" s="44"/>
      <c r="P274" s="44"/>
      <c r="Q274" s="64"/>
      <c r="R274" s="64"/>
      <c r="V274" s="207"/>
      <c r="AF274" s="207"/>
      <c r="AP274" s="207"/>
      <c r="AZ274" s="207"/>
    </row>
    <row r="275" spans="3:52" s="49" customFormat="1" ht="15.75" x14ac:dyDescent="0.25">
      <c r="C275" s="48"/>
      <c r="D275" s="60"/>
      <c r="E275" s="60"/>
      <c r="F275" s="60"/>
      <c r="G275" s="50"/>
      <c r="H275" s="61"/>
      <c r="I275" s="61"/>
      <c r="J275" s="61"/>
      <c r="K275" s="61"/>
      <c r="L275" s="61"/>
      <c r="M275" s="44"/>
      <c r="N275" s="44"/>
      <c r="O275" s="44"/>
      <c r="P275" s="44"/>
      <c r="Q275" s="64"/>
      <c r="R275" s="64"/>
      <c r="V275" s="207"/>
      <c r="AF275" s="207"/>
      <c r="AP275" s="207"/>
      <c r="AZ275" s="207"/>
    </row>
    <row r="276" spans="3:52" s="49" customFormat="1" ht="15.75" x14ac:dyDescent="0.25">
      <c r="C276" s="48"/>
      <c r="D276" s="60"/>
      <c r="E276" s="60"/>
      <c r="F276" s="60"/>
      <c r="G276" s="50"/>
      <c r="H276" s="61"/>
      <c r="I276" s="61"/>
      <c r="J276" s="61"/>
      <c r="K276" s="61"/>
      <c r="L276" s="61"/>
      <c r="M276" s="44"/>
      <c r="N276" s="44"/>
      <c r="O276" s="44"/>
      <c r="P276" s="44"/>
      <c r="Q276" s="64"/>
      <c r="R276" s="64"/>
      <c r="V276" s="207"/>
      <c r="AF276" s="207"/>
      <c r="AP276" s="207"/>
      <c r="AZ276" s="207"/>
    </row>
    <row r="277" spans="3:52" s="49" customFormat="1" ht="15.75" x14ac:dyDescent="0.25">
      <c r="C277" s="48"/>
      <c r="D277" s="60"/>
      <c r="E277" s="60"/>
      <c r="F277" s="60"/>
      <c r="G277" s="50"/>
      <c r="H277" s="61"/>
      <c r="I277" s="61"/>
      <c r="J277" s="61"/>
      <c r="K277" s="61"/>
      <c r="L277" s="61"/>
      <c r="M277" s="44"/>
      <c r="N277" s="44"/>
      <c r="O277" s="44"/>
      <c r="P277" s="44"/>
      <c r="Q277" s="64"/>
      <c r="R277" s="64"/>
      <c r="V277" s="207"/>
      <c r="AF277" s="207"/>
      <c r="AP277" s="207"/>
      <c r="AZ277" s="207"/>
    </row>
    <row r="278" spans="3:52" s="49" customFormat="1" ht="15.75" x14ac:dyDescent="0.25">
      <c r="C278" s="48"/>
      <c r="D278" s="60"/>
      <c r="E278" s="60"/>
      <c r="F278" s="60"/>
      <c r="G278" s="50"/>
      <c r="H278" s="61"/>
      <c r="I278" s="61"/>
      <c r="J278" s="61"/>
      <c r="K278" s="61"/>
      <c r="L278" s="61"/>
      <c r="M278" s="44"/>
      <c r="N278" s="44"/>
      <c r="O278" s="44"/>
      <c r="P278" s="44"/>
      <c r="Q278" s="64"/>
      <c r="R278" s="64"/>
      <c r="V278" s="207"/>
      <c r="AF278" s="207"/>
      <c r="AP278" s="207"/>
      <c r="AZ278" s="207"/>
    </row>
    <row r="279" spans="3:52" s="49" customFormat="1" ht="15.75" x14ac:dyDescent="0.25">
      <c r="C279" s="48"/>
      <c r="D279" s="60"/>
      <c r="E279" s="60"/>
      <c r="F279" s="60"/>
      <c r="G279" s="50"/>
      <c r="H279" s="61"/>
      <c r="I279" s="61"/>
      <c r="J279" s="61"/>
      <c r="K279" s="61"/>
      <c r="L279" s="61"/>
      <c r="M279" s="44"/>
      <c r="N279" s="44"/>
      <c r="O279" s="44"/>
      <c r="P279" s="44"/>
      <c r="Q279" s="64"/>
      <c r="R279" s="64"/>
      <c r="V279" s="207"/>
      <c r="AF279" s="207"/>
      <c r="AP279" s="207"/>
      <c r="AZ279" s="207"/>
    </row>
    <row r="280" spans="3:52" s="49" customFormat="1" ht="15.75" x14ac:dyDescent="0.25">
      <c r="C280" s="48"/>
      <c r="D280" s="60"/>
      <c r="E280" s="60"/>
      <c r="F280" s="60"/>
      <c r="G280" s="50"/>
      <c r="H280" s="61"/>
      <c r="I280" s="61"/>
      <c r="J280" s="61"/>
      <c r="K280" s="61"/>
      <c r="L280" s="61"/>
      <c r="M280" s="44"/>
      <c r="N280" s="44"/>
      <c r="O280" s="44"/>
      <c r="P280" s="44"/>
      <c r="Q280" s="64"/>
      <c r="R280" s="64"/>
      <c r="V280" s="207"/>
      <c r="AF280" s="207"/>
      <c r="AP280" s="207"/>
      <c r="AZ280" s="207"/>
    </row>
    <row r="281" spans="3:52" s="49" customFormat="1" ht="15.75" x14ac:dyDescent="0.25">
      <c r="C281" s="48"/>
      <c r="D281" s="60"/>
      <c r="E281" s="60"/>
      <c r="F281" s="60"/>
      <c r="G281" s="50"/>
      <c r="H281" s="61"/>
      <c r="I281" s="61"/>
      <c r="J281" s="61"/>
      <c r="K281" s="61"/>
      <c r="L281" s="61"/>
      <c r="M281" s="44"/>
      <c r="N281" s="44"/>
      <c r="O281" s="44"/>
      <c r="P281" s="44"/>
      <c r="Q281" s="64"/>
      <c r="R281" s="64"/>
      <c r="V281" s="207"/>
      <c r="AF281" s="207"/>
      <c r="AP281" s="207"/>
      <c r="AZ281" s="207"/>
    </row>
    <row r="282" spans="3:52" s="49" customFormat="1" ht="15.75" x14ac:dyDescent="0.25">
      <c r="C282" s="48"/>
      <c r="D282" s="60"/>
      <c r="E282" s="60"/>
      <c r="F282" s="60"/>
      <c r="G282" s="50"/>
      <c r="H282" s="61"/>
      <c r="I282" s="61"/>
      <c r="J282" s="61"/>
      <c r="K282" s="61"/>
      <c r="L282" s="61"/>
      <c r="M282" s="44"/>
      <c r="N282" s="44"/>
      <c r="O282" s="44"/>
      <c r="P282" s="44"/>
      <c r="Q282" s="64"/>
      <c r="R282" s="64"/>
      <c r="V282" s="207"/>
      <c r="AF282" s="207"/>
      <c r="AP282" s="207"/>
      <c r="AZ282" s="207"/>
    </row>
    <row r="283" spans="3:52" s="49" customFormat="1" ht="15.75" x14ac:dyDescent="0.25">
      <c r="C283" s="48"/>
      <c r="D283" s="60"/>
      <c r="E283" s="60"/>
      <c r="F283" s="60"/>
      <c r="G283" s="50"/>
      <c r="H283" s="61"/>
      <c r="I283" s="61"/>
      <c r="J283" s="61"/>
      <c r="K283" s="61"/>
      <c r="L283" s="61"/>
      <c r="M283" s="44"/>
      <c r="N283" s="44"/>
      <c r="O283" s="44"/>
      <c r="P283" s="44"/>
      <c r="Q283" s="64"/>
      <c r="R283" s="64"/>
      <c r="V283" s="207"/>
      <c r="AF283" s="207"/>
      <c r="AP283" s="207"/>
      <c r="AZ283" s="207"/>
    </row>
    <row r="284" spans="3:52" s="49" customFormat="1" ht="15.75" x14ac:dyDescent="0.25">
      <c r="C284" s="48"/>
      <c r="D284" s="60"/>
      <c r="E284" s="60"/>
      <c r="F284" s="60"/>
      <c r="G284" s="50"/>
      <c r="H284" s="61"/>
      <c r="I284" s="61"/>
      <c r="J284" s="61"/>
      <c r="K284" s="61"/>
      <c r="L284" s="61"/>
      <c r="M284" s="44"/>
      <c r="N284" s="44"/>
      <c r="O284" s="44"/>
      <c r="P284" s="44"/>
      <c r="Q284" s="64"/>
      <c r="R284" s="64"/>
      <c r="V284" s="207"/>
      <c r="AF284" s="207"/>
      <c r="AP284" s="207"/>
      <c r="AZ284" s="207"/>
    </row>
    <row r="285" spans="3:52" s="49" customFormat="1" ht="15.75" x14ac:dyDescent="0.25">
      <c r="C285" s="48"/>
      <c r="D285" s="60"/>
      <c r="E285" s="60"/>
      <c r="F285" s="60"/>
      <c r="G285" s="50"/>
      <c r="H285" s="61"/>
      <c r="I285" s="61"/>
      <c r="J285" s="61"/>
      <c r="K285" s="61"/>
      <c r="L285" s="61"/>
      <c r="M285" s="44"/>
      <c r="N285" s="44"/>
      <c r="O285" s="44"/>
      <c r="P285" s="44"/>
      <c r="Q285" s="64"/>
      <c r="R285" s="64"/>
      <c r="V285" s="207"/>
      <c r="AF285" s="207"/>
      <c r="AP285" s="207"/>
      <c r="AZ285" s="207"/>
    </row>
    <row r="286" spans="3:52" s="49" customFormat="1" ht="15.75" x14ac:dyDescent="0.25">
      <c r="C286" s="48"/>
      <c r="D286" s="60"/>
      <c r="E286" s="60"/>
      <c r="F286" s="60"/>
      <c r="G286" s="50"/>
      <c r="H286" s="61"/>
      <c r="I286" s="61"/>
      <c r="J286" s="61"/>
      <c r="K286" s="61"/>
      <c r="L286" s="61"/>
      <c r="M286" s="44"/>
      <c r="N286" s="44"/>
      <c r="O286" s="44"/>
      <c r="P286" s="44"/>
      <c r="Q286" s="64"/>
      <c r="R286" s="64"/>
      <c r="V286" s="207"/>
      <c r="AF286" s="207"/>
      <c r="AP286" s="207"/>
      <c r="AZ286" s="207"/>
    </row>
    <row r="287" spans="3:52" s="49" customFormat="1" ht="15.75" x14ac:dyDescent="0.25">
      <c r="C287" s="48"/>
      <c r="D287" s="60"/>
      <c r="E287" s="60"/>
      <c r="F287" s="60"/>
      <c r="G287" s="50"/>
      <c r="H287" s="61"/>
      <c r="I287" s="61"/>
      <c r="J287" s="61"/>
      <c r="K287" s="61"/>
      <c r="L287" s="61"/>
      <c r="M287" s="44"/>
      <c r="N287" s="44"/>
      <c r="O287" s="44"/>
      <c r="P287" s="44"/>
      <c r="Q287" s="64"/>
      <c r="R287" s="64"/>
      <c r="V287" s="207"/>
      <c r="AF287" s="207"/>
      <c r="AP287" s="207"/>
      <c r="AZ287" s="207"/>
    </row>
    <row r="288" spans="3:52" s="49" customFormat="1" ht="15.75" x14ac:dyDescent="0.25">
      <c r="C288" s="48"/>
      <c r="D288" s="60"/>
      <c r="E288" s="60"/>
      <c r="F288" s="60"/>
      <c r="G288" s="50"/>
      <c r="H288" s="61"/>
      <c r="I288" s="61"/>
      <c r="J288" s="61"/>
      <c r="K288" s="61"/>
      <c r="L288" s="61"/>
      <c r="M288" s="44"/>
      <c r="N288" s="44"/>
      <c r="O288" s="44"/>
      <c r="P288" s="44"/>
      <c r="Q288" s="64"/>
      <c r="R288" s="64"/>
      <c r="V288" s="207"/>
      <c r="AF288" s="207"/>
      <c r="AP288" s="207"/>
      <c r="AZ288" s="207"/>
    </row>
    <row r="289" spans="3:52" s="49" customFormat="1" ht="15.75" x14ac:dyDescent="0.25">
      <c r="C289" s="48"/>
      <c r="D289" s="60"/>
      <c r="E289" s="60"/>
      <c r="F289" s="60"/>
      <c r="G289" s="50"/>
      <c r="H289" s="61"/>
      <c r="I289" s="61"/>
      <c r="J289" s="61"/>
      <c r="K289" s="61"/>
      <c r="L289" s="61"/>
      <c r="M289" s="44"/>
      <c r="N289" s="44"/>
      <c r="O289" s="44"/>
      <c r="P289" s="44"/>
      <c r="Q289" s="64"/>
      <c r="R289" s="64"/>
      <c r="V289" s="207"/>
      <c r="AF289" s="207"/>
      <c r="AP289" s="207"/>
      <c r="AZ289" s="207"/>
    </row>
    <row r="290" spans="3:52" s="49" customFormat="1" ht="15.75" x14ac:dyDescent="0.25">
      <c r="C290" s="48"/>
      <c r="D290" s="60"/>
      <c r="E290" s="60"/>
      <c r="F290" s="60"/>
      <c r="G290" s="50"/>
      <c r="H290" s="61"/>
      <c r="I290" s="61"/>
      <c r="J290" s="61"/>
      <c r="K290" s="61"/>
      <c r="L290" s="61"/>
      <c r="M290" s="44"/>
      <c r="N290" s="44"/>
      <c r="O290" s="44"/>
      <c r="P290" s="44"/>
      <c r="Q290" s="64"/>
      <c r="R290" s="64"/>
      <c r="V290" s="207"/>
      <c r="AF290" s="207"/>
      <c r="AP290" s="207"/>
      <c r="AZ290" s="207"/>
    </row>
    <row r="291" spans="3:52" s="49" customFormat="1" ht="15.75" x14ac:dyDescent="0.25">
      <c r="C291" s="48"/>
      <c r="D291" s="60"/>
      <c r="E291" s="60"/>
      <c r="F291" s="60"/>
      <c r="G291" s="50"/>
      <c r="H291" s="61"/>
      <c r="I291" s="61"/>
      <c r="J291" s="61"/>
      <c r="K291" s="61"/>
      <c r="L291" s="61"/>
      <c r="M291" s="44"/>
      <c r="N291" s="44"/>
      <c r="O291" s="44"/>
      <c r="P291" s="44"/>
      <c r="Q291" s="64"/>
      <c r="R291" s="64"/>
      <c r="V291" s="207"/>
      <c r="AF291" s="207"/>
      <c r="AP291" s="207"/>
      <c r="AZ291" s="207"/>
    </row>
    <row r="292" spans="3:52" s="49" customFormat="1" ht="15.75" x14ac:dyDescent="0.25">
      <c r="C292" s="48"/>
      <c r="D292" s="60"/>
      <c r="E292" s="60"/>
      <c r="F292" s="60"/>
      <c r="G292" s="50"/>
      <c r="H292" s="61"/>
      <c r="I292" s="61"/>
      <c r="J292" s="61"/>
      <c r="K292" s="61"/>
      <c r="L292" s="61"/>
      <c r="M292" s="44"/>
      <c r="N292" s="44"/>
      <c r="O292" s="44"/>
      <c r="P292" s="44"/>
      <c r="Q292" s="64"/>
      <c r="R292" s="64"/>
      <c r="V292" s="207"/>
      <c r="AF292" s="207"/>
      <c r="AP292" s="207"/>
      <c r="AZ292" s="207"/>
    </row>
    <row r="293" spans="3:52" s="49" customFormat="1" ht="15.75" x14ac:dyDescent="0.25">
      <c r="C293" s="48"/>
      <c r="D293" s="60"/>
      <c r="E293" s="60"/>
      <c r="F293" s="60"/>
      <c r="G293" s="50"/>
      <c r="H293" s="61"/>
      <c r="I293" s="61"/>
      <c r="J293" s="61"/>
      <c r="K293" s="61"/>
      <c r="L293" s="61"/>
      <c r="M293" s="44"/>
      <c r="N293" s="44"/>
      <c r="O293" s="44"/>
      <c r="P293" s="44"/>
      <c r="Q293" s="64"/>
      <c r="R293" s="64"/>
      <c r="V293" s="207"/>
      <c r="AF293" s="207"/>
      <c r="AP293" s="207"/>
      <c r="AZ293" s="207"/>
    </row>
    <row r="294" spans="3:52" s="49" customFormat="1" ht="15.75" x14ac:dyDescent="0.25">
      <c r="C294" s="48"/>
      <c r="D294" s="60"/>
      <c r="E294" s="60"/>
      <c r="F294" s="60"/>
      <c r="G294" s="50"/>
      <c r="H294" s="61"/>
      <c r="I294" s="61"/>
      <c r="J294" s="61"/>
      <c r="K294" s="61"/>
      <c r="L294" s="61"/>
      <c r="M294" s="44"/>
      <c r="N294" s="44"/>
      <c r="O294" s="44"/>
      <c r="P294" s="44"/>
      <c r="Q294" s="64"/>
      <c r="R294" s="64"/>
      <c r="V294" s="207"/>
      <c r="AF294" s="207"/>
      <c r="AP294" s="207"/>
      <c r="AZ294" s="207"/>
    </row>
    <row r="295" spans="3:52" s="49" customFormat="1" ht="15.75" x14ac:dyDescent="0.25">
      <c r="C295" s="48"/>
      <c r="D295" s="60"/>
      <c r="E295" s="60"/>
      <c r="F295" s="60"/>
      <c r="G295" s="50"/>
      <c r="H295" s="61"/>
      <c r="I295" s="61"/>
      <c r="J295" s="61"/>
      <c r="K295" s="61"/>
      <c r="L295" s="61"/>
      <c r="M295" s="44"/>
      <c r="N295" s="44"/>
      <c r="O295" s="44"/>
      <c r="P295" s="44"/>
      <c r="Q295" s="64"/>
      <c r="R295" s="64"/>
      <c r="V295" s="207"/>
      <c r="AF295" s="207"/>
      <c r="AP295" s="207"/>
      <c r="AZ295" s="207"/>
    </row>
    <row r="296" spans="3:52" s="49" customFormat="1" ht="15.75" x14ac:dyDescent="0.25">
      <c r="C296" s="48"/>
      <c r="D296" s="60"/>
      <c r="E296" s="60"/>
      <c r="F296" s="60"/>
      <c r="G296" s="50"/>
      <c r="H296" s="61"/>
      <c r="I296" s="61"/>
      <c r="J296" s="61"/>
      <c r="K296" s="61"/>
      <c r="L296" s="61"/>
      <c r="M296" s="44"/>
      <c r="N296" s="44"/>
      <c r="O296" s="44"/>
      <c r="P296" s="44"/>
      <c r="Q296" s="64"/>
      <c r="R296" s="64"/>
      <c r="V296" s="207"/>
      <c r="AF296" s="207"/>
      <c r="AP296" s="207"/>
      <c r="AZ296" s="207"/>
    </row>
    <row r="297" spans="3:52" s="49" customFormat="1" ht="15.75" x14ac:dyDescent="0.25">
      <c r="C297" s="48"/>
      <c r="D297" s="60"/>
      <c r="E297" s="60"/>
      <c r="F297" s="60"/>
      <c r="G297" s="50"/>
      <c r="H297" s="61"/>
      <c r="I297" s="61"/>
      <c r="J297" s="61"/>
      <c r="K297" s="61"/>
      <c r="L297" s="61"/>
      <c r="M297" s="44"/>
      <c r="N297" s="44"/>
      <c r="O297" s="44"/>
      <c r="P297" s="44"/>
      <c r="Q297" s="64"/>
      <c r="R297" s="64"/>
      <c r="V297" s="207"/>
      <c r="AF297" s="207"/>
      <c r="AP297" s="207"/>
      <c r="AZ297" s="207"/>
    </row>
    <row r="298" spans="3:52" s="49" customFormat="1" ht="15.75" x14ac:dyDescent="0.25">
      <c r="C298" s="48"/>
      <c r="D298" s="60"/>
      <c r="E298" s="60"/>
      <c r="F298" s="60"/>
      <c r="G298" s="50"/>
      <c r="H298" s="61"/>
      <c r="I298" s="61"/>
      <c r="J298" s="61"/>
      <c r="K298" s="61"/>
      <c r="L298" s="61"/>
      <c r="M298" s="44"/>
      <c r="N298" s="44"/>
      <c r="O298" s="44"/>
      <c r="P298" s="44"/>
      <c r="Q298" s="64"/>
      <c r="R298" s="64"/>
      <c r="V298" s="207"/>
      <c r="AF298" s="207"/>
      <c r="AP298" s="207"/>
      <c r="AZ298" s="207"/>
    </row>
    <row r="299" spans="3:52" s="49" customFormat="1" ht="15.75" x14ac:dyDescent="0.25">
      <c r="C299" s="48"/>
      <c r="D299" s="60"/>
      <c r="E299" s="60"/>
      <c r="F299" s="60"/>
      <c r="G299" s="50"/>
      <c r="H299" s="61"/>
      <c r="I299" s="61"/>
      <c r="J299" s="61"/>
      <c r="K299" s="61"/>
      <c r="L299" s="61"/>
      <c r="M299" s="44"/>
      <c r="N299" s="44"/>
      <c r="O299" s="44"/>
      <c r="P299" s="44"/>
      <c r="Q299" s="64"/>
      <c r="R299" s="64"/>
      <c r="V299" s="207"/>
      <c r="AF299" s="207"/>
      <c r="AP299" s="207"/>
      <c r="AZ299" s="207"/>
    </row>
    <row r="300" spans="3:52" s="49" customFormat="1" ht="15.75" x14ac:dyDescent="0.25">
      <c r="C300" s="48"/>
      <c r="D300" s="60"/>
      <c r="E300" s="60"/>
      <c r="F300" s="60"/>
      <c r="G300" s="50"/>
      <c r="H300" s="61"/>
      <c r="I300" s="61"/>
      <c r="J300" s="61"/>
      <c r="K300" s="61"/>
      <c r="L300" s="61"/>
      <c r="M300" s="44"/>
      <c r="N300" s="44"/>
      <c r="O300" s="44"/>
      <c r="P300" s="44"/>
      <c r="Q300" s="64"/>
      <c r="R300" s="64"/>
      <c r="V300" s="207"/>
      <c r="AF300" s="207"/>
      <c r="AP300" s="207"/>
      <c r="AZ300" s="207"/>
    </row>
    <row r="301" spans="3:52" s="49" customFormat="1" ht="15.75" x14ac:dyDescent="0.25">
      <c r="C301" s="48"/>
      <c r="D301" s="60"/>
      <c r="E301" s="60"/>
      <c r="F301" s="60"/>
      <c r="G301" s="50"/>
      <c r="H301" s="61"/>
      <c r="I301" s="61"/>
      <c r="J301" s="61"/>
      <c r="K301" s="61"/>
      <c r="L301" s="61"/>
      <c r="M301" s="44"/>
      <c r="N301" s="44"/>
      <c r="O301" s="44"/>
      <c r="P301" s="44"/>
      <c r="Q301" s="64"/>
      <c r="R301" s="64"/>
      <c r="V301" s="207"/>
      <c r="AF301" s="207"/>
      <c r="AP301" s="207"/>
      <c r="AZ301" s="207"/>
    </row>
    <row r="302" spans="3:52" s="49" customFormat="1" ht="15.75" x14ac:dyDescent="0.25">
      <c r="C302" s="48"/>
      <c r="D302" s="60"/>
      <c r="E302" s="60"/>
      <c r="F302" s="60"/>
      <c r="G302" s="50"/>
      <c r="H302" s="61"/>
      <c r="I302" s="61"/>
      <c r="J302" s="61"/>
      <c r="K302" s="61"/>
      <c r="L302" s="61"/>
      <c r="M302" s="44"/>
      <c r="N302" s="44"/>
      <c r="O302" s="44"/>
      <c r="P302" s="44"/>
      <c r="Q302" s="64"/>
      <c r="R302" s="64"/>
      <c r="V302" s="207"/>
      <c r="AF302" s="207"/>
      <c r="AP302" s="207"/>
      <c r="AZ302" s="207"/>
    </row>
    <row r="303" spans="3:52" s="49" customFormat="1" ht="15.75" x14ac:dyDescent="0.25">
      <c r="C303" s="48"/>
      <c r="D303" s="60"/>
      <c r="E303" s="60"/>
      <c r="F303" s="60"/>
      <c r="G303" s="50"/>
      <c r="H303" s="61"/>
      <c r="I303" s="61"/>
      <c r="J303" s="61"/>
      <c r="K303" s="61"/>
      <c r="L303" s="61"/>
      <c r="M303" s="44"/>
      <c r="N303" s="44"/>
      <c r="O303" s="44"/>
      <c r="P303" s="44"/>
      <c r="Q303" s="64"/>
      <c r="R303" s="64"/>
      <c r="V303" s="207"/>
      <c r="AF303" s="207"/>
      <c r="AP303" s="207"/>
      <c r="AZ303" s="207"/>
    </row>
    <row r="304" spans="3:52" s="49" customFormat="1" ht="15.75" x14ac:dyDescent="0.25">
      <c r="C304" s="48"/>
      <c r="D304" s="60"/>
      <c r="E304" s="60"/>
      <c r="F304" s="60"/>
      <c r="G304" s="50"/>
      <c r="H304" s="61"/>
      <c r="I304" s="61"/>
      <c r="J304" s="61"/>
      <c r="K304" s="61"/>
      <c r="L304" s="61"/>
      <c r="M304" s="44"/>
      <c r="N304" s="44"/>
      <c r="O304" s="44"/>
      <c r="P304" s="44"/>
      <c r="Q304" s="64"/>
      <c r="R304" s="64"/>
      <c r="V304" s="207"/>
      <c r="AF304" s="207"/>
      <c r="AP304" s="207"/>
      <c r="AZ304" s="207"/>
    </row>
    <row r="305" spans="3:52" s="49" customFormat="1" ht="15.75" x14ac:dyDescent="0.25">
      <c r="C305" s="48"/>
      <c r="D305" s="60"/>
      <c r="E305" s="60"/>
      <c r="F305" s="60"/>
      <c r="G305" s="50"/>
      <c r="H305" s="61"/>
      <c r="I305" s="61"/>
      <c r="J305" s="61"/>
      <c r="K305" s="61"/>
      <c r="L305" s="61"/>
      <c r="M305" s="44"/>
      <c r="N305" s="44"/>
      <c r="O305" s="44"/>
      <c r="P305" s="44"/>
      <c r="Q305" s="64"/>
      <c r="R305" s="64"/>
      <c r="V305" s="207"/>
      <c r="AF305" s="207"/>
      <c r="AP305" s="207"/>
      <c r="AZ305" s="207"/>
    </row>
    <row r="306" spans="3:52" s="49" customFormat="1" ht="15.75" x14ac:dyDescent="0.25">
      <c r="C306" s="48"/>
      <c r="D306" s="60"/>
      <c r="E306" s="60"/>
      <c r="F306" s="60"/>
      <c r="G306" s="50"/>
      <c r="H306" s="61"/>
      <c r="I306" s="61"/>
      <c r="J306" s="61"/>
      <c r="K306" s="61"/>
      <c r="L306" s="61"/>
      <c r="M306" s="44"/>
      <c r="N306" s="44"/>
      <c r="O306" s="44"/>
      <c r="P306" s="44"/>
      <c r="Q306" s="64"/>
      <c r="R306" s="64"/>
      <c r="V306" s="207"/>
      <c r="AF306" s="207"/>
      <c r="AP306" s="207"/>
      <c r="AZ306" s="207"/>
    </row>
    <row r="307" spans="3:52" s="49" customFormat="1" ht="15.75" x14ac:dyDescent="0.25">
      <c r="C307" s="48"/>
      <c r="D307" s="60"/>
      <c r="E307" s="60"/>
      <c r="F307" s="60"/>
      <c r="G307" s="50"/>
      <c r="H307" s="61"/>
      <c r="I307" s="61"/>
      <c r="J307" s="61"/>
      <c r="K307" s="61"/>
      <c r="L307" s="61"/>
      <c r="M307" s="44"/>
      <c r="N307" s="44"/>
      <c r="O307" s="44"/>
      <c r="P307" s="44"/>
      <c r="Q307" s="64"/>
      <c r="R307" s="64"/>
      <c r="V307" s="207"/>
      <c r="AF307" s="207"/>
      <c r="AP307" s="207"/>
      <c r="AZ307" s="207"/>
    </row>
    <row r="308" spans="3:52" s="49" customFormat="1" ht="15.75" x14ac:dyDescent="0.25">
      <c r="C308" s="48"/>
      <c r="D308" s="60"/>
      <c r="E308" s="60"/>
      <c r="F308" s="60"/>
      <c r="G308" s="50"/>
      <c r="H308" s="61"/>
      <c r="I308" s="61"/>
      <c r="J308" s="61"/>
      <c r="K308" s="61"/>
      <c r="L308" s="61"/>
      <c r="M308" s="44"/>
      <c r="N308" s="44"/>
      <c r="O308" s="44"/>
      <c r="P308" s="44"/>
      <c r="Q308" s="64"/>
      <c r="R308" s="64"/>
      <c r="V308" s="207"/>
      <c r="AF308" s="207"/>
      <c r="AP308" s="207"/>
      <c r="AZ308" s="207"/>
    </row>
    <row r="309" spans="3:52" s="49" customFormat="1" ht="15.75" x14ac:dyDescent="0.25">
      <c r="C309" s="48"/>
      <c r="D309" s="60"/>
      <c r="E309" s="60"/>
      <c r="F309" s="60"/>
      <c r="G309" s="50"/>
      <c r="H309" s="61"/>
      <c r="I309" s="61"/>
      <c r="J309" s="61"/>
      <c r="K309" s="61"/>
      <c r="L309" s="61"/>
      <c r="M309" s="44"/>
      <c r="N309" s="44"/>
      <c r="O309" s="44"/>
      <c r="P309" s="44"/>
      <c r="Q309" s="64"/>
      <c r="R309" s="64"/>
      <c r="V309" s="207"/>
      <c r="AF309" s="207"/>
      <c r="AP309" s="207"/>
      <c r="AZ309" s="207"/>
    </row>
    <row r="310" spans="3:52" s="49" customFormat="1" ht="15.75" x14ac:dyDescent="0.25">
      <c r="C310" s="48"/>
      <c r="D310" s="60"/>
      <c r="E310" s="60"/>
      <c r="F310" s="60"/>
      <c r="G310" s="50"/>
      <c r="H310" s="61"/>
      <c r="I310" s="61"/>
      <c r="J310" s="61"/>
      <c r="K310" s="61"/>
      <c r="L310" s="61"/>
      <c r="M310" s="44"/>
      <c r="N310" s="44"/>
      <c r="O310" s="44"/>
      <c r="P310" s="44"/>
      <c r="Q310" s="64"/>
      <c r="R310" s="64"/>
      <c r="V310" s="207"/>
      <c r="AF310" s="207"/>
      <c r="AP310" s="207"/>
      <c r="AZ310" s="207"/>
    </row>
    <row r="311" spans="3:52" s="49" customFormat="1" ht="15.75" x14ac:dyDescent="0.25">
      <c r="C311" s="48"/>
      <c r="D311" s="60"/>
      <c r="E311" s="60"/>
      <c r="F311" s="60"/>
      <c r="G311" s="50"/>
      <c r="H311" s="61"/>
      <c r="I311" s="61"/>
      <c r="J311" s="61"/>
      <c r="K311" s="61"/>
      <c r="L311" s="61"/>
      <c r="M311" s="44"/>
      <c r="N311" s="44"/>
      <c r="O311" s="44"/>
      <c r="P311" s="44"/>
      <c r="Q311" s="64"/>
      <c r="R311" s="64"/>
      <c r="V311" s="207"/>
      <c r="AF311" s="207"/>
      <c r="AP311" s="207"/>
      <c r="AZ311" s="207"/>
    </row>
    <row r="312" spans="3:52" s="49" customFormat="1" ht="15.75" x14ac:dyDescent="0.25">
      <c r="C312" s="48"/>
      <c r="D312" s="60"/>
      <c r="E312" s="60"/>
      <c r="F312" s="60"/>
      <c r="G312" s="50"/>
      <c r="H312" s="61"/>
      <c r="I312" s="61"/>
      <c r="J312" s="61"/>
      <c r="K312" s="61"/>
      <c r="L312" s="61"/>
      <c r="M312" s="44"/>
      <c r="N312" s="44"/>
      <c r="O312" s="44"/>
      <c r="P312" s="44"/>
      <c r="Q312" s="64"/>
      <c r="R312" s="64"/>
      <c r="V312" s="207"/>
      <c r="AF312" s="207"/>
      <c r="AP312" s="207"/>
      <c r="AZ312" s="207"/>
    </row>
    <row r="313" spans="3:52" s="49" customFormat="1" ht="15.75" x14ac:dyDescent="0.25">
      <c r="C313" s="48"/>
      <c r="D313" s="60"/>
      <c r="E313" s="60"/>
      <c r="F313" s="60"/>
      <c r="G313" s="50"/>
      <c r="H313" s="61"/>
      <c r="I313" s="61"/>
      <c r="J313" s="61"/>
      <c r="K313" s="61"/>
      <c r="L313" s="61"/>
      <c r="M313" s="44"/>
      <c r="N313" s="44"/>
      <c r="O313" s="44"/>
      <c r="P313" s="44"/>
      <c r="Q313" s="64"/>
      <c r="R313" s="64"/>
      <c r="V313" s="207"/>
      <c r="AF313" s="207"/>
      <c r="AP313" s="207"/>
      <c r="AZ313" s="207"/>
    </row>
    <row r="314" spans="3:52" s="49" customFormat="1" ht="15.75" x14ac:dyDescent="0.25">
      <c r="C314" s="48"/>
      <c r="D314" s="60"/>
      <c r="E314" s="60"/>
      <c r="F314" s="60"/>
      <c r="G314" s="50"/>
      <c r="H314" s="61"/>
      <c r="I314" s="61"/>
      <c r="J314" s="61"/>
      <c r="K314" s="61"/>
      <c r="L314" s="61"/>
      <c r="M314" s="44"/>
      <c r="N314" s="44"/>
      <c r="O314" s="44"/>
      <c r="P314" s="44"/>
      <c r="Q314" s="64"/>
      <c r="R314" s="64"/>
      <c r="V314" s="207"/>
      <c r="AF314" s="207"/>
      <c r="AP314" s="207"/>
      <c r="AZ314" s="207"/>
    </row>
    <row r="315" spans="3:52" s="49" customFormat="1" ht="15.75" x14ac:dyDescent="0.25">
      <c r="C315" s="48"/>
      <c r="D315" s="60"/>
      <c r="E315" s="60"/>
      <c r="F315" s="60"/>
      <c r="G315" s="50"/>
      <c r="H315" s="61"/>
      <c r="I315" s="61"/>
      <c r="J315" s="61"/>
      <c r="K315" s="61"/>
      <c r="L315" s="61"/>
      <c r="M315" s="44"/>
      <c r="N315" s="44"/>
      <c r="O315" s="44"/>
      <c r="P315" s="44"/>
      <c r="Q315" s="64"/>
      <c r="R315" s="64"/>
      <c r="V315" s="207"/>
      <c r="AF315" s="207"/>
      <c r="AP315" s="207"/>
      <c r="AZ315" s="207"/>
    </row>
    <row r="316" spans="3:52" s="49" customFormat="1" ht="15.75" x14ac:dyDescent="0.25">
      <c r="C316" s="48"/>
      <c r="D316" s="60"/>
      <c r="E316" s="60"/>
      <c r="F316" s="60"/>
      <c r="G316" s="50"/>
      <c r="H316" s="61"/>
      <c r="I316" s="61"/>
      <c r="J316" s="61"/>
      <c r="K316" s="61"/>
      <c r="L316" s="61"/>
      <c r="M316" s="44"/>
      <c r="N316" s="44"/>
      <c r="O316" s="44"/>
      <c r="P316" s="44"/>
      <c r="Q316" s="64"/>
      <c r="R316" s="64"/>
      <c r="V316" s="207"/>
      <c r="AF316" s="207"/>
      <c r="AP316" s="207"/>
      <c r="AZ316" s="207"/>
    </row>
    <row r="317" spans="3:52" ht="15" x14ac:dyDescent="0.25">
      <c r="D317" s="65"/>
      <c r="E317" s="65"/>
      <c r="F317" s="65"/>
    </row>
    <row r="318" spans="3:52" ht="15" x14ac:dyDescent="0.25">
      <c r="D318" s="65"/>
      <c r="E318" s="65"/>
      <c r="F318" s="65"/>
    </row>
    <row r="319" spans="3:52" ht="15" x14ac:dyDescent="0.25">
      <c r="D319" s="65"/>
      <c r="E319" s="65"/>
      <c r="F319" s="65"/>
    </row>
    <row r="320" spans="3:52" ht="15" x14ac:dyDescent="0.25">
      <c r="D320" s="65"/>
      <c r="E320" s="65"/>
      <c r="F320" s="65"/>
    </row>
    <row r="321" spans="4:6" ht="15" x14ac:dyDescent="0.25">
      <c r="D321" s="65"/>
      <c r="E321" s="65"/>
      <c r="F321" s="65"/>
    </row>
    <row r="322" spans="4:6" ht="15" x14ac:dyDescent="0.25">
      <c r="D322" s="65"/>
      <c r="E322" s="65"/>
      <c r="F322" s="65"/>
    </row>
    <row r="323" spans="4:6" ht="15" x14ac:dyDescent="0.25">
      <c r="D323" s="65"/>
      <c r="E323" s="65"/>
      <c r="F323" s="65"/>
    </row>
    <row r="324" spans="4:6" ht="15" x14ac:dyDescent="0.25">
      <c r="D324" s="65"/>
      <c r="E324" s="65"/>
      <c r="F324" s="65"/>
    </row>
    <row r="325" spans="4:6" ht="15" x14ac:dyDescent="0.25">
      <c r="D325" s="65"/>
      <c r="E325" s="65"/>
      <c r="F325" s="65"/>
    </row>
    <row r="326" spans="4:6" ht="15" x14ac:dyDescent="0.25">
      <c r="D326" s="65"/>
      <c r="E326" s="65"/>
      <c r="F326" s="65"/>
    </row>
    <row r="327" spans="4:6" ht="15" x14ac:dyDescent="0.25">
      <c r="D327" s="65"/>
      <c r="E327" s="65"/>
      <c r="F327" s="65"/>
    </row>
    <row r="328" spans="4:6" ht="15" x14ac:dyDescent="0.25">
      <c r="D328" s="65"/>
      <c r="E328" s="65"/>
      <c r="F328" s="65"/>
    </row>
    <row r="329" spans="4:6" ht="15" x14ac:dyDescent="0.25">
      <c r="D329" s="65"/>
      <c r="E329" s="65"/>
      <c r="F329" s="65"/>
    </row>
    <row r="330" spans="4:6" ht="15" x14ac:dyDescent="0.25">
      <c r="D330" s="65"/>
      <c r="E330" s="65"/>
      <c r="F330" s="65"/>
    </row>
    <row r="331" spans="4:6" ht="15" x14ac:dyDescent="0.25">
      <c r="D331" s="65"/>
      <c r="E331" s="65"/>
      <c r="F331" s="65"/>
    </row>
    <row r="332" spans="4:6" ht="15" x14ac:dyDescent="0.25">
      <c r="D332" s="65"/>
      <c r="E332" s="65"/>
      <c r="F332" s="65"/>
    </row>
    <row r="333" spans="4:6" ht="15" x14ac:dyDescent="0.25">
      <c r="D333" s="65"/>
      <c r="E333" s="65"/>
      <c r="F333" s="65"/>
    </row>
    <row r="334" spans="4:6" ht="15" x14ac:dyDescent="0.25">
      <c r="D334" s="65"/>
      <c r="E334" s="65"/>
      <c r="F334" s="65"/>
    </row>
    <row r="335" spans="4:6" ht="15" x14ac:dyDescent="0.25">
      <c r="D335" s="65"/>
      <c r="E335" s="65"/>
      <c r="F335" s="65"/>
    </row>
    <row r="336" spans="4:6" ht="15" x14ac:dyDescent="0.25">
      <c r="D336" s="65"/>
      <c r="E336" s="65"/>
      <c r="F336" s="65"/>
    </row>
    <row r="337" spans="4:6" ht="15" x14ac:dyDescent="0.25">
      <c r="D337" s="65"/>
      <c r="E337" s="65"/>
      <c r="F337" s="65"/>
    </row>
    <row r="338" spans="4:6" ht="15" x14ac:dyDescent="0.25">
      <c r="D338" s="65"/>
      <c r="E338" s="65"/>
      <c r="F338" s="65"/>
    </row>
    <row r="339" spans="4:6" ht="15" x14ac:dyDescent="0.25">
      <c r="D339" s="65"/>
      <c r="E339" s="65"/>
      <c r="F339" s="65"/>
    </row>
    <row r="340" spans="4:6" ht="15" x14ac:dyDescent="0.25">
      <c r="D340" s="65"/>
      <c r="E340" s="65"/>
      <c r="F340" s="65"/>
    </row>
    <row r="341" spans="4:6" ht="15" x14ac:dyDescent="0.25">
      <c r="D341" s="65"/>
      <c r="E341" s="65"/>
      <c r="F341" s="65"/>
    </row>
    <row r="342" spans="4:6" ht="15" x14ac:dyDescent="0.25">
      <c r="D342" s="65"/>
      <c r="E342" s="65"/>
      <c r="F342" s="65"/>
    </row>
    <row r="343" spans="4:6" ht="15" x14ac:dyDescent="0.25">
      <c r="D343" s="65"/>
      <c r="E343" s="65"/>
      <c r="F343" s="65"/>
    </row>
    <row r="344" spans="4:6" ht="15" x14ac:dyDescent="0.25">
      <c r="D344" s="65"/>
      <c r="E344" s="65"/>
      <c r="F344" s="65"/>
    </row>
    <row r="345" spans="4:6" ht="15" x14ac:dyDescent="0.25">
      <c r="D345" s="65"/>
      <c r="E345" s="65"/>
      <c r="F345" s="65"/>
    </row>
    <row r="346" spans="4:6" ht="15" x14ac:dyDescent="0.25">
      <c r="D346" s="65"/>
      <c r="E346" s="65"/>
      <c r="F346" s="65"/>
    </row>
    <row r="347" spans="4:6" ht="15" x14ac:dyDescent="0.25">
      <c r="D347" s="65"/>
      <c r="E347" s="65"/>
      <c r="F347" s="65"/>
    </row>
    <row r="348" spans="4:6" ht="15" x14ac:dyDescent="0.25">
      <c r="D348" s="65"/>
      <c r="E348" s="65"/>
      <c r="F348" s="65"/>
    </row>
    <row r="349" spans="4:6" ht="15" x14ac:dyDescent="0.25">
      <c r="D349" s="65"/>
      <c r="E349" s="65"/>
      <c r="F349" s="65"/>
    </row>
    <row r="350" spans="4:6" ht="15" x14ac:dyDescent="0.25">
      <c r="D350" s="65"/>
      <c r="E350" s="65"/>
      <c r="F350" s="65"/>
    </row>
    <row r="351" spans="4:6" ht="15" x14ac:dyDescent="0.25">
      <c r="D351" s="65"/>
      <c r="E351" s="65"/>
      <c r="F351" s="65"/>
    </row>
    <row r="352" spans="4:6" ht="15" x14ac:dyDescent="0.25">
      <c r="D352" s="65"/>
      <c r="E352" s="65"/>
      <c r="F352" s="65"/>
    </row>
    <row r="353" spans="4:6" ht="15" x14ac:dyDescent="0.25">
      <c r="D353" s="65"/>
      <c r="E353" s="65"/>
      <c r="F353" s="65"/>
    </row>
    <row r="354" spans="4:6" ht="15" x14ac:dyDescent="0.25">
      <c r="D354" s="65"/>
      <c r="E354" s="65"/>
      <c r="F354" s="65"/>
    </row>
    <row r="355" spans="4:6" ht="15" x14ac:dyDescent="0.25">
      <c r="D355" s="65"/>
      <c r="E355" s="65"/>
      <c r="F355" s="65"/>
    </row>
    <row r="356" spans="4:6" ht="15" x14ac:dyDescent="0.25">
      <c r="D356" s="65"/>
      <c r="E356" s="65"/>
      <c r="F356" s="65"/>
    </row>
    <row r="357" spans="4:6" ht="15" x14ac:dyDescent="0.25">
      <c r="D357" s="65"/>
      <c r="E357" s="65"/>
      <c r="F357" s="65"/>
    </row>
    <row r="358" spans="4:6" ht="15" x14ac:dyDescent="0.25">
      <c r="D358" s="65"/>
      <c r="E358" s="65"/>
      <c r="F358" s="65"/>
    </row>
    <row r="359" spans="4:6" ht="15" x14ac:dyDescent="0.25">
      <c r="D359" s="65"/>
      <c r="E359" s="65"/>
      <c r="F359" s="65"/>
    </row>
    <row r="360" spans="4:6" ht="15" x14ac:dyDescent="0.25">
      <c r="D360" s="65"/>
      <c r="E360" s="65"/>
      <c r="F360" s="65"/>
    </row>
    <row r="361" spans="4:6" ht="15" x14ac:dyDescent="0.25">
      <c r="D361" s="65"/>
      <c r="E361" s="65"/>
      <c r="F361" s="65"/>
    </row>
    <row r="362" spans="4:6" ht="15" x14ac:dyDescent="0.25">
      <c r="D362" s="65"/>
      <c r="E362" s="65"/>
      <c r="F362" s="65"/>
    </row>
    <row r="363" spans="4:6" ht="15" x14ac:dyDescent="0.25">
      <c r="D363" s="65"/>
      <c r="E363" s="65"/>
      <c r="F363" s="65"/>
    </row>
    <row r="364" spans="4:6" ht="15" x14ac:dyDescent="0.25">
      <c r="D364" s="65"/>
      <c r="E364" s="65"/>
      <c r="F364" s="65"/>
    </row>
    <row r="365" spans="4:6" ht="15" x14ac:dyDescent="0.25">
      <c r="D365" s="65"/>
      <c r="E365" s="65"/>
      <c r="F365" s="65"/>
    </row>
    <row r="366" spans="4:6" ht="15" x14ac:dyDescent="0.25">
      <c r="D366" s="65"/>
      <c r="E366" s="65"/>
      <c r="F366" s="65"/>
    </row>
    <row r="367" spans="4:6" ht="15" x14ac:dyDescent="0.25">
      <c r="D367" s="65"/>
      <c r="E367" s="65"/>
      <c r="F367" s="65"/>
    </row>
    <row r="368" spans="4:6" ht="15" x14ac:dyDescent="0.25">
      <c r="D368" s="65"/>
      <c r="E368" s="65"/>
      <c r="F368" s="65"/>
    </row>
    <row r="369" spans="4:6" ht="15" x14ac:dyDescent="0.25">
      <c r="D369" s="65"/>
      <c r="E369" s="65"/>
      <c r="F369" s="65"/>
    </row>
    <row r="370" spans="4:6" ht="15" x14ac:dyDescent="0.25">
      <c r="D370" s="65"/>
      <c r="E370" s="65"/>
      <c r="F370" s="65"/>
    </row>
    <row r="371" spans="4:6" ht="15" x14ac:dyDescent="0.25">
      <c r="D371" s="65"/>
      <c r="E371" s="65"/>
      <c r="F371" s="65"/>
    </row>
    <row r="372" spans="4:6" ht="15" x14ac:dyDescent="0.25">
      <c r="D372" s="65"/>
      <c r="E372" s="65"/>
      <c r="F372" s="65"/>
    </row>
    <row r="373" spans="4:6" ht="15" x14ac:dyDescent="0.25">
      <c r="D373" s="65"/>
      <c r="E373" s="65"/>
      <c r="F373" s="65"/>
    </row>
    <row r="374" spans="4:6" ht="15" x14ac:dyDescent="0.25">
      <c r="D374" s="65"/>
      <c r="E374" s="65"/>
      <c r="F374" s="65"/>
    </row>
    <row r="375" spans="4:6" ht="15" x14ac:dyDescent="0.25">
      <c r="D375" s="65"/>
      <c r="E375" s="65"/>
      <c r="F375" s="65"/>
    </row>
    <row r="376" spans="4:6" ht="15" x14ac:dyDescent="0.25">
      <c r="D376" s="65"/>
      <c r="E376" s="65"/>
      <c r="F376" s="65"/>
    </row>
    <row r="377" spans="4:6" ht="15" x14ac:dyDescent="0.25">
      <c r="D377" s="65"/>
      <c r="E377" s="65"/>
      <c r="F377" s="65"/>
    </row>
    <row r="378" spans="4:6" ht="15" x14ac:dyDescent="0.25">
      <c r="D378" s="65"/>
      <c r="E378" s="65"/>
      <c r="F378" s="65"/>
    </row>
    <row r="379" spans="4:6" ht="15" x14ac:dyDescent="0.25">
      <c r="D379" s="65"/>
      <c r="E379" s="65"/>
      <c r="F379" s="65"/>
    </row>
    <row r="380" spans="4:6" ht="15" x14ac:dyDescent="0.25">
      <c r="D380" s="65"/>
      <c r="E380" s="65"/>
      <c r="F380" s="65"/>
    </row>
    <row r="381" spans="4:6" ht="15" x14ac:dyDescent="0.25">
      <c r="D381" s="65"/>
      <c r="E381" s="65"/>
      <c r="F381" s="65"/>
    </row>
    <row r="382" spans="4:6" ht="15" x14ac:dyDescent="0.25">
      <c r="D382" s="65"/>
      <c r="E382" s="65"/>
      <c r="F382" s="65"/>
    </row>
    <row r="383" spans="4:6" ht="15" x14ac:dyDescent="0.25">
      <c r="D383" s="65"/>
      <c r="E383" s="65"/>
      <c r="F383" s="65"/>
    </row>
    <row r="384" spans="4:6" ht="15" x14ac:dyDescent="0.25">
      <c r="D384" s="65"/>
      <c r="E384" s="65"/>
      <c r="F384" s="65"/>
    </row>
    <row r="385" spans="4:6" ht="15" x14ac:dyDescent="0.25">
      <c r="D385" s="65"/>
      <c r="E385" s="65"/>
      <c r="F385" s="65"/>
    </row>
    <row r="386" spans="4:6" ht="15" x14ac:dyDescent="0.25">
      <c r="D386" s="65"/>
      <c r="E386" s="65"/>
      <c r="F386" s="65"/>
    </row>
    <row r="387" spans="4:6" ht="15" x14ac:dyDescent="0.25">
      <c r="D387" s="65"/>
      <c r="E387" s="65"/>
      <c r="F387" s="65"/>
    </row>
    <row r="388" spans="4:6" ht="15" x14ac:dyDescent="0.25">
      <c r="D388" s="65"/>
      <c r="E388" s="65"/>
      <c r="F388" s="65"/>
    </row>
    <row r="389" spans="4:6" ht="15" x14ac:dyDescent="0.25">
      <c r="D389" s="65"/>
      <c r="E389" s="65"/>
      <c r="F389" s="65"/>
    </row>
    <row r="390" spans="4:6" ht="15" x14ac:dyDescent="0.25">
      <c r="D390" s="65"/>
      <c r="E390" s="65"/>
      <c r="F390" s="65"/>
    </row>
    <row r="391" spans="4:6" ht="15" x14ac:dyDescent="0.25">
      <c r="D391" s="65"/>
      <c r="E391" s="65"/>
      <c r="F391" s="65"/>
    </row>
    <row r="392" spans="4:6" ht="15" x14ac:dyDescent="0.25">
      <c r="D392" s="65"/>
      <c r="E392" s="65"/>
      <c r="F392" s="65"/>
    </row>
    <row r="393" spans="4:6" ht="15" x14ac:dyDescent="0.25">
      <c r="D393" s="65"/>
      <c r="E393" s="65"/>
      <c r="F393" s="65"/>
    </row>
    <row r="394" spans="4:6" ht="15" x14ac:dyDescent="0.25">
      <c r="D394" s="65"/>
      <c r="E394" s="65"/>
      <c r="F394" s="65"/>
    </row>
    <row r="395" spans="4:6" ht="15" x14ac:dyDescent="0.25">
      <c r="D395" s="65"/>
      <c r="E395" s="65"/>
      <c r="F395" s="65"/>
    </row>
    <row r="396" spans="4:6" ht="15" x14ac:dyDescent="0.25">
      <c r="D396" s="65"/>
      <c r="E396" s="65"/>
      <c r="F396" s="65"/>
    </row>
    <row r="397" spans="4:6" ht="15" x14ac:dyDescent="0.25">
      <c r="D397" s="65"/>
      <c r="E397" s="65"/>
      <c r="F397" s="65"/>
    </row>
    <row r="398" spans="4:6" ht="15" x14ac:dyDescent="0.25">
      <c r="D398" s="65"/>
      <c r="E398" s="65"/>
      <c r="F398" s="65"/>
    </row>
    <row r="399" spans="4:6" ht="15" x14ac:dyDescent="0.25">
      <c r="D399" s="65"/>
      <c r="E399" s="65"/>
      <c r="F399" s="65"/>
    </row>
    <row r="400" spans="4:6" ht="15" x14ac:dyDescent="0.25">
      <c r="D400" s="65"/>
      <c r="E400" s="65"/>
      <c r="F400" s="65"/>
    </row>
    <row r="401" spans="4:6" ht="15" x14ac:dyDescent="0.25">
      <c r="D401" s="65"/>
      <c r="E401" s="65"/>
      <c r="F401" s="65"/>
    </row>
    <row r="402" spans="4:6" ht="15" x14ac:dyDescent="0.25">
      <c r="D402" s="65"/>
      <c r="E402" s="65"/>
      <c r="F402" s="65"/>
    </row>
    <row r="403" spans="4:6" ht="15" x14ac:dyDescent="0.25">
      <c r="D403" s="65"/>
      <c r="E403" s="65"/>
      <c r="F403" s="65"/>
    </row>
    <row r="404" spans="4:6" ht="15" x14ac:dyDescent="0.25">
      <c r="D404" s="65"/>
      <c r="E404" s="65"/>
      <c r="F404" s="65"/>
    </row>
    <row r="405" spans="4:6" ht="15" x14ac:dyDescent="0.25">
      <c r="D405" s="65"/>
      <c r="E405" s="65"/>
      <c r="F405" s="65"/>
    </row>
    <row r="406" spans="4:6" ht="15" x14ac:dyDescent="0.25">
      <c r="D406" s="65"/>
      <c r="E406" s="65"/>
      <c r="F406" s="65"/>
    </row>
    <row r="407" spans="4:6" ht="15" x14ac:dyDescent="0.25">
      <c r="D407" s="65"/>
      <c r="E407" s="65"/>
      <c r="F407" s="65"/>
    </row>
    <row r="408" spans="4:6" ht="15" x14ac:dyDescent="0.25">
      <c r="D408" s="65"/>
      <c r="E408" s="65"/>
      <c r="F408" s="65"/>
    </row>
    <row r="409" spans="4:6" ht="15" x14ac:dyDescent="0.25">
      <c r="D409" s="65"/>
      <c r="E409" s="65"/>
      <c r="F409" s="65"/>
    </row>
    <row r="410" spans="4:6" ht="15" x14ac:dyDescent="0.25">
      <c r="D410" s="65"/>
      <c r="E410" s="65"/>
      <c r="F410" s="65"/>
    </row>
    <row r="411" spans="4:6" ht="15" x14ac:dyDescent="0.25">
      <c r="D411" s="65"/>
      <c r="E411" s="65"/>
      <c r="F411" s="65"/>
    </row>
    <row r="412" spans="4:6" ht="15" x14ac:dyDescent="0.25">
      <c r="D412" s="65"/>
      <c r="E412" s="65"/>
      <c r="F412" s="65"/>
    </row>
    <row r="413" spans="4:6" ht="15" x14ac:dyDescent="0.25">
      <c r="D413" s="65"/>
      <c r="E413" s="65"/>
      <c r="F413" s="65"/>
    </row>
    <row r="414" spans="4:6" ht="15" x14ac:dyDescent="0.25">
      <c r="D414" s="65"/>
      <c r="E414" s="65"/>
      <c r="F414" s="65"/>
    </row>
    <row r="415" spans="4:6" ht="15" x14ac:dyDescent="0.25">
      <c r="D415" s="65"/>
      <c r="E415" s="65"/>
      <c r="F415" s="65"/>
    </row>
    <row r="416" spans="4:6" ht="15" x14ac:dyDescent="0.25">
      <c r="D416" s="65"/>
      <c r="E416" s="65"/>
      <c r="F416" s="65"/>
    </row>
    <row r="417" spans="4:6" ht="15" x14ac:dyDescent="0.25">
      <c r="D417" s="65"/>
      <c r="E417" s="65"/>
      <c r="F417" s="65"/>
    </row>
    <row r="418" spans="4:6" ht="15" x14ac:dyDescent="0.25">
      <c r="D418" s="65"/>
      <c r="E418" s="65"/>
      <c r="F418" s="65"/>
    </row>
    <row r="419" spans="4:6" ht="15" x14ac:dyDescent="0.25">
      <c r="D419" s="65"/>
      <c r="E419" s="65"/>
      <c r="F419" s="65"/>
    </row>
    <row r="420" spans="4:6" ht="15" x14ac:dyDescent="0.25">
      <c r="D420" s="65"/>
      <c r="E420" s="65"/>
      <c r="F420" s="65"/>
    </row>
    <row r="421" spans="4:6" ht="15" x14ac:dyDescent="0.25">
      <c r="D421" s="65"/>
      <c r="E421" s="65"/>
      <c r="F421" s="65"/>
    </row>
    <row r="422" spans="4:6" ht="15" x14ac:dyDescent="0.25">
      <c r="D422" s="65"/>
      <c r="E422" s="65"/>
      <c r="F422" s="65"/>
    </row>
    <row r="423" spans="4:6" ht="15" x14ac:dyDescent="0.25">
      <c r="D423" s="65"/>
      <c r="E423" s="65"/>
      <c r="F423" s="65"/>
    </row>
    <row r="424" spans="4:6" ht="15" x14ac:dyDescent="0.25">
      <c r="D424" s="65"/>
      <c r="E424" s="65"/>
      <c r="F424" s="65"/>
    </row>
    <row r="425" spans="4:6" ht="15" x14ac:dyDescent="0.25">
      <c r="D425" s="65"/>
      <c r="E425" s="65"/>
      <c r="F425" s="65"/>
    </row>
    <row r="426" spans="4:6" ht="15" x14ac:dyDescent="0.25">
      <c r="D426" s="65"/>
      <c r="E426" s="65"/>
      <c r="F426" s="65"/>
    </row>
    <row r="427" spans="4:6" ht="15" x14ac:dyDescent="0.25">
      <c r="D427" s="65"/>
      <c r="E427" s="65"/>
      <c r="F427" s="65"/>
    </row>
    <row r="428" spans="4:6" ht="15" x14ac:dyDescent="0.25">
      <c r="D428" s="65"/>
      <c r="E428" s="65"/>
      <c r="F428" s="65"/>
    </row>
    <row r="429" spans="4:6" ht="15" x14ac:dyDescent="0.25">
      <c r="D429" s="65"/>
      <c r="E429" s="65"/>
      <c r="F429" s="65"/>
    </row>
    <row r="430" spans="4:6" ht="15" x14ac:dyDescent="0.25">
      <c r="D430" s="65"/>
      <c r="E430" s="65"/>
      <c r="F430" s="65"/>
    </row>
    <row r="431" spans="4:6" ht="15" x14ac:dyDescent="0.25">
      <c r="D431" s="65"/>
      <c r="E431" s="65"/>
      <c r="F431" s="65"/>
    </row>
    <row r="432" spans="4:6" ht="15" x14ac:dyDescent="0.25">
      <c r="D432" s="65"/>
      <c r="E432" s="65"/>
      <c r="F432" s="65"/>
    </row>
    <row r="433" spans="4:6" ht="15" x14ac:dyDescent="0.25">
      <c r="D433" s="65"/>
      <c r="E433" s="65"/>
      <c r="F433" s="65"/>
    </row>
    <row r="434" spans="4:6" ht="15" x14ac:dyDescent="0.25">
      <c r="D434" s="65"/>
      <c r="E434" s="65"/>
      <c r="F434" s="65"/>
    </row>
    <row r="435" spans="4:6" ht="15" x14ac:dyDescent="0.25">
      <c r="D435" s="65"/>
      <c r="E435" s="65"/>
      <c r="F435" s="65"/>
    </row>
    <row r="436" spans="4:6" ht="15" x14ac:dyDescent="0.25">
      <c r="D436" s="65"/>
      <c r="E436" s="65"/>
      <c r="F436" s="65"/>
    </row>
    <row r="437" spans="4:6" ht="15" x14ac:dyDescent="0.25">
      <c r="D437" s="65"/>
      <c r="E437" s="65"/>
      <c r="F437" s="65"/>
    </row>
    <row r="438" spans="4:6" ht="15" x14ac:dyDescent="0.25">
      <c r="D438" s="65"/>
      <c r="E438" s="65"/>
      <c r="F438" s="65"/>
    </row>
    <row r="439" spans="4:6" ht="15" x14ac:dyDescent="0.25">
      <c r="D439" s="65"/>
      <c r="E439" s="65"/>
      <c r="F439" s="65"/>
    </row>
    <row r="440" spans="4:6" ht="15" x14ac:dyDescent="0.25">
      <c r="D440" s="65"/>
      <c r="E440" s="65"/>
      <c r="F440" s="65"/>
    </row>
    <row r="441" spans="4:6" ht="15" x14ac:dyDescent="0.25">
      <c r="D441" s="65"/>
      <c r="E441" s="65"/>
      <c r="F441" s="65"/>
    </row>
    <row r="442" spans="4:6" ht="15" x14ac:dyDescent="0.25">
      <c r="D442" s="65"/>
      <c r="E442" s="65"/>
      <c r="F442" s="65"/>
    </row>
    <row r="443" spans="4:6" ht="15" x14ac:dyDescent="0.25">
      <c r="D443" s="65"/>
      <c r="E443" s="65"/>
      <c r="F443" s="65"/>
    </row>
    <row r="444" spans="4:6" ht="15" x14ac:dyDescent="0.25">
      <c r="D444" s="65"/>
      <c r="E444" s="65"/>
      <c r="F444" s="65"/>
    </row>
    <row r="445" spans="4:6" ht="15" x14ac:dyDescent="0.25">
      <c r="D445" s="65"/>
      <c r="E445" s="65"/>
      <c r="F445" s="65"/>
    </row>
    <row r="446" spans="4:6" ht="15" x14ac:dyDescent="0.25">
      <c r="D446" s="65"/>
      <c r="E446" s="65"/>
      <c r="F446" s="65"/>
    </row>
    <row r="447" spans="4:6" ht="15" x14ac:dyDescent="0.25">
      <c r="D447" s="65"/>
      <c r="E447" s="65"/>
      <c r="F447" s="65"/>
    </row>
    <row r="448" spans="4:6" ht="15" x14ac:dyDescent="0.25">
      <c r="D448" s="65"/>
      <c r="E448" s="65"/>
      <c r="F448" s="65"/>
    </row>
    <row r="449" spans="4:6" ht="15" x14ac:dyDescent="0.25">
      <c r="D449" s="65"/>
      <c r="E449" s="65"/>
      <c r="F449" s="65"/>
    </row>
    <row r="450" spans="4:6" ht="15" x14ac:dyDescent="0.25">
      <c r="D450" s="65"/>
      <c r="E450" s="65"/>
      <c r="F450" s="65"/>
    </row>
    <row r="451" spans="4:6" ht="15" x14ac:dyDescent="0.25">
      <c r="D451" s="65"/>
      <c r="E451" s="65"/>
      <c r="F451" s="65"/>
    </row>
    <row r="452" spans="4:6" ht="15" x14ac:dyDescent="0.25">
      <c r="D452" s="65"/>
      <c r="E452" s="65"/>
      <c r="F452" s="65"/>
    </row>
    <row r="453" spans="4:6" ht="15" x14ac:dyDescent="0.25">
      <c r="D453" s="65"/>
      <c r="E453" s="65"/>
      <c r="F453" s="65"/>
    </row>
    <row r="454" spans="4:6" ht="15" x14ac:dyDescent="0.25">
      <c r="D454" s="65"/>
      <c r="E454" s="65"/>
      <c r="F454" s="65"/>
    </row>
    <row r="455" spans="4:6" ht="15" x14ac:dyDescent="0.25">
      <c r="D455" s="65"/>
      <c r="E455" s="65"/>
      <c r="F455" s="65"/>
    </row>
    <row r="456" spans="4:6" ht="15" x14ac:dyDescent="0.25">
      <c r="D456" s="65"/>
      <c r="E456" s="65"/>
      <c r="F456" s="65"/>
    </row>
    <row r="457" spans="4:6" ht="15" x14ac:dyDescent="0.25">
      <c r="D457" s="65"/>
      <c r="E457" s="65"/>
      <c r="F457" s="65"/>
    </row>
    <row r="458" spans="4:6" ht="15" x14ac:dyDescent="0.25">
      <c r="D458" s="65"/>
      <c r="E458" s="65"/>
      <c r="F458" s="65"/>
    </row>
    <row r="459" spans="4:6" ht="15" x14ac:dyDescent="0.25">
      <c r="D459" s="65"/>
      <c r="E459" s="65"/>
      <c r="F459" s="65"/>
    </row>
    <row r="460" spans="4:6" ht="15" x14ac:dyDescent="0.25">
      <c r="D460" s="65"/>
      <c r="E460" s="65"/>
      <c r="F460" s="65"/>
    </row>
    <row r="461" spans="4:6" ht="15" x14ac:dyDescent="0.25">
      <c r="D461" s="65"/>
      <c r="E461" s="65"/>
      <c r="F461" s="65"/>
    </row>
    <row r="462" spans="4:6" ht="15" x14ac:dyDescent="0.25">
      <c r="D462" s="65"/>
      <c r="E462" s="65"/>
      <c r="F462" s="65"/>
    </row>
    <row r="463" spans="4:6" ht="15" x14ac:dyDescent="0.25">
      <c r="D463" s="65"/>
      <c r="E463" s="65"/>
      <c r="F463" s="65"/>
    </row>
    <row r="464" spans="4:6" ht="15" x14ac:dyDescent="0.25">
      <c r="D464" s="65"/>
      <c r="E464" s="65"/>
      <c r="F464" s="65"/>
    </row>
    <row r="465" spans="4:6" ht="15" x14ac:dyDescent="0.25">
      <c r="D465" s="65"/>
      <c r="E465" s="65"/>
      <c r="F465" s="65"/>
    </row>
    <row r="466" spans="4:6" ht="15" x14ac:dyDescent="0.25">
      <c r="D466" s="65"/>
      <c r="E466" s="65"/>
      <c r="F466" s="65"/>
    </row>
    <row r="467" spans="4:6" ht="15" x14ac:dyDescent="0.25">
      <c r="D467" s="65"/>
      <c r="E467" s="65"/>
      <c r="F467" s="65"/>
    </row>
    <row r="468" spans="4:6" ht="15" x14ac:dyDescent="0.25">
      <c r="D468" s="65"/>
      <c r="E468" s="65"/>
      <c r="F468" s="65"/>
    </row>
    <row r="469" spans="4:6" ht="15" x14ac:dyDescent="0.25">
      <c r="D469" s="65"/>
      <c r="E469" s="65"/>
      <c r="F469" s="65"/>
    </row>
    <row r="470" spans="4:6" ht="15" x14ac:dyDescent="0.25">
      <c r="D470" s="65"/>
      <c r="E470" s="65"/>
      <c r="F470" s="65"/>
    </row>
    <row r="471" spans="4:6" ht="15" x14ac:dyDescent="0.25">
      <c r="D471" s="65"/>
      <c r="E471" s="65"/>
      <c r="F471" s="65"/>
    </row>
    <row r="472" spans="4:6" ht="15" x14ac:dyDescent="0.25">
      <c r="D472" s="65"/>
      <c r="E472" s="65"/>
      <c r="F472" s="65"/>
    </row>
    <row r="473" spans="4:6" ht="15" x14ac:dyDescent="0.25">
      <c r="D473" s="65"/>
      <c r="E473" s="65"/>
      <c r="F473" s="65"/>
    </row>
    <row r="474" spans="4:6" ht="15" x14ac:dyDescent="0.25">
      <c r="D474" s="65"/>
      <c r="E474" s="65"/>
      <c r="F474" s="65"/>
    </row>
    <row r="475" spans="4:6" ht="15" x14ac:dyDescent="0.25">
      <c r="D475" s="65"/>
      <c r="E475" s="65"/>
      <c r="F475" s="65"/>
    </row>
    <row r="476" spans="4:6" ht="15" x14ac:dyDescent="0.25">
      <c r="D476" s="65"/>
      <c r="E476" s="65"/>
      <c r="F476" s="65"/>
    </row>
    <row r="477" spans="4:6" ht="15" x14ac:dyDescent="0.25">
      <c r="D477" s="65"/>
      <c r="E477" s="65"/>
      <c r="F477" s="65"/>
    </row>
    <row r="478" spans="4:6" ht="15" x14ac:dyDescent="0.25">
      <c r="D478" s="65"/>
      <c r="E478" s="65"/>
      <c r="F478" s="65"/>
    </row>
    <row r="479" spans="4:6" ht="15" x14ac:dyDescent="0.25">
      <c r="D479" s="65"/>
      <c r="E479" s="65"/>
      <c r="F479" s="65"/>
    </row>
    <row r="480" spans="4:6" ht="15" x14ac:dyDescent="0.25">
      <c r="D480" s="65"/>
      <c r="E480" s="65"/>
      <c r="F480" s="65"/>
    </row>
    <row r="481" spans="4:6" ht="15" x14ac:dyDescent="0.25">
      <c r="D481" s="65"/>
      <c r="E481" s="65"/>
      <c r="F481" s="65"/>
    </row>
    <row r="482" spans="4:6" ht="15" x14ac:dyDescent="0.25">
      <c r="D482" s="65"/>
      <c r="E482" s="65"/>
      <c r="F482" s="65"/>
    </row>
    <row r="483" spans="4:6" ht="15" x14ac:dyDescent="0.25">
      <c r="D483" s="65"/>
      <c r="E483" s="65"/>
      <c r="F483" s="65"/>
    </row>
    <row r="484" spans="4:6" ht="15" x14ac:dyDescent="0.25">
      <c r="D484" s="65"/>
      <c r="E484" s="65"/>
      <c r="F484" s="65"/>
    </row>
    <row r="485" spans="4:6" ht="15" x14ac:dyDescent="0.25">
      <c r="D485" s="65"/>
      <c r="E485" s="65"/>
      <c r="F485" s="65"/>
    </row>
    <row r="486" spans="4:6" ht="15" x14ac:dyDescent="0.25">
      <c r="D486" s="65"/>
      <c r="E486" s="65"/>
      <c r="F486" s="65"/>
    </row>
    <row r="487" spans="4:6" ht="15" x14ac:dyDescent="0.25">
      <c r="D487" s="65"/>
      <c r="E487" s="65"/>
      <c r="F487" s="65"/>
    </row>
    <row r="488" spans="4:6" ht="15" x14ac:dyDescent="0.25">
      <c r="D488" s="65"/>
      <c r="E488" s="65"/>
      <c r="F488" s="65"/>
    </row>
    <row r="489" spans="4:6" ht="15" x14ac:dyDescent="0.25">
      <c r="D489" s="65"/>
      <c r="E489" s="65"/>
      <c r="F489" s="65"/>
    </row>
    <row r="490" spans="4:6" ht="15" x14ac:dyDescent="0.25">
      <c r="D490" s="65"/>
      <c r="E490" s="65"/>
      <c r="F490" s="65"/>
    </row>
    <row r="491" spans="4:6" ht="15" x14ac:dyDescent="0.25">
      <c r="D491" s="65"/>
      <c r="E491" s="65"/>
      <c r="F491" s="65"/>
    </row>
    <row r="492" spans="4:6" ht="15" x14ac:dyDescent="0.25">
      <c r="D492" s="65"/>
      <c r="E492" s="65"/>
      <c r="F492" s="65"/>
    </row>
    <row r="493" spans="4:6" ht="15" x14ac:dyDescent="0.25">
      <c r="D493" s="65"/>
      <c r="E493" s="65"/>
      <c r="F493" s="65"/>
    </row>
    <row r="494" spans="4:6" ht="15" x14ac:dyDescent="0.25">
      <c r="D494" s="65"/>
      <c r="E494" s="65"/>
      <c r="F494" s="65"/>
    </row>
    <row r="495" spans="4:6" ht="15" x14ac:dyDescent="0.25">
      <c r="D495" s="65"/>
      <c r="E495" s="65"/>
      <c r="F495" s="65"/>
    </row>
    <row r="496" spans="4:6" ht="15" x14ac:dyDescent="0.25">
      <c r="D496" s="65"/>
      <c r="E496" s="65"/>
      <c r="F496" s="65"/>
    </row>
    <row r="497" spans="4:6" ht="15" x14ac:dyDescent="0.25">
      <c r="D497" s="65"/>
      <c r="E497" s="65"/>
      <c r="F497" s="65"/>
    </row>
    <row r="498" spans="4:6" ht="15" x14ac:dyDescent="0.25">
      <c r="D498" s="65"/>
      <c r="E498" s="65"/>
      <c r="F498" s="65"/>
    </row>
    <row r="499" spans="4:6" ht="15" x14ac:dyDescent="0.25">
      <c r="D499" s="65"/>
      <c r="E499" s="65"/>
      <c r="F499" s="65"/>
    </row>
    <row r="500" spans="4:6" ht="15" x14ac:dyDescent="0.25">
      <c r="D500" s="65"/>
      <c r="E500" s="65"/>
      <c r="F500" s="65"/>
    </row>
    <row r="501" spans="4:6" ht="15" x14ac:dyDescent="0.25">
      <c r="D501" s="65"/>
      <c r="E501" s="65"/>
      <c r="F501" s="65"/>
    </row>
    <row r="502" spans="4:6" ht="15" x14ac:dyDescent="0.25">
      <c r="D502" s="65"/>
      <c r="E502" s="65"/>
      <c r="F502" s="65"/>
    </row>
    <row r="503" spans="4:6" ht="15" x14ac:dyDescent="0.25">
      <c r="D503" s="65"/>
      <c r="E503" s="65"/>
      <c r="F503" s="65"/>
    </row>
    <row r="504" spans="4:6" ht="15" x14ac:dyDescent="0.25">
      <c r="D504" s="65"/>
      <c r="E504" s="65"/>
      <c r="F504" s="65"/>
    </row>
    <row r="505" spans="4:6" ht="15" x14ac:dyDescent="0.25">
      <c r="D505" s="65"/>
      <c r="E505" s="65"/>
      <c r="F505" s="65"/>
    </row>
    <row r="506" spans="4:6" ht="15" x14ac:dyDescent="0.25">
      <c r="D506" s="65"/>
      <c r="E506" s="65"/>
      <c r="F506" s="65"/>
    </row>
    <row r="507" spans="4:6" ht="15" x14ac:dyDescent="0.25">
      <c r="D507" s="65"/>
      <c r="E507" s="65"/>
      <c r="F507" s="65"/>
    </row>
    <row r="508" spans="4:6" ht="15" x14ac:dyDescent="0.25">
      <c r="D508" s="65"/>
      <c r="E508" s="65"/>
      <c r="F508" s="65"/>
    </row>
    <row r="509" spans="4:6" ht="15" x14ac:dyDescent="0.25">
      <c r="D509" s="65"/>
      <c r="E509" s="65"/>
      <c r="F509" s="65"/>
    </row>
    <row r="510" spans="4:6" ht="15" x14ac:dyDescent="0.25">
      <c r="D510" s="65"/>
      <c r="E510" s="65"/>
      <c r="F510" s="65"/>
    </row>
    <row r="511" spans="4:6" ht="15" x14ac:dyDescent="0.25">
      <c r="D511" s="65"/>
      <c r="E511" s="65"/>
      <c r="F511" s="65"/>
    </row>
    <row r="512" spans="4:6" ht="15" x14ac:dyDescent="0.25">
      <c r="D512" s="65"/>
      <c r="E512" s="65"/>
      <c r="F512" s="65"/>
    </row>
    <row r="513" spans="4:6" ht="15" x14ac:dyDescent="0.25">
      <c r="D513" s="65"/>
      <c r="E513" s="65"/>
      <c r="F513" s="65"/>
    </row>
    <row r="514" spans="4:6" ht="15" x14ac:dyDescent="0.25">
      <c r="D514" s="65"/>
      <c r="E514" s="65"/>
      <c r="F514" s="65"/>
    </row>
    <row r="515" spans="4:6" ht="15" x14ac:dyDescent="0.25">
      <c r="D515" s="65"/>
      <c r="E515" s="65"/>
      <c r="F515" s="65"/>
    </row>
    <row r="516" spans="4:6" ht="15" x14ac:dyDescent="0.25">
      <c r="D516" s="65"/>
      <c r="E516" s="65"/>
      <c r="F516" s="65"/>
    </row>
    <row r="517" spans="4:6" ht="15" x14ac:dyDescent="0.25">
      <c r="D517" s="65"/>
      <c r="E517" s="65"/>
      <c r="F517" s="65"/>
    </row>
    <row r="518" spans="4:6" ht="15" x14ac:dyDescent="0.25">
      <c r="D518" s="65"/>
      <c r="E518" s="65"/>
      <c r="F518" s="65"/>
    </row>
    <row r="519" spans="4:6" ht="15" x14ac:dyDescent="0.25">
      <c r="D519" s="65"/>
      <c r="E519" s="65"/>
      <c r="F519" s="65"/>
    </row>
    <row r="520" spans="4:6" ht="15" x14ac:dyDescent="0.25">
      <c r="D520" s="65"/>
      <c r="E520" s="65"/>
      <c r="F520" s="65"/>
    </row>
    <row r="521" spans="4:6" ht="15" x14ac:dyDescent="0.25">
      <c r="D521" s="65"/>
      <c r="E521" s="65"/>
      <c r="F521" s="65"/>
    </row>
    <row r="522" spans="4:6" ht="15" x14ac:dyDescent="0.25">
      <c r="D522" s="65"/>
      <c r="E522" s="65"/>
      <c r="F522" s="65"/>
    </row>
    <row r="523" spans="4:6" ht="15" x14ac:dyDescent="0.25">
      <c r="D523" s="65"/>
      <c r="E523" s="65"/>
      <c r="F523" s="65"/>
    </row>
    <row r="524" spans="4:6" ht="15" x14ac:dyDescent="0.25">
      <c r="D524" s="65"/>
      <c r="E524" s="65"/>
      <c r="F524" s="65"/>
    </row>
    <row r="525" spans="4:6" ht="15" x14ac:dyDescent="0.25">
      <c r="D525" s="65"/>
      <c r="E525" s="65"/>
      <c r="F525" s="65"/>
    </row>
    <row r="526" spans="4:6" ht="15" x14ac:dyDescent="0.25">
      <c r="D526" s="65"/>
      <c r="E526" s="65"/>
      <c r="F526" s="65"/>
    </row>
    <row r="527" spans="4:6" ht="15" x14ac:dyDescent="0.25">
      <c r="D527" s="65"/>
      <c r="E527" s="65"/>
      <c r="F527" s="65"/>
    </row>
    <row r="528" spans="4:6" ht="15" x14ac:dyDescent="0.25">
      <c r="D528" s="65"/>
      <c r="E528" s="65"/>
      <c r="F528" s="65"/>
    </row>
    <row r="529" spans="4:6" ht="15" x14ac:dyDescent="0.25">
      <c r="D529" s="65"/>
      <c r="E529" s="65"/>
      <c r="F529" s="65"/>
    </row>
    <row r="530" spans="4:6" ht="15" x14ac:dyDescent="0.25">
      <c r="D530" s="65"/>
      <c r="E530" s="65"/>
      <c r="F530" s="65"/>
    </row>
    <row r="531" spans="4:6" ht="15" x14ac:dyDescent="0.25">
      <c r="D531" s="65"/>
      <c r="E531" s="65"/>
      <c r="F531" s="65"/>
    </row>
    <row r="532" spans="4:6" ht="15" x14ac:dyDescent="0.25">
      <c r="D532" s="65"/>
      <c r="E532" s="65"/>
      <c r="F532" s="65"/>
    </row>
  </sheetData>
  <pageMargins left="0.7" right="0.7" top="0.75" bottom="0.75" header="0.3" footer="0.3"/>
  <pageSetup paperSize="9" scale="1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AZ532"/>
  <sheetViews>
    <sheetView showGridLines="0" showRowColHeaders="0" view="pageBreakPreview" zoomScale="80" zoomScaleNormal="100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2" width="1.625" style="38" customWidth="1"/>
    <col min="3" max="3" width="5.875" style="37" customWidth="1"/>
    <col min="4" max="4" width="18.125" style="38" customWidth="1"/>
    <col min="5" max="5" width="9.75" style="38" customWidth="1"/>
    <col min="6" max="6" width="15.875" style="38" bestFit="1" customWidth="1"/>
    <col min="7" max="7" width="12.25" style="39" customWidth="1"/>
    <col min="8" max="12" width="12.25" style="40" customWidth="1"/>
    <col min="13" max="13" width="12.25" style="41" customWidth="1"/>
    <col min="14" max="16" width="12.25" style="41" customWidth="1" outlineLevel="1"/>
    <col min="17" max="18" width="12.25" style="42" customWidth="1" outlineLevel="1"/>
    <col min="19" max="21" width="12.25" style="38" customWidth="1" outlineLevel="1"/>
    <col min="22" max="22" width="1.625" style="295" customWidth="1"/>
    <col min="23" max="23" width="10.5" style="38"/>
    <col min="24" max="31" width="10.5" style="38" customWidth="1" outlineLevel="1"/>
    <col min="32" max="32" width="1.625" style="295" customWidth="1"/>
    <col min="33" max="33" width="10.5" style="38"/>
    <col min="34" max="41" width="10.5" style="38" customWidth="1" outlineLevel="1"/>
    <col min="42" max="42" width="1.625" style="295" customWidth="1"/>
    <col min="43" max="43" width="10.5" style="38"/>
    <col min="44" max="51" width="10.5" style="38" customWidth="1" outlineLevel="1"/>
    <col min="52" max="52" width="4.125" style="295" customWidth="1"/>
    <col min="53" max="16384" width="10.5" style="38"/>
  </cols>
  <sheetData>
    <row r="2" spans="3:52" ht="18.75" x14ac:dyDescent="0.25">
      <c r="D2" s="384" t="s">
        <v>103</v>
      </c>
    </row>
    <row r="3" spans="3:52" ht="30" customHeight="1" x14ac:dyDescent="0.25">
      <c r="H3" s="41"/>
      <c r="I3" s="41"/>
      <c r="J3" s="41"/>
      <c r="K3" s="41"/>
      <c r="L3" s="41"/>
    </row>
    <row r="4" spans="3:52" x14ac:dyDescent="0.25">
      <c r="D4" s="43" t="s">
        <v>42</v>
      </c>
      <c r="H4" s="41"/>
      <c r="I4" s="41"/>
      <c r="J4" s="41"/>
      <c r="K4" s="41"/>
      <c r="L4" s="41"/>
    </row>
    <row r="5" spans="3:52" ht="15" thickBot="1" x14ac:dyDescent="0.3">
      <c r="D5" s="43"/>
      <c r="H5" s="41"/>
      <c r="I5" s="41"/>
      <c r="J5" s="41"/>
      <c r="K5" s="41"/>
      <c r="L5" s="41"/>
    </row>
    <row r="6" spans="3:52" ht="24.95" customHeight="1" thickTop="1" thickBot="1" x14ac:dyDescent="0.3"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2" s="49" customFormat="1" ht="39.75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51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  <c r="AZ7" s="207"/>
    </row>
    <row r="8" spans="3:52" s="52" customFormat="1" ht="33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0</v>
      </c>
      <c r="AS8" s="363">
        <f t="shared" si="6"/>
        <v>0</v>
      </c>
      <c r="AT8" s="363">
        <f t="shared" si="6"/>
        <v>0</v>
      </c>
      <c r="AU8" s="363">
        <f t="shared" si="6"/>
        <v>0</v>
      </c>
      <c r="AV8" s="363">
        <f>+SUM(AV9:AV29)</f>
        <v>0</v>
      </c>
      <c r="AW8" s="363">
        <f t="shared" ref="AW8:AX8" si="7">+SUM(AW9:AW29)</f>
        <v>0</v>
      </c>
      <c r="AX8" s="363">
        <f t="shared" si="7"/>
        <v>0</v>
      </c>
      <c r="AY8" s="364">
        <f>+SUM(AY9:AY29)</f>
        <v>0</v>
      </c>
      <c r="AZ8" s="296"/>
    </row>
    <row r="9" spans="3:52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/>
      <c r="AS9" s="289"/>
      <c r="AT9" s="289"/>
      <c r="AU9" s="289"/>
      <c r="AV9" s="289"/>
      <c r="AW9" s="289"/>
      <c r="AX9" s="289"/>
      <c r="AY9" s="290"/>
      <c r="AZ9" s="207"/>
    </row>
    <row r="10" spans="3:52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  <c r="AZ10" s="207"/>
    </row>
    <row r="11" spans="3:52" s="49" customFormat="1" ht="18" customHeight="1" x14ac:dyDescent="0.25">
      <c r="C11" s="56">
        <f t="shared" ref="C11:C28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  <c r="AZ11" s="207"/>
    </row>
    <row r="12" spans="3:52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  <c r="AZ12" s="207"/>
    </row>
    <row r="13" spans="3:52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  <c r="AZ13" s="207"/>
    </row>
    <row r="14" spans="3:52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  <c r="AZ14" s="207"/>
    </row>
    <row r="15" spans="3:52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  <c r="AZ15" s="207"/>
    </row>
    <row r="16" spans="3:52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  <c r="AZ16" s="207"/>
    </row>
    <row r="17" spans="2:52" s="204" customFormat="1" ht="18" customHeight="1" x14ac:dyDescent="0.25">
      <c r="B17" s="207"/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  <c r="AZ17" s="207"/>
    </row>
    <row r="18" spans="2:52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  <c r="AZ18" s="207"/>
    </row>
    <row r="19" spans="2:52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  <c r="AZ19" s="207"/>
    </row>
    <row r="20" spans="2:52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  <c r="AZ20" s="207"/>
    </row>
    <row r="21" spans="2:52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  <c r="AZ21" s="207"/>
    </row>
    <row r="22" spans="2:52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  <c r="AZ22" s="207"/>
    </row>
    <row r="23" spans="2:52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  <c r="AZ23" s="207"/>
    </row>
    <row r="24" spans="2:52" s="49" customFormat="1" ht="18" customHeight="1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  <c r="AZ24" s="207"/>
    </row>
    <row r="25" spans="2:52" s="49" customFormat="1" ht="18" customHeight="1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  <c r="AZ25" s="207"/>
    </row>
    <row r="26" spans="2:52" s="49" customFormat="1" ht="18" customHeight="1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  <c r="AZ26" s="207"/>
    </row>
    <row r="27" spans="2:52" s="49" customFormat="1" ht="18" customHeight="1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  <c r="AZ27" s="207"/>
    </row>
    <row r="28" spans="2:52" s="49" customFormat="1" ht="18" customHeight="1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  <c r="AZ28" s="207"/>
    </row>
    <row r="29" spans="2:52" s="49" customFormat="1" ht="15.75" x14ac:dyDescent="0.25">
      <c r="C29" s="48"/>
      <c r="D29" s="60"/>
      <c r="E29" s="60"/>
      <c r="F29" s="60"/>
      <c r="G29" s="50"/>
      <c r="H29" s="61"/>
      <c r="I29" s="61"/>
      <c r="J29" s="61"/>
      <c r="K29" s="61"/>
      <c r="L29" s="61"/>
      <c r="M29" s="62"/>
      <c r="N29" s="62"/>
      <c r="O29" s="62"/>
      <c r="P29" s="62"/>
      <c r="Q29" s="63"/>
      <c r="R29" s="63"/>
      <c r="S29" s="63"/>
      <c r="T29" s="63"/>
      <c r="U29" s="63"/>
      <c r="V29" s="207"/>
      <c r="AF29" s="207"/>
      <c r="AP29" s="207"/>
      <c r="AZ29" s="207"/>
    </row>
    <row r="30" spans="2:52" s="49" customFormat="1" ht="15.75" x14ac:dyDescent="0.25">
      <c r="C30" s="48"/>
      <c r="D30" s="60"/>
      <c r="E30" s="60"/>
      <c r="F30" s="60"/>
      <c r="G30" s="50"/>
      <c r="H30" s="61"/>
      <c r="I30" s="61"/>
      <c r="J30" s="61"/>
      <c r="K30" s="61"/>
      <c r="L30" s="61"/>
      <c r="M30" s="62"/>
      <c r="N30" s="62"/>
      <c r="O30" s="62"/>
      <c r="P30" s="62"/>
      <c r="Q30" s="63"/>
      <c r="R30" s="63"/>
      <c r="S30" s="63"/>
      <c r="T30" s="63"/>
      <c r="U30" s="63"/>
      <c r="V30" s="207"/>
      <c r="AF30" s="207"/>
      <c r="AP30" s="207"/>
      <c r="AZ30" s="207"/>
    </row>
    <row r="31" spans="2:52" s="49" customFormat="1" ht="15.75" x14ac:dyDescent="0.25">
      <c r="C31" s="48"/>
      <c r="D31" s="60"/>
      <c r="E31" s="60"/>
      <c r="F31" s="60"/>
      <c r="G31" s="50"/>
      <c r="H31" s="61"/>
      <c r="I31" s="61"/>
      <c r="J31" s="61"/>
      <c r="K31" s="61"/>
      <c r="L31" s="61"/>
      <c r="M31" s="62"/>
      <c r="N31" s="62"/>
      <c r="O31" s="62"/>
      <c r="P31" s="62"/>
      <c r="Q31" s="63"/>
      <c r="R31" s="63"/>
      <c r="S31" s="63"/>
      <c r="T31" s="63"/>
      <c r="U31" s="63"/>
      <c r="V31" s="207"/>
      <c r="AF31" s="207"/>
      <c r="AP31" s="207"/>
      <c r="AZ31" s="207"/>
    </row>
    <row r="32" spans="2:52" s="49" customFormat="1" ht="15.75" x14ac:dyDescent="0.25">
      <c r="C32" s="48"/>
      <c r="D32" s="60"/>
      <c r="E32" s="60"/>
      <c r="F32" s="60"/>
      <c r="G32" s="50"/>
      <c r="H32" s="61"/>
      <c r="I32" s="61"/>
      <c r="J32" s="61"/>
      <c r="K32" s="61"/>
      <c r="L32" s="61"/>
      <c r="M32" s="62"/>
      <c r="N32" s="62"/>
      <c r="O32" s="62"/>
      <c r="P32" s="62"/>
      <c r="Q32" s="63"/>
      <c r="R32" s="63"/>
      <c r="S32" s="63"/>
      <c r="T32" s="63"/>
      <c r="U32" s="63"/>
      <c r="V32" s="207"/>
      <c r="AF32" s="207"/>
      <c r="AP32" s="207"/>
      <c r="AZ32" s="207"/>
    </row>
    <row r="33" spans="3:52" s="49" customFormat="1" ht="15.75" x14ac:dyDescent="0.25">
      <c r="C33" s="48"/>
      <c r="D33" s="60"/>
      <c r="E33" s="60"/>
      <c r="F33" s="60"/>
      <c r="G33" s="50"/>
      <c r="H33" s="61"/>
      <c r="I33" s="61"/>
      <c r="J33" s="61"/>
      <c r="K33" s="61"/>
      <c r="L33" s="61"/>
      <c r="M33" s="62"/>
      <c r="N33" s="62"/>
      <c r="O33" s="62"/>
      <c r="P33" s="62"/>
      <c r="Q33" s="63"/>
      <c r="R33" s="63"/>
      <c r="S33" s="63"/>
      <c r="T33" s="63"/>
      <c r="U33" s="63"/>
      <c r="V33" s="207"/>
      <c r="AF33" s="207"/>
      <c r="AP33" s="207"/>
      <c r="AZ33" s="207"/>
    </row>
    <row r="34" spans="3:52" s="49" customFormat="1" ht="15.75" x14ac:dyDescent="0.25">
      <c r="C34" s="48"/>
      <c r="D34" s="60"/>
      <c r="E34" s="60"/>
      <c r="F34" s="60"/>
      <c r="G34" s="50"/>
      <c r="H34" s="61"/>
      <c r="I34" s="61"/>
      <c r="J34" s="61"/>
      <c r="K34" s="61"/>
      <c r="L34" s="61"/>
      <c r="M34" s="62"/>
      <c r="N34" s="62"/>
      <c r="O34" s="62"/>
      <c r="P34" s="62"/>
      <c r="Q34" s="63"/>
      <c r="R34" s="63"/>
      <c r="S34" s="63"/>
      <c r="T34" s="63"/>
      <c r="U34" s="63"/>
      <c r="V34" s="207"/>
      <c r="AF34" s="207"/>
      <c r="AP34" s="207"/>
      <c r="AZ34" s="207"/>
    </row>
    <row r="35" spans="3:52" s="49" customFormat="1" ht="15.75" x14ac:dyDescent="0.25">
      <c r="C35" s="48"/>
      <c r="D35" s="60"/>
      <c r="E35" s="60"/>
      <c r="F35" s="60"/>
      <c r="G35" s="50"/>
      <c r="H35" s="61"/>
      <c r="I35" s="61"/>
      <c r="J35" s="61"/>
      <c r="K35" s="61"/>
      <c r="L35" s="61"/>
      <c r="M35" s="62"/>
      <c r="N35" s="62"/>
      <c r="O35" s="62"/>
      <c r="P35" s="62"/>
      <c r="Q35" s="63"/>
      <c r="R35" s="63"/>
      <c r="S35" s="63"/>
      <c r="T35" s="63"/>
      <c r="U35" s="63"/>
      <c r="V35" s="207"/>
      <c r="AF35" s="207"/>
      <c r="AP35" s="207"/>
      <c r="AZ35" s="207"/>
    </row>
    <row r="36" spans="3:52" s="49" customFormat="1" ht="15.75" x14ac:dyDescent="0.25">
      <c r="C36" s="48"/>
      <c r="D36" s="60"/>
      <c r="E36" s="60"/>
      <c r="F36" s="60"/>
      <c r="G36" s="50"/>
      <c r="H36" s="61"/>
      <c r="I36" s="61"/>
      <c r="J36" s="61"/>
      <c r="K36" s="61"/>
      <c r="L36" s="61"/>
      <c r="M36" s="62"/>
      <c r="N36" s="62"/>
      <c r="O36" s="62"/>
      <c r="P36" s="62"/>
      <c r="Q36" s="63"/>
      <c r="R36" s="63"/>
      <c r="S36" s="63"/>
      <c r="T36" s="63"/>
      <c r="U36" s="63"/>
      <c r="V36" s="207"/>
      <c r="AF36" s="207"/>
      <c r="AP36" s="207"/>
      <c r="AZ36" s="207"/>
    </row>
    <row r="37" spans="3:52" s="49" customFormat="1" ht="15.75" x14ac:dyDescent="0.25">
      <c r="C37" s="48"/>
      <c r="D37" s="60"/>
      <c r="E37" s="60"/>
      <c r="F37" s="60"/>
      <c r="G37" s="50"/>
      <c r="H37" s="61"/>
      <c r="I37" s="61"/>
      <c r="J37" s="61"/>
      <c r="K37" s="61"/>
      <c r="L37" s="61"/>
      <c r="M37" s="62"/>
      <c r="N37" s="62"/>
      <c r="O37" s="62"/>
      <c r="P37" s="62"/>
      <c r="Q37" s="63"/>
      <c r="R37" s="63"/>
      <c r="S37" s="63"/>
      <c r="T37" s="63"/>
      <c r="U37" s="63"/>
      <c r="V37" s="207"/>
      <c r="AF37" s="207"/>
      <c r="AP37" s="207"/>
      <c r="AZ37" s="207"/>
    </row>
    <row r="38" spans="3:52" s="49" customFormat="1" ht="15.75" x14ac:dyDescent="0.25">
      <c r="C38" s="48"/>
      <c r="D38" s="60"/>
      <c r="E38" s="60"/>
      <c r="F38" s="60"/>
      <c r="G38" s="50"/>
      <c r="H38" s="61"/>
      <c r="I38" s="61"/>
      <c r="J38" s="61"/>
      <c r="K38" s="61"/>
      <c r="L38" s="61"/>
      <c r="M38" s="62"/>
      <c r="N38" s="62"/>
      <c r="O38" s="62"/>
      <c r="P38" s="62"/>
      <c r="Q38" s="63"/>
      <c r="R38" s="63"/>
      <c r="S38" s="63"/>
      <c r="T38" s="63"/>
      <c r="U38" s="63"/>
      <c r="V38" s="207"/>
      <c r="AF38" s="207"/>
      <c r="AP38" s="207"/>
      <c r="AZ38" s="207"/>
    </row>
    <row r="39" spans="3:52" s="49" customFormat="1" ht="15.75" x14ac:dyDescent="0.25">
      <c r="C39" s="48"/>
      <c r="D39" s="60"/>
      <c r="E39" s="60"/>
      <c r="F39" s="60"/>
      <c r="G39" s="50"/>
      <c r="H39" s="61"/>
      <c r="I39" s="61"/>
      <c r="J39" s="61"/>
      <c r="K39" s="61"/>
      <c r="L39" s="61"/>
      <c r="M39" s="62"/>
      <c r="N39" s="62"/>
      <c r="O39" s="62"/>
      <c r="P39" s="62"/>
      <c r="Q39" s="63"/>
      <c r="R39" s="63"/>
      <c r="S39" s="63"/>
      <c r="T39" s="63"/>
      <c r="U39" s="63"/>
      <c r="V39" s="207"/>
      <c r="AF39" s="207"/>
      <c r="AP39" s="207"/>
      <c r="AZ39" s="207"/>
    </row>
    <row r="40" spans="3:52" s="49" customFormat="1" ht="15.75" x14ac:dyDescent="0.25">
      <c r="C40" s="48"/>
      <c r="D40" s="60"/>
      <c r="E40" s="60"/>
      <c r="F40" s="60"/>
      <c r="G40" s="50"/>
      <c r="H40" s="61"/>
      <c r="I40" s="61"/>
      <c r="J40" s="61"/>
      <c r="K40" s="61"/>
      <c r="L40" s="61"/>
      <c r="M40" s="62"/>
      <c r="N40" s="62"/>
      <c r="O40" s="62"/>
      <c r="P40" s="62"/>
      <c r="Q40" s="63"/>
      <c r="R40" s="63"/>
      <c r="S40" s="63"/>
      <c r="T40" s="63"/>
      <c r="U40" s="63"/>
      <c r="V40" s="207"/>
      <c r="AF40" s="207"/>
      <c r="AP40" s="207"/>
      <c r="AZ40" s="207"/>
    </row>
    <row r="41" spans="3:52" s="49" customFormat="1" ht="15.75" x14ac:dyDescent="0.25">
      <c r="C41" s="48"/>
      <c r="D41" s="60"/>
      <c r="E41" s="60"/>
      <c r="F41" s="60"/>
      <c r="G41" s="50"/>
      <c r="H41" s="61"/>
      <c r="I41" s="61"/>
      <c r="J41" s="61"/>
      <c r="K41" s="61"/>
      <c r="L41" s="61"/>
      <c r="M41" s="62"/>
      <c r="N41" s="62"/>
      <c r="O41" s="62"/>
      <c r="P41" s="62"/>
      <c r="Q41" s="63"/>
      <c r="R41" s="63"/>
      <c r="S41" s="63"/>
      <c r="T41" s="63"/>
      <c r="U41" s="63"/>
      <c r="V41" s="207"/>
      <c r="AF41" s="207"/>
      <c r="AP41" s="207"/>
      <c r="AZ41" s="207"/>
    </row>
    <row r="42" spans="3:52" s="49" customFormat="1" ht="15.75" x14ac:dyDescent="0.25">
      <c r="C42" s="48"/>
      <c r="D42" s="60"/>
      <c r="E42" s="60"/>
      <c r="F42" s="60"/>
      <c r="G42" s="50"/>
      <c r="H42" s="61"/>
      <c r="I42" s="61"/>
      <c r="J42" s="61"/>
      <c r="K42" s="61"/>
      <c r="L42" s="61"/>
      <c r="M42" s="62"/>
      <c r="N42" s="62"/>
      <c r="O42" s="62"/>
      <c r="P42" s="62"/>
      <c r="Q42" s="63"/>
      <c r="R42" s="63"/>
      <c r="S42" s="63"/>
      <c r="T42" s="63"/>
      <c r="U42" s="63"/>
      <c r="V42" s="207"/>
      <c r="AF42" s="207"/>
      <c r="AP42" s="207"/>
      <c r="AZ42" s="207"/>
    </row>
    <row r="43" spans="3:52" s="49" customFormat="1" ht="15.75" x14ac:dyDescent="0.25">
      <c r="C43" s="48"/>
      <c r="D43" s="60"/>
      <c r="E43" s="60"/>
      <c r="F43" s="60"/>
      <c r="G43" s="50"/>
      <c r="H43" s="61"/>
      <c r="I43" s="61"/>
      <c r="J43" s="61"/>
      <c r="K43" s="61"/>
      <c r="L43" s="61"/>
      <c r="M43" s="62"/>
      <c r="N43" s="62"/>
      <c r="O43" s="62"/>
      <c r="P43" s="62"/>
      <c r="Q43" s="63"/>
      <c r="R43" s="63"/>
      <c r="S43" s="63"/>
      <c r="T43" s="63"/>
      <c r="U43" s="63"/>
      <c r="V43" s="207"/>
      <c r="AF43" s="207"/>
      <c r="AP43" s="207"/>
      <c r="AZ43" s="207"/>
    </row>
    <row r="44" spans="3:52" s="49" customFormat="1" ht="15.75" x14ac:dyDescent="0.25">
      <c r="C44" s="48"/>
      <c r="D44" s="60"/>
      <c r="E44" s="60"/>
      <c r="F44" s="60"/>
      <c r="G44" s="50"/>
      <c r="H44" s="61"/>
      <c r="I44" s="61"/>
      <c r="J44" s="61"/>
      <c r="K44" s="61"/>
      <c r="L44" s="61"/>
      <c r="M44" s="62"/>
      <c r="N44" s="62"/>
      <c r="O44" s="62"/>
      <c r="P44" s="62"/>
      <c r="Q44" s="63"/>
      <c r="R44" s="63"/>
      <c r="S44" s="63"/>
      <c r="T44" s="63"/>
      <c r="U44" s="63"/>
      <c r="V44" s="207"/>
      <c r="AF44" s="207"/>
      <c r="AP44" s="207"/>
      <c r="AZ44" s="207"/>
    </row>
    <row r="45" spans="3:52" s="49" customFormat="1" ht="15.75" x14ac:dyDescent="0.25">
      <c r="C45" s="48"/>
      <c r="D45" s="60"/>
      <c r="E45" s="60"/>
      <c r="F45" s="60"/>
      <c r="G45" s="50"/>
      <c r="H45" s="61"/>
      <c r="I45" s="61"/>
      <c r="J45" s="61"/>
      <c r="K45" s="61"/>
      <c r="L45" s="61"/>
      <c r="M45" s="62"/>
      <c r="N45" s="62"/>
      <c r="O45" s="62"/>
      <c r="P45" s="62"/>
      <c r="Q45" s="63"/>
      <c r="R45" s="63"/>
      <c r="S45" s="63"/>
      <c r="T45" s="63"/>
      <c r="U45" s="63"/>
      <c r="V45" s="207"/>
      <c r="AF45" s="207"/>
      <c r="AP45" s="207"/>
      <c r="AZ45" s="207"/>
    </row>
    <row r="46" spans="3:52" s="49" customFormat="1" ht="15.75" x14ac:dyDescent="0.25">
      <c r="C46" s="48"/>
      <c r="D46" s="60"/>
      <c r="E46" s="60"/>
      <c r="F46" s="60"/>
      <c r="G46" s="50"/>
      <c r="H46" s="61"/>
      <c r="I46" s="61"/>
      <c r="J46" s="61"/>
      <c r="K46" s="61"/>
      <c r="L46" s="61"/>
      <c r="M46" s="62"/>
      <c r="N46" s="62"/>
      <c r="O46" s="62"/>
      <c r="P46" s="62"/>
      <c r="Q46" s="63"/>
      <c r="R46" s="63"/>
      <c r="S46" s="63"/>
      <c r="T46" s="63"/>
      <c r="U46" s="63"/>
      <c r="V46" s="207"/>
      <c r="AF46" s="207"/>
      <c r="AP46" s="207"/>
      <c r="AZ46" s="207"/>
    </row>
    <row r="47" spans="3:52" s="49" customFormat="1" ht="15.75" x14ac:dyDescent="0.25">
      <c r="C47" s="48"/>
      <c r="D47" s="60"/>
      <c r="E47" s="60"/>
      <c r="F47" s="60"/>
      <c r="G47" s="50"/>
      <c r="H47" s="61"/>
      <c r="I47" s="61"/>
      <c r="J47" s="61"/>
      <c r="K47" s="61"/>
      <c r="L47" s="61"/>
      <c r="M47" s="62"/>
      <c r="N47" s="62"/>
      <c r="O47" s="62"/>
      <c r="P47" s="62"/>
      <c r="Q47" s="63"/>
      <c r="R47" s="63"/>
      <c r="S47" s="63"/>
      <c r="T47" s="63"/>
      <c r="U47" s="63"/>
      <c r="V47" s="207"/>
      <c r="AF47" s="207"/>
      <c r="AP47" s="207"/>
      <c r="AZ47" s="207"/>
    </row>
    <row r="48" spans="3:52" s="49" customFormat="1" ht="15.75" x14ac:dyDescent="0.25">
      <c r="C48" s="48"/>
      <c r="D48" s="60"/>
      <c r="E48" s="60"/>
      <c r="F48" s="60"/>
      <c r="G48" s="50"/>
      <c r="H48" s="61"/>
      <c r="I48" s="61"/>
      <c r="J48" s="61"/>
      <c r="K48" s="61"/>
      <c r="L48" s="61"/>
      <c r="M48" s="62"/>
      <c r="N48" s="62"/>
      <c r="O48" s="62"/>
      <c r="P48" s="62"/>
      <c r="Q48" s="63"/>
      <c r="R48" s="63"/>
      <c r="S48" s="63"/>
      <c r="T48" s="63"/>
      <c r="U48" s="63"/>
      <c r="V48" s="207"/>
      <c r="AF48" s="207"/>
      <c r="AP48" s="207"/>
      <c r="AZ48" s="207"/>
    </row>
    <row r="49" spans="3:52" s="49" customFormat="1" ht="15.75" x14ac:dyDescent="0.25">
      <c r="C49" s="48"/>
      <c r="D49" s="60"/>
      <c r="E49" s="60"/>
      <c r="F49" s="60"/>
      <c r="G49" s="50"/>
      <c r="H49" s="61"/>
      <c r="I49" s="61"/>
      <c r="J49" s="61"/>
      <c r="K49" s="61"/>
      <c r="L49" s="61"/>
      <c r="M49" s="62"/>
      <c r="N49" s="62"/>
      <c r="O49" s="62"/>
      <c r="P49" s="62"/>
      <c r="Q49" s="63"/>
      <c r="R49" s="63"/>
      <c r="S49" s="63"/>
      <c r="T49" s="63"/>
      <c r="U49" s="63"/>
      <c r="V49" s="207"/>
      <c r="AF49" s="207"/>
      <c r="AP49" s="207"/>
      <c r="AZ49" s="207"/>
    </row>
    <row r="50" spans="3:52" s="49" customFormat="1" ht="15.75" x14ac:dyDescent="0.25">
      <c r="C50" s="48"/>
      <c r="D50" s="60"/>
      <c r="E50" s="60"/>
      <c r="F50" s="60"/>
      <c r="G50" s="50"/>
      <c r="H50" s="61"/>
      <c r="I50" s="61"/>
      <c r="J50" s="61"/>
      <c r="K50" s="61"/>
      <c r="L50" s="61"/>
      <c r="M50" s="62"/>
      <c r="N50" s="62"/>
      <c r="O50" s="62"/>
      <c r="P50" s="62"/>
      <c r="Q50" s="63"/>
      <c r="R50" s="63"/>
      <c r="S50" s="63"/>
      <c r="T50" s="63"/>
      <c r="U50" s="63"/>
      <c r="V50" s="207"/>
      <c r="AF50" s="207"/>
      <c r="AP50" s="207"/>
      <c r="AZ50" s="207"/>
    </row>
    <row r="51" spans="3:52" s="49" customFormat="1" ht="15.75" x14ac:dyDescent="0.25">
      <c r="C51" s="48"/>
      <c r="D51" s="60"/>
      <c r="E51" s="60"/>
      <c r="F51" s="60"/>
      <c r="G51" s="50"/>
      <c r="H51" s="61"/>
      <c r="I51" s="61"/>
      <c r="J51" s="61"/>
      <c r="K51" s="61"/>
      <c r="L51" s="61"/>
      <c r="M51" s="62"/>
      <c r="N51" s="62"/>
      <c r="O51" s="62"/>
      <c r="P51" s="62"/>
      <c r="Q51" s="63"/>
      <c r="R51" s="63"/>
      <c r="S51" s="63"/>
      <c r="T51" s="63"/>
      <c r="U51" s="63"/>
      <c r="V51" s="207"/>
      <c r="AF51" s="207"/>
      <c r="AP51" s="207"/>
      <c r="AZ51" s="207"/>
    </row>
    <row r="52" spans="3:52" s="49" customFormat="1" ht="15.75" x14ac:dyDescent="0.25">
      <c r="C52" s="48"/>
      <c r="D52" s="60"/>
      <c r="E52" s="60"/>
      <c r="F52" s="60"/>
      <c r="G52" s="50"/>
      <c r="H52" s="61"/>
      <c r="I52" s="61"/>
      <c r="J52" s="61"/>
      <c r="K52" s="61"/>
      <c r="L52" s="61"/>
      <c r="M52" s="62"/>
      <c r="N52" s="62"/>
      <c r="O52" s="62"/>
      <c r="P52" s="62"/>
      <c r="Q52" s="63"/>
      <c r="R52" s="63"/>
      <c r="S52" s="63"/>
      <c r="T52" s="63"/>
      <c r="U52" s="63"/>
      <c r="V52" s="207"/>
      <c r="AF52" s="207"/>
      <c r="AP52" s="207"/>
      <c r="AZ52" s="207"/>
    </row>
    <row r="53" spans="3:52" s="49" customFormat="1" ht="15.75" x14ac:dyDescent="0.25">
      <c r="C53" s="48"/>
      <c r="D53" s="60"/>
      <c r="E53" s="60"/>
      <c r="F53" s="60"/>
      <c r="G53" s="50"/>
      <c r="H53" s="61"/>
      <c r="I53" s="61"/>
      <c r="J53" s="61"/>
      <c r="K53" s="61"/>
      <c r="L53" s="61"/>
      <c r="M53" s="62"/>
      <c r="N53" s="62"/>
      <c r="O53" s="62"/>
      <c r="P53" s="62"/>
      <c r="Q53" s="63"/>
      <c r="R53" s="63"/>
      <c r="S53" s="63"/>
      <c r="T53" s="63"/>
      <c r="U53" s="63"/>
      <c r="V53" s="207"/>
      <c r="AF53" s="207"/>
      <c r="AP53" s="207"/>
      <c r="AZ53" s="207"/>
    </row>
    <row r="54" spans="3:52" s="49" customFormat="1" ht="15.75" x14ac:dyDescent="0.25">
      <c r="C54" s="48"/>
      <c r="D54" s="60"/>
      <c r="E54" s="60"/>
      <c r="F54" s="60"/>
      <c r="G54" s="50"/>
      <c r="H54" s="61"/>
      <c r="I54" s="61"/>
      <c r="J54" s="61"/>
      <c r="K54" s="61"/>
      <c r="L54" s="61"/>
      <c r="M54" s="62"/>
      <c r="N54" s="62"/>
      <c r="O54" s="62"/>
      <c r="P54" s="62"/>
      <c r="Q54" s="63"/>
      <c r="R54" s="63"/>
      <c r="S54" s="63"/>
      <c r="T54" s="63"/>
      <c r="U54" s="63"/>
      <c r="V54" s="207"/>
      <c r="AF54" s="207"/>
      <c r="AP54" s="207"/>
      <c r="AZ54" s="207"/>
    </row>
    <row r="55" spans="3:52" s="49" customFormat="1" ht="15.75" x14ac:dyDescent="0.25">
      <c r="C55" s="48"/>
      <c r="D55" s="60"/>
      <c r="E55" s="60"/>
      <c r="F55" s="60"/>
      <c r="G55" s="50"/>
      <c r="H55" s="61"/>
      <c r="I55" s="61"/>
      <c r="J55" s="61"/>
      <c r="K55" s="61"/>
      <c r="L55" s="61"/>
      <c r="M55" s="62"/>
      <c r="N55" s="62"/>
      <c r="O55" s="62"/>
      <c r="P55" s="62"/>
      <c r="Q55" s="63"/>
      <c r="R55" s="63"/>
      <c r="S55" s="63"/>
      <c r="T55" s="63"/>
      <c r="U55" s="63"/>
      <c r="V55" s="207"/>
      <c r="AF55" s="207"/>
      <c r="AP55" s="207"/>
      <c r="AZ55" s="207"/>
    </row>
    <row r="56" spans="3:52" s="49" customFormat="1" ht="15.75" x14ac:dyDescent="0.25">
      <c r="C56" s="48"/>
      <c r="D56" s="60"/>
      <c r="E56" s="60"/>
      <c r="F56" s="60"/>
      <c r="G56" s="50"/>
      <c r="H56" s="61"/>
      <c r="I56" s="61"/>
      <c r="J56" s="61"/>
      <c r="K56" s="61"/>
      <c r="L56" s="61"/>
      <c r="M56" s="62"/>
      <c r="N56" s="62"/>
      <c r="O56" s="62"/>
      <c r="P56" s="62"/>
      <c r="Q56" s="63"/>
      <c r="R56" s="63"/>
      <c r="S56" s="63"/>
      <c r="T56" s="63"/>
      <c r="U56" s="63"/>
      <c r="V56" s="207"/>
      <c r="AF56" s="207"/>
      <c r="AP56" s="207"/>
      <c r="AZ56" s="207"/>
    </row>
    <row r="57" spans="3:52" s="49" customFormat="1" ht="15.75" x14ac:dyDescent="0.25">
      <c r="C57" s="48"/>
      <c r="D57" s="60"/>
      <c r="E57" s="60"/>
      <c r="F57" s="60"/>
      <c r="G57" s="50"/>
      <c r="H57" s="61"/>
      <c r="I57" s="61"/>
      <c r="J57" s="61"/>
      <c r="K57" s="61"/>
      <c r="L57" s="61"/>
      <c r="M57" s="62"/>
      <c r="N57" s="62"/>
      <c r="O57" s="62"/>
      <c r="P57" s="62"/>
      <c r="Q57" s="63"/>
      <c r="R57" s="63"/>
      <c r="S57" s="63"/>
      <c r="T57" s="63"/>
      <c r="U57" s="63"/>
      <c r="V57" s="207"/>
      <c r="AF57" s="207"/>
      <c r="AP57" s="207"/>
      <c r="AZ57" s="207"/>
    </row>
    <row r="58" spans="3:52" s="49" customFormat="1" ht="15.75" x14ac:dyDescent="0.25">
      <c r="C58" s="48"/>
      <c r="D58" s="60"/>
      <c r="E58" s="60"/>
      <c r="F58" s="60"/>
      <c r="G58" s="50"/>
      <c r="H58" s="61"/>
      <c r="I58" s="61"/>
      <c r="J58" s="61"/>
      <c r="K58" s="61"/>
      <c r="L58" s="61"/>
      <c r="M58" s="62"/>
      <c r="N58" s="62"/>
      <c r="O58" s="62"/>
      <c r="P58" s="62"/>
      <c r="Q58" s="63"/>
      <c r="R58" s="63"/>
      <c r="S58" s="63"/>
      <c r="T58" s="63"/>
      <c r="U58" s="63"/>
      <c r="V58" s="207"/>
      <c r="AF58" s="207"/>
      <c r="AP58" s="207"/>
      <c r="AZ58" s="207"/>
    </row>
    <row r="59" spans="3:52" s="49" customFormat="1" ht="15.75" x14ac:dyDescent="0.25">
      <c r="C59" s="48"/>
      <c r="D59" s="60"/>
      <c r="E59" s="60"/>
      <c r="F59" s="60"/>
      <c r="G59" s="50"/>
      <c r="H59" s="61"/>
      <c r="I59" s="61"/>
      <c r="J59" s="61"/>
      <c r="K59" s="61"/>
      <c r="L59" s="61"/>
      <c r="M59" s="62"/>
      <c r="N59" s="62"/>
      <c r="O59" s="62"/>
      <c r="P59" s="62"/>
      <c r="Q59" s="63"/>
      <c r="R59" s="63"/>
      <c r="S59" s="63"/>
      <c r="T59" s="63"/>
      <c r="U59" s="63"/>
      <c r="V59" s="207"/>
      <c r="AF59" s="207"/>
      <c r="AP59" s="207"/>
      <c r="AZ59" s="207"/>
    </row>
    <row r="60" spans="3:52" s="49" customFormat="1" ht="15.75" x14ac:dyDescent="0.25">
      <c r="C60" s="48"/>
      <c r="D60" s="60"/>
      <c r="E60" s="60"/>
      <c r="F60" s="60"/>
      <c r="G60" s="50"/>
      <c r="H60" s="61"/>
      <c r="I60" s="61"/>
      <c r="J60" s="61"/>
      <c r="K60" s="61"/>
      <c r="L60" s="61"/>
      <c r="M60" s="62"/>
      <c r="N60" s="62"/>
      <c r="O60" s="62"/>
      <c r="P60" s="62"/>
      <c r="Q60" s="63"/>
      <c r="R60" s="63"/>
      <c r="S60" s="63"/>
      <c r="T60" s="63"/>
      <c r="U60" s="63"/>
      <c r="V60" s="207"/>
      <c r="AF60" s="207"/>
      <c r="AP60" s="207"/>
      <c r="AZ60" s="207"/>
    </row>
    <row r="61" spans="3:52" s="49" customFormat="1" ht="15.75" x14ac:dyDescent="0.25">
      <c r="C61" s="48"/>
      <c r="D61" s="60"/>
      <c r="E61" s="60"/>
      <c r="F61" s="60"/>
      <c r="G61" s="50"/>
      <c r="H61" s="61"/>
      <c r="I61" s="61"/>
      <c r="J61" s="61"/>
      <c r="K61" s="61"/>
      <c r="L61" s="61"/>
      <c r="M61" s="62"/>
      <c r="N61" s="62"/>
      <c r="O61" s="62"/>
      <c r="P61" s="62"/>
      <c r="Q61" s="63"/>
      <c r="R61" s="63"/>
      <c r="S61" s="63"/>
      <c r="T61" s="63"/>
      <c r="U61" s="63"/>
      <c r="V61" s="207"/>
      <c r="AF61" s="207"/>
      <c r="AP61" s="207"/>
      <c r="AZ61" s="207"/>
    </row>
    <row r="62" spans="3:52" s="49" customFormat="1" ht="15.75" x14ac:dyDescent="0.25">
      <c r="C62" s="48"/>
      <c r="D62" s="60"/>
      <c r="E62" s="60"/>
      <c r="F62" s="60"/>
      <c r="G62" s="50"/>
      <c r="H62" s="61"/>
      <c r="I62" s="61"/>
      <c r="J62" s="61"/>
      <c r="K62" s="61"/>
      <c r="L62" s="61"/>
      <c r="M62" s="62"/>
      <c r="N62" s="62"/>
      <c r="O62" s="62"/>
      <c r="P62" s="62"/>
      <c r="Q62" s="63"/>
      <c r="R62" s="63"/>
      <c r="S62" s="63"/>
      <c r="T62" s="63"/>
      <c r="U62" s="63"/>
      <c r="V62" s="207"/>
      <c r="AF62" s="207"/>
      <c r="AP62" s="207"/>
      <c r="AZ62" s="207"/>
    </row>
    <row r="63" spans="3:52" s="49" customFormat="1" ht="15.75" x14ac:dyDescent="0.25">
      <c r="C63" s="48"/>
      <c r="D63" s="60"/>
      <c r="E63" s="60"/>
      <c r="F63" s="60"/>
      <c r="G63" s="50"/>
      <c r="H63" s="61"/>
      <c r="I63" s="61"/>
      <c r="J63" s="61"/>
      <c r="K63" s="61"/>
      <c r="L63" s="61"/>
      <c r="M63" s="62"/>
      <c r="N63" s="62"/>
      <c r="O63" s="62"/>
      <c r="P63" s="62"/>
      <c r="Q63" s="63"/>
      <c r="R63" s="63"/>
      <c r="S63" s="63"/>
      <c r="T63" s="63"/>
      <c r="U63" s="63"/>
      <c r="V63" s="207"/>
      <c r="AF63" s="207"/>
      <c r="AP63" s="207"/>
      <c r="AZ63" s="207"/>
    </row>
    <row r="64" spans="3:52" s="49" customFormat="1" ht="15.75" x14ac:dyDescent="0.25">
      <c r="C64" s="48"/>
      <c r="D64" s="60"/>
      <c r="E64" s="60"/>
      <c r="F64" s="60"/>
      <c r="G64" s="50"/>
      <c r="H64" s="61"/>
      <c r="I64" s="61"/>
      <c r="J64" s="61"/>
      <c r="K64" s="61"/>
      <c r="L64" s="61"/>
      <c r="M64" s="62"/>
      <c r="N64" s="62"/>
      <c r="O64" s="62"/>
      <c r="P64" s="62"/>
      <c r="Q64" s="63"/>
      <c r="R64" s="63"/>
      <c r="S64" s="63"/>
      <c r="T64" s="63"/>
      <c r="U64" s="63"/>
      <c r="V64" s="207"/>
      <c r="AF64" s="207"/>
      <c r="AP64" s="207"/>
      <c r="AZ64" s="207"/>
    </row>
    <row r="65" spans="3:52" s="49" customFormat="1" ht="15.75" x14ac:dyDescent="0.25">
      <c r="C65" s="48"/>
      <c r="D65" s="60"/>
      <c r="E65" s="60"/>
      <c r="F65" s="60"/>
      <c r="G65" s="50"/>
      <c r="H65" s="61"/>
      <c r="I65" s="61"/>
      <c r="J65" s="61"/>
      <c r="K65" s="61"/>
      <c r="L65" s="61"/>
      <c r="M65" s="62"/>
      <c r="N65" s="62"/>
      <c r="O65" s="62"/>
      <c r="P65" s="62"/>
      <c r="Q65" s="63"/>
      <c r="R65" s="63"/>
      <c r="S65" s="63"/>
      <c r="T65" s="63"/>
      <c r="U65" s="63"/>
      <c r="V65" s="207"/>
      <c r="AF65" s="207"/>
      <c r="AP65" s="207"/>
      <c r="AZ65" s="207"/>
    </row>
    <row r="66" spans="3:52" s="49" customFormat="1" ht="15.75" x14ac:dyDescent="0.25">
      <c r="C66" s="48"/>
      <c r="D66" s="60"/>
      <c r="E66" s="60"/>
      <c r="F66" s="60"/>
      <c r="G66" s="50"/>
      <c r="H66" s="61"/>
      <c r="I66" s="61"/>
      <c r="J66" s="61"/>
      <c r="K66" s="61"/>
      <c r="L66" s="61"/>
      <c r="M66" s="62"/>
      <c r="N66" s="62"/>
      <c r="O66" s="62"/>
      <c r="P66" s="62"/>
      <c r="Q66" s="63"/>
      <c r="R66" s="63"/>
      <c r="S66" s="63"/>
      <c r="T66" s="63"/>
      <c r="U66" s="63"/>
      <c r="V66" s="207"/>
      <c r="AF66" s="207"/>
      <c r="AP66" s="207"/>
      <c r="AZ66" s="207"/>
    </row>
    <row r="67" spans="3:52" s="49" customFormat="1" ht="15.75" x14ac:dyDescent="0.25">
      <c r="C67" s="48"/>
      <c r="D67" s="60"/>
      <c r="E67" s="60"/>
      <c r="F67" s="60"/>
      <c r="G67" s="50"/>
      <c r="H67" s="61"/>
      <c r="I67" s="61"/>
      <c r="J67" s="61"/>
      <c r="K67" s="61"/>
      <c r="L67" s="61"/>
      <c r="M67" s="62"/>
      <c r="N67" s="62"/>
      <c r="O67" s="62"/>
      <c r="P67" s="62"/>
      <c r="Q67" s="63"/>
      <c r="R67" s="63"/>
      <c r="S67" s="63"/>
      <c r="T67" s="63"/>
      <c r="U67" s="63"/>
      <c r="V67" s="207"/>
      <c r="AF67" s="207"/>
      <c r="AP67" s="207"/>
      <c r="AZ67" s="207"/>
    </row>
    <row r="68" spans="3:52" s="49" customFormat="1" ht="15.75" x14ac:dyDescent="0.25">
      <c r="C68" s="48"/>
      <c r="D68" s="60"/>
      <c r="E68" s="60"/>
      <c r="F68" s="60"/>
      <c r="G68" s="50"/>
      <c r="H68" s="61"/>
      <c r="I68" s="61"/>
      <c r="J68" s="61"/>
      <c r="K68" s="61"/>
      <c r="L68" s="61"/>
      <c r="M68" s="62"/>
      <c r="N68" s="62"/>
      <c r="O68" s="62"/>
      <c r="P68" s="62"/>
      <c r="Q68" s="63"/>
      <c r="R68" s="63"/>
      <c r="S68" s="63"/>
      <c r="T68" s="63"/>
      <c r="U68" s="63"/>
      <c r="V68" s="207"/>
      <c r="AF68" s="207"/>
      <c r="AP68" s="207"/>
      <c r="AZ68" s="207"/>
    </row>
    <row r="69" spans="3:52" s="49" customFormat="1" ht="15.75" x14ac:dyDescent="0.25">
      <c r="C69" s="48"/>
      <c r="D69" s="60"/>
      <c r="E69" s="60"/>
      <c r="F69" s="60"/>
      <c r="G69" s="50"/>
      <c r="H69" s="61"/>
      <c r="I69" s="61"/>
      <c r="J69" s="61"/>
      <c r="K69" s="61"/>
      <c r="L69" s="61"/>
      <c r="M69" s="62"/>
      <c r="N69" s="62"/>
      <c r="O69" s="62"/>
      <c r="P69" s="62"/>
      <c r="Q69" s="63"/>
      <c r="R69" s="63"/>
      <c r="S69" s="63"/>
      <c r="T69" s="63"/>
      <c r="U69" s="63"/>
      <c r="V69" s="207"/>
      <c r="AF69" s="207"/>
      <c r="AP69" s="207"/>
      <c r="AZ69" s="207"/>
    </row>
    <row r="70" spans="3:52" s="49" customFormat="1" ht="15.75" x14ac:dyDescent="0.25">
      <c r="C70" s="48"/>
      <c r="D70" s="60"/>
      <c r="E70" s="60"/>
      <c r="F70" s="60"/>
      <c r="G70" s="50"/>
      <c r="H70" s="61"/>
      <c r="I70" s="61"/>
      <c r="J70" s="61"/>
      <c r="K70" s="61"/>
      <c r="L70" s="61"/>
      <c r="M70" s="62"/>
      <c r="N70" s="62"/>
      <c r="O70" s="62"/>
      <c r="P70" s="62"/>
      <c r="Q70" s="63"/>
      <c r="R70" s="63"/>
      <c r="S70" s="63"/>
      <c r="T70" s="63"/>
      <c r="U70" s="63"/>
      <c r="V70" s="207"/>
      <c r="AF70" s="207"/>
      <c r="AP70" s="207"/>
      <c r="AZ70" s="207"/>
    </row>
    <row r="71" spans="3:52" s="49" customFormat="1" ht="15.75" x14ac:dyDescent="0.25">
      <c r="C71" s="48"/>
      <c r="D71" s="60"/>
      <c r="E71" s="60"/>
      <c r="F71" s="60"/>
      <c r="G71" s="50"/>
      <c r="H71" s="61"/>
      <c r="I71" s="61"/>
      <c r="J71" s="61"/>
      <c r="K71" s="61"/>
      <c r="L71" s="61"/>
      <c r="M71" s="62"/>
      <c r="N71" s="62"/>
      <c r="O71" s="62"/>
      <c r="P71" s="62"/>
      <c r="Q71" s="63"/>
      <c r="R71" s="63"/>
      <c r="S71" s="63"/>
      <c r="T71" s="63"/>
      <c r="U71" s="63"/>
      <c r="V71" s="207"/>
      <c r="AF71" s="207"/>
      <c r="AP71" s="207"/>
      <c r="AZ71" s="207"/>
    </row>
    <row r="72" spans="3:52" s="49" customFormat="1" ht="15.75" x14ac:dyDescent="0.25">
      <c r="C72" s="48"/>
      <c r="D72" s="60"/>
      <c r="E72" s="60"/>
      <c r="F72" s="60"/>
      <c r="G72" s="50"/>
      <c r="H72" s="61"/>
      <c r="I72" s="61"/>
      <c r="J72" s="61"/>
      <c r="K72" s="61"/>
      <c r="L72" s="61"/>
      <c r="M72" s="62"/>
      <c r="N72" s="62"/>
      <c r="O72" s="62"/>
      <c r="P72" s="62"/>
      <c r="Q72" s="63"/>
      <c r="R72" s="63"/>
      <c r="S72" s="63"/>
      <c r="T72" s="63"/>
      <c r="U72" s="63"/>
      <c r="V72" s="207"/>
      <c r="AF72" s="207"/>
      <c r="AP72" s="207"/>
      <c r="AZ72" s="207"/>
    </row>
    <row r="73" spans="3:52" s="49" customFormat="1" ht="15.75" x14ac:dyDescent="0.25">
      <c r="C73" s="48"/>
      <c r="D73" s="60"/>
      <c r="E73" s="60"/>
      <c r="F73" s="60"/>
      <c r="G73" s="50"/>
      <c r="H73" s="61"/>
      <c r="I73" s="61"/>
      <c r="J73" s="61"/>
      <c r="K73" s="61"/>
      <c r="L73" s="61"/>
      <c r="M73" s="62"/>
      <c r="N73" s="62"/>
      <c r="O73" s="62"/>
      <c r="P73" s="62"/>
      <c r="Q73" s="63"/>
      <c r="R73" s="63"/>
      <c r="S73" s="63"/>
      <c r="T73" s="63"/>
      <c r="U73" s="63"/>
      <c r="V73" s="207"/>
      <c r="AF73" s="207"/>
      <c r="AP73" s="207"/>
      <c r="AZ73" s="207"/>
    </row>
    <row r="74" spans="3:52" s="49" customFormat="1" ht="15.75" x14ac:dyDescent="0.25">
      <c r="C74" s="48"/>
      <c r="D74" s="60"/>
      <c r="E74" s="60"/>
      <c r="F74" s="60"/>
      <c r="G74" s="50"/>
      <c r="H74" s="61"/>
      <c r="I74" s="61"/>
      <c r="J74" s="61"/>
      <c r="K74" s="61"/>
      <c r="L74" s="61"/>
      <c r="M74" s="62"/>
      <c r="N74" s="62"/>
      <c r="O74" s="62"/>
      <c r="P74" s="62"/>
      <c r="Q74" s="63"/>
      <c r="R74" s="63"/>
      <c r="S74" s="63"/>
      <c r="T74" s="63"/>
      <c r="U74" s="63"/>
      <c r="V74" s="207"/>
      <c r="AF74" s="207"/>
      <c r="AP74" s="207"/>
      <c r="AZ74" s="207"/>
    </row>
    <row r="75" spans="3:52" s="49" customFormat="1" ht="15.75" x14ac:dyDescent="0.25">
      <c r="C75" s="48"/>
      <c r="D75" s="60"/>
      <c r="E75" s="60"/>
      <c r="F75" s="60"/>
      <c r="G75" s="50"/>
      <c r="H75" s="61"/>
      <c r="I75" s="61"/>
      <c r="J75" s="61"/>
      <c r="K75" s="61"/>
      <c r="L75" s="61"/>
      <c r="M75" s="62"/>
      <c r="N75" s="62"/>
      <c r="O75" s="62"/>
      <c r="P75" s="62"/>
      <c r="Q75" s="63"/>
      <c r="R75" s="63"/>
      <c r="S75" s="63"/>
      <c r="T75" s="63"/>
      <c r="U75" s="63"/>
      <c r="V75" s="207"/>
      <c r="AF75" s="207"/>
      <c r="AP75" s="207"/>
      <c r="AZ75" s="207"/>
    </row>
    <row r="76" spans="3:52" s="49" customFormat="1" ht="15.75" x14ac:dyDescent="0.25">
      <c r="C76" s="48"/>
      <c r="D76" s="60"/>
      <c r="E76" s="60"/>
      <c r="F76" s="60"/>
      <c r="G76" s="50"/>
      <c r="H76" s="61"/>
      <c r="I76" s="61"/>
      <c r="J76" s="61"/>
      <c r="K76" s="61"/>
      <c r="L76" s="61"/>
      <c r="M76" s="62"/>
      <c r="N76" s="62"/>
      <c r="O76" s="62"/>
      <c r="P76" s="62"/>
      <c r="Q76" s="63"/>
      <c r="R76" s="63"/>
      <c r="S76" s="63"/>
      <c r="T76" s="63"/>
      <c r="U76" s="63"/>
      <c r="V76" s="207"/>
      <c r="AF76" s="207"/>
      <c r="AP76" s="207"/>
      <c r="AZ76" s="207"/>
    </row>
    <row r="77" spans="3:52" s="49" customFormat="1" ht="15.75" x14ac:dyDescent="0.25">
      <c r="C77" s="48"/>
      <c r="D77" s="60"/>
      <c r="E77" s="60"/>
      <c r="F77" s="60"/>
      <c r="G77" s="50"/>
      <c r="H77" s="61"/>
      <c r="I77" s="61"/>
      <c r="J77" s="61"/>
      <c r="K77" s="61"/>
      <c r="L77" s="61"/>
      <c r="M77" s="62"/>
      <c r="N77" s="62"/>
      <c r="O77" s="62"/>
      <c r="P77" s="62"/>
      <c r="Q77" s="63"/>
      <c r="R77" s="63"/>
      <c r="S77" s="63"/>
      <c r="T77" s="63"/>
      <c r="U77" s="63"/>
      <c r="V77" s="207"/>
      <c r="AF77" s="207"/>
      <c r="AP77" s="207"/>
      <c r="AZ77" s="207"/>
    </row>
    <row r="78" spans="3:52" s="49" customFormat="1" ht="15.75" x14ac:dyDescent="0.25">
      <c r="C78" s="48"/>
      <c r="D78" s="60"/>
      <c r="E78" s="60"/>
      <c r="F78" s="60"/>
      <c r="G78" s="50"/>
      <c r="H78" s="61"/>
      <c r="I78" s="61"/>
      <c r="J78" s="61"/>
      <c r="K78" s="61"/>
      <c r="L78" s="61"/>
      <c r="M78" s="62"/>
      <c r="N78" s="62"/>
      <c r="O78" s="62"/>
      <c r="P78" s="62"/>
      <c r="Q78" s="63"/>
      <c r="R78" s="63"/>
      <c r="S78" s="63"/>
      <c r="T78" s="63"/>
      <c r="U78" s="63"/>
      <c r="V78" s="207"/>
      <c r="AF78" s="207"/>
      <c r="AP78" s="207"/>
      <c r="AZ78" s="207"/>
    </row>
    <row r="79" spans="3:52" s="49" customFormat="1" ht="15.75" x14ac:dyDescent="0.25">
      <c r="C79" s="48"/>
      <c r="D79" s="60"/>
      <c r="E79" s="60"/>
      <c r="F79" s="60"/>
      <c r="G79" s="50"/>
      <c r="H79" s="61"/>
      <c r="I79" s="61"/>
      <c r="J79" s="61"/>
      <c r="K79" s="61"/>
      <c r="L79" s="61"/>
      <c r="M79" s="62"/>
      <c r="N79" s="62"/>
      <c r="O79" s="62"/>
      <c r="P79" s="62"/>
      <c r="Q79" s="63"/>
      <c r="R79" s="63"/>
      <c r="S79" s="63"/>
      <c r="T79" s="63"/>
      <c r="U79" s="63"/>
      <c r="V79" s="207"/>
      <c r="AF79" s="207"/>
      <c r="AP79" s="207"/>
      <c r="AZ79" s="207"/>
    </row>
    <row r="80" spans="3:52" s="49" customFormat="1" ht="15.75" x14ac:dyDescent="0.25">
      <c r="C80" s="48"/>
      <c r="D80" s="60"/>
      <c r="E80" s="60"/>
      <c r="F80" s="60"/>
      <c r="G80" s="50"/>
      <c r="H80" s="61"/>
      <c r="I80" s="61"/>
      <c r="J80" s="61"/>
      <c r="K80" s="61"/>
      <c r="L80" s="61"/>
      <c r="M80" s="62"/>
      <c r="N80" s="62"/>
      <c r="O80" s="62"/>
      <c r="P80" s="62"/>
      <c r="Q80" s="63"/>
      <c r="R80" s="63"/>
      <c r="S80" s="63"/>
      <c r="T80" s="63"/>
      <c r="U80" s="63"/>
      <c r="V80" s="207"/>
      <c r="AF80" s="207"/>
      <c r="AP80" s="207"/>
      <c r="AZ80" s="207"/>
    </row>
    <row r="81" spans="3:52" s="49" customFormat="1" ht="15.75" x14ac:dyDescent="0.25">
      <c r="C81" s="48"/>
      <c r="D81" s="60"/>
      <c r="E81" s="60"/>
      <c r="F81" s="60"/>
      <c r="G81" s="50"/>
      <c r="H81" s="61"/>
      <c r="I81" s="61"/>
      <c r="J81" s="61"/>
      <c r="K81" s="61"/>
      <c r="L81" s="61"/>
      <c r="M81" s="62"/>
      <c r="N81" s="62"/>
      <c r="O81" s="62"/>
      <c r="P81" s="62"/>
      <c r="Q81" s="63"/>
      <c r="R81" s="63"/>
      <c r="S81" s="63"/>
      <c r="T81" s="63"/>
      <c r="U81" s="63"/>
      <c r="V81" s="207"/>
      <c r="AF81" s="207"/>
      <c r="AP81" s="207"/>
      <c r="AZ81" s="207"/>
    </row>
    <row r="82" spans="3:52" s="49" customFormat="1" ht="15.75" x14ac:dyDescent="0.25">
      <c r="C82" s="48"/>
      <c r="D82" s="60"/>
      <c r="E82" s="60"/>
      <c r="F82" s="60"/>
      <c r="G82" s="50"/>
      <c r="H82" s="61"/>
      <c r="I82" s="61"/>
      <c r="J82" s="61"/>
      <c r="K82" s="61"/>
      <c r="L82" s="61"/>
      <c r="M82" s="62"/>
      <c r="N82" s="62"/>
      <c r="O82" s="62"/>
      <c r="P82" s="62"/>
      <c r="Q82" s="63"/>
      <c r="R82" s="63"/>
      <c r="S82" s="63"/>
      <c r="T82" s="63"/>
      <c r="U82" s="63"/>
      <c r="V82" s="207"/>
      <c r="AF82" s="207"/>
      <c r="AP82" s="207"/>
      <c r="AZ82" s="207"/>
    </row>
    <row r="83" spans="3:52" s="49" customFormat="1" ht="15.75" x14ac:dyDescent="0.25">
      <c r="C83" s="48"/>
      <c r="D83" s="60"/>
      <c r="E83" s="60"/>
      <c r="F83" s="60"/>
      <c r="G83" s="50"/>
      <c r="H83" s="61"/>
      <c r="I83" s="61"/>
      <c r="J83" s="61"/>
      <c r="K83" s="61"/>
      <c r="L83" s="61"/>
      <c r="M83" s="62"/>
      <c r="N83" s="62"/>
      <c r="O83" s="62"/>
      <c r="P83" s="62"/>
      <c r="Q83" s="63"/>
      <c r="R83" s="63"/>
      <c r="S83" s="63"/>
      <c r="T83" s="63"/>
      <c r="U83" s="63"/>
      <c r="V83" s="207"/>
      <c r="AF83" s="207"/>
      <c r="AP83" s="207"/>
      <c r="AZ83" s="207"/>
    </row>
    <row r="84" spans="3:52" s="49" customFormat="1" ht="15.75" x14ac:dyDescent="0.25">
      <c r="C84" s="48"/>
      <c r="D84" s="60"/>
      <c r="E84" s="60"/>
      <c r="F84" s="60"/>
      <c r="G84" s="50"/>
      <c r="H84" s="61"/>
      <c r="I84" s="61"/>
      <c r="J84" s="61"/>
      <c r="K84" s="61"/>
      <c r="L84" s="61"/>
      <c r="M84" s="62"/>
      <c r="N84" s="62"/>
      <c r="O84" s="62"/>
      <c r="P84" s="62"/>
      <c r="Q84" s="63"/>
      <c r="R84" s="63"/>
      <c r="S84" s="63"/>
      <c r="T84" s="63"/>
      <c r="U84" s="63"/>
      <c r="V84" s="207"/>
      <c r="AF84" s="207"/>
      <c r="AP84" s="207"/>
      <c r="AZ84" s="207"/>
    </row>
    <row r="85" spans="3:52" s="49" customFormat="1" ht="15.75" x14ac:dyDescent="0.25">
      <c r="C85" s="48"/>
      <c r="D85" s="60"/>
      <c r="E85" s="60"/>
      <c r="F85" s="60"/>
      <c r="G85" s="50"/>
      <c r="H85" s="61"/>
      <c r="I85" s="61"/>
      <c r="J85" s="61"/>
      <c r="K85" s="61"/>
      <c r="L85" s="61"/>
      <c r="M85" s="62"/>
      <c r="N85" s="62"/>
      <c r="O85" s="62"/>
      <c r="P85" s="62"/>
      <c r="Q85" s="63"/>
      <c r="R85" s="63"/>
      <c r="S85" s="63"/>
      <c r="T85" s="63"/>
      <c r="U85" s="63"/>
      <c r="V85" s="207"/>
      <c r="AF85" s="207"/>
      <c r="AP85" s="207"/>
      <c r="AZ85" s="207"/>
    </row>
    <row r="86" spans="3:52" s="49" customFormat="1" ht="15.75" x14ac:dyDescent="0.25">
      <c r="C86" s="48"/>
      <c r="D86" s="60"/>
      <c r="E86" s="60"/>
      <c r="F86" s="60"/>
      <c r="G86" s="50"/>
      <c r="H86" s="61"/>
      <c r="I86" s="61"/>
      <c r="J86" s="61"/>
      <c r="K86" s="61"/>
      <c r="L86" s="61"/>
      <c r="M86" s="62"/>
      <c r="N86" s="62"/>
      <c r="O86" s="62"/>
      <c r="P86" s="62"/>
      <c r="Q86" s="63"/>
      <c r="R86" s="63"/>
      <c r="S86" s="63"/>
      <c r="T86" s="63"/>
      <c r="U86" s="63"/>
      <c r="V86" s="207"/>
      <c r="AF86" s="207"/>
      <c r="AP86" s="207"/>
      <c r="AZ86" s="207"/>
    </row>
    <row r="87" spans="3:52" s="49" customFormat="1" ht="15.75" x14ac:dyDescent="0.25">
      <c r="C87" s="48"/>
      <c r="D87" s="60"/>
      <c r="E87" s="60"/>
      <c r="F87" s="60"/>
      <c r="G87" s="50"/>
      <c r="H87" s="61"/>
      <c r="I87" s="61"/>
      <c r="J87" s="61"/>
      <c r="K87" s="61"/>
      <c r="L87" s="61"/>
      <c r="M87" s="62"/>
      <c r="N87" s="62"/>
      <c r="O87" s="62"/>
      <c r="P87" s="62"/>
      <c r="Q87" s="63"/>
      <c r="R87" s="63"/>
      <c r="S87" s="63"/>
      <c r="T87" s="63"/>
      <c r="U87" s="63"/>
      <c r="V87" s="207"/>
      <c r="AF87" s="207"/>
      <c r="AP87" s="207"/>
      <c r="AZ87" s="207"/>
    </row>
    <row r="88" spans="3:52" s="49" customFormat="1" ht="15.75" x14ac:dyDescent="0.25">
      <c r="C88" s="48"/>
      <c r="D88" s="60"/>
      <c r="E88" s="60"/>
      <c r="F88" s="60"/>
      <c r="G88" s="50"/>
      <c r="H88" s="61"/>
      <c r="I88" s="61"/>
      <c r="J88" s="61"/>
      <c r="K88" s="61"/>
      <c r="L88" s="61"/>
      <c r="M88" s="62"/>
      <c r="N88" s="62"/>
      <c r="O88" s="62"/>
      <c r="P88" s="62"/>
      <c r="Q88" s="63"/>
      <c r="R88" s="63"/>
      <c r="S88" s="63"/>
      <c r="T88" s="63"/>
      <c r="U88" s="63"/>
      <c r="V88" s="207"/>
      <c r="AF88" s="207"/>
      <c r="AP88" s="207"/>
      <c r="AZ88" s="207"/>
    </row>
    <row r="89" spans="3:52" s="49" customFormat="1" ht="15.75" x14ac:dyDescent="0.25">
      <c r="C89" s="48"/>
      <c r="D89" s="60"/>
      <c r="E89" s="60"/>
      <c r="F89" s="60"/>
      <c r="G89" s="50"/>
      <c r="H89" s="61"/>
      <c r="I89" s="61"/>
      <c r="J89" s="61"/>
      <c r="K89" s="61"/>
      <c r="L89" s="61"/>
      <c r="M89" s="62"/>
      <c r="N89" s="62"/>
      <c r="O89" s="62"/>
      <c r="P89" s="62"/>
      <c r="Q89" s="63"/>
      <c r="R89" s="63"/>
      <c r="S89" s="63"/>
      <c r="T89" s="63"/>
      <c r="U89" s="63"/>
      <c r="V89" s="207"/>
      <c r="AF89" s="207"/>
      <c r="AP89" s="207"/>
      <c r="AZ89" s="207"/>
    </row>
    <row r="90" spans="3:52" s="49" customFormat="1" ht="15.75" x14ac:dyDescent="0.25">
      <c r="C90" s="48"/>
      <c r="D90" s="60"/>
      <c r="E90" s="60"/>
      <c r="F90" s="60"/>
      <c r="G90" s="50"/>
      <c r="H90" s="61"/>
      <c r="I90" s="61"/>
      <c r="J90" s="61"/>
      <c r="K90" s="61"/>
      <c r="L90" s="61"/>
      <c r="M90" s="62"/>
      <c r="N90" s="62"/>
      <c r="O90" s="62"/>
      <c r="P90" s="62"/>
      <c r="Q90" s="63"/>
      <c r="R90" s="63"/>
      <c r="S90" s="63"/>
      <c r="T90" s="63"/>
      <c r="U90" s="63"/>
      <c r="V90" s="207"/>
      <c r="AF90" s="207"/>
      <c r="AP90" s="207"/>
      <c r="AZ90" s="207"/>
    </row>
    <row r="91" spans="3:52" s="49" customFormat="1" ht="15.75" x14ac:dyDescent="0.25">
      <c r="C91" s="48"/>
      <c r="D91" s="60"/>
      <c r="E91" s="60"/>
      <c r="F91" s="60"/>
      <c r="G91" s="50"/>
      <c r="H91" s="61"/>
      <c r="I91" s="61"/>
      <c r="J91" s="61"/>
      <c r="K91" s="61"/>
      <c r="L91" s="61"/>
      <c r="M91" s="62"/>
      <c r="N91" s="62"/>
      <c r="O91" s="62"/>
      <c r="P91" s="62"/>
      <c r="Q91" s="63"/>
      <c r="R91" s="63"/>
      <c r="S91" s="63"/>
      <c r="T91" s="63"/>
      <c r="U91" s="63"/>
      <c r="V91" s="207"/>
      <c r="AF91" s="207"/>
      <c r="AP91" s="207"/>
      <c r="AZ91" s="207"/>
    </row>
    <row r="92" spans="3:52" s="49" customFormat="1" ht="15.75" x14ac:dyDescent="0.25">
      <c r="C92" s="48"/>
      <c r="D92" s="60"/>
      <c r="E92" s="60"/>
      <c r="F92" s="60"/>
      <c r="G92" s="50"/>
      <c r="H92" s="61"/>
      <c r="I92" s="61"/>
      <c r="J92" s="61"/>
      <c r="K92" s="61"/>
      <c r="L92" s="61"/>
      <c r="M92" s="62"/>
      <c r="N92" s="62"/>
      <c r="O92" s="62"/>
      <c r="P92" s="62"/>
      <c r="Q92" s="63"/>
      <c r="R92" s="63"/>
      <c r="S92" s="63"/>
      <c r="T92" s="63"/>
      <c r="U92" s="63"/>
      <c r="V92" s="207"/>
      <c r="AF92" s="207"/>
      <c r="AP92" s="207"/>
      <c r="AZ92" s="207"/>
    </row>
    <row r="93" spans="3:52" s="49" customFormat="1" ht="15.75" x14ac:dyDescent="0.25">
      <c r="C93" s="48"/>
      <c r="D93" s="60"/>
      <c r="E93" s="60"/>
      <c r="F93" s="60"/>
      <c r="G93" s="50"/>
      <c r="H93" s="61"/>
      <c r="I93" s="61"/>
      <c r="J93" s="61"/>
      <c r="K93" s="61"/>
      <c r="L93" s="61"/>
      <c r="M93" s="62"/>
      <c r="N93" s="62"/>
      <c r="O93" s="62"/>
      <c r="P93" s="62"/>
      <c r="Q93" s="63"/>
      <c r="R93" s="63"/>
      <c r="S93" s="63"/>
      <c r="T93" s="63"/>
      <c r="U93" s="63"/>
      <c r="V93" s="207"/>
      <c r="AF93" s="207"/>
      <c r="AP93" s="207"/>
      <c r="AZ93" s="207"/>
    </row>
    <row r="94" spans="3:52" s="49" customFormat="1" ht="15.75" x14ac:dyDescent="0.25">
      <c r="C94" s="48"/>
      <c r="D94" s="60"/>
      <c r="E94" s="60"/>
      <c r="F94" s="60"/>
      <c r="G94" s="50"/>
      <c r="H94" s="61"/>
      <c r="I94" s="61"/>
      <c r="J94" s="61"/>
      <c r="K94" s="61"/>
      <c r="L94" s="61"/>
      <c r="M94" s="62"/>
      <c r="N94" s="62"/>
      <c r="O94" s="62"/>
      <c r="P94" s="62"/>
      <c r="Q94" s="63"/>
      <c r="R94" s="63"/>
      <c r="S94" s="63"/>
      <c r="T94" s="63"/>
      <c r="U94" s="63"/>
      <c r="V94" s="207"/>
      <c r="AF94" s="207"/>
      <c r="AP94" s="207"/>
      <c r="AZ94" s="207"/>
    </row>
    <row r="95" spans="3:52" s="49" customFormat="1" ht="15.75" x14ac:dyDescent="0.25">
      <c r="C95" s="48"/>
      <c r="D95" s="60"/>
      <c r="E95" s="60"/>
      <c r="F95" s="60"/>
      <c r="G95" s="50"/>
      <c r="H95" s="61"/>
      <c r="I95" s="61"/>
      <c r="J95" s="61"/>
      <c r="K95" s="61"/>
      <c r="L95" s="61"/>
      <c r="M95" s="62"/>
      <c r="N95" s="62"/>
      <c r="O95" s="62"/>
      <c r="P95" s="62"/>
      <c r="Q95" s="63"/>
      <c r="R95" s="63"/>
      <c r="S95" s="63"/>
      <c r="T95" s="63"/>
      <c r="U95" s="63"/>
      <c r="V95" s="207"/>
      <c r="AF95" s="207"/>
      <c r="AP95" s="207"/>
      <c r="AZ95" s="207"/>
    </row>
    <row r="96" spans="3:52" s="49" customFormat="1" ht="15.75" x14ac:dyDescent="0.25">
      <c r="C96" s="48"/>
      <c r="D96" s="60"/>
      <c r="E96" s="60"/>
      <c r="F96" s="60"/>
      <c r="G96" s="50"/>
      <c r="H96" s="61"/>
      <c r="I96" s="61"/>
      <c r="J96" s="61"/>
      <c r="K96" s="61"/>
      <c r="L96" s="61"/>
      <c r="M96" s="62"/>
      <c r="N96" s="62"/>
      <c r="O96" s="62"/>
      <c r="P96" s="62"/>
      <c r="Q96" s="63"/>
      <c r="R96" s="63"/>
      <c r="S96" s="63"/>
      <c r="T96" s="63"/>
      <c r="U96" s="63"/>
      <c r="V96" s="207"/>
      <c r="AF96" s="207"/>
      <c r="AP96" s="207"/>
      <c r="AZ96" s="207"/>
    </row>
    <row r="97" spans="3:52" s="49" customFormat="1" ht="15.75" x14ac:dyDescent="0.25">
      <c r="C97" s="48"/>
      <c r="D97" s="60"/>
      <c r="E97" s="60"/>
      <c r="F97" s="60"/>
      <c r="G97" s="50"/>
      <c r="H97" s="61"/>
      <c r="I97" s="61"/>
      <c r="J97" s="61"/>
      <c r="K97" s="61"/>
      <c r="L97" s="61"/>
      <c r="M97" s="62"/>
      <c r="N97" s="62"/>
      <c r="O97" s="62"/>
      <c r="P97" s="62"/>
      <c r="Q97" s="63"/>
      <c r="R97" s="63"/>
      <c r="S97" s="63"/>
      <c r="T97" s="63"/>
      <c r="U97" s="63"/>
      <c r="V97" s="207"/>
      <c r="AF97" s="207"/>
      <c r="AP97" s="207"/>
      <c r="AZ97" s="207"/>
    </row>
    <row r="98" spans="3:52" s="49" customFormat="1" ht="15.75" x14ac:dyDescent="0.25">
      <c r="C98" s="48"/>
      <c r="D98" s="60"/>
      <c r="E98" s="60"/>
      <c r="F98" s="60"/>
      <c r="G98" s="50"/>
      <c r="H98" s="61"/>
      <c r="I98" s="61"/>
      <c r="J98" s="61"/>
      <c r="K98" s="61"/>
      <c r="L98" s="61"/>
      <c r="M98" s="62"/>
      <c r="N98" s="62"/>
      <c r="O98" s="62"/>
      <c r="P98" s="62"/>
      <c r="Q98" s="63"/>
      <c r="R98" s="63"/>
      <c r="S98" s="63"/>
      <c r="T98" s="63"/>
      <c r="U98" s="63"/>
      <c r="V98" s="207"/>
      <c r="AF98" s="207"/>
      <c r="AP98" s="207"/>
      <c r="AZ98" s="207"/>
    </row>
    <row r="99" spans="3:52" s="49" customFormat="1" ht="15.75" x14ac:dyDescent="0.25">
      <c r="C99" s="48"/>
      <c r="D99" s="60"/>
      <c r="E99" s="60"/>
      <c r="F99" s="60"/>
      <c r="G99" s="50"/>
      <c r="H99" s="61"/>
      <c r="I99" s="61"/>
      <c r="J99" s="61"/>
      <c r="K99" s="61"/>
      <c r="L99" s="61"/>
      <c r="M99" s="62"/>
      <c r="N99" s="62"/>
      <c r="O99" s="62"/>
      <c r="P99" s="62"/>
      <c r="Q99" s="63"/>
      <c r="R99" s="63"/>
      <c r="S99" s="63"/>
      <c r="T99" s="63"/>
      <c r="U99" s="63"/>
      <c r="V99" s="207"/>
      <c r="AF99" s="207"/>
      <c r="AP99" s="207"/>
      <c r="AZ99" s="207"/>
    </row>
    <row r="100" spans="3:52" s="49" customFormat="1" ht="15.75" x14ac:dyDescent="0.25">
      <c r="C100" s="48"/>
      <c r="D100" s="60"/>
      <c r="E100" s="60"/>
      <c r="F100" s="60"/>
      <c r="G100" s="50"/>
      <c r="H100" s="61"/>
      <c r="I100" s="61"/>
      <c r="J100" s="61"/>
      <c r="K100" s="61"/>
      <c r="L100" s="61"/>
      <c r="M100" s="62"/>
      <c r="N100" s="62"/>
      <c r="O100" s="62"/>
      <c r="P100" s="62"/>
      <c r="Q100" s="63"/>
      <c r="R100" s="63"/>
      <c r="S100" s="63"/>
      <c r="T100" s="63"/>
      <c r="U100" s="63"/>
      <c r="V100" s="207"/>
      <c r="AF100" s="207"/>
      <c r="AP100" s="207"/>
      <c r="AZ100" s="207"/>
    </row>
    <row r="101" spans="3:52" s="49" customFormat="1" ht="15.75" x14ac:dyDescent="0.25">
      <c r="C101" s="48"/>
      <c r="D101" s="60"/>
      <c r="E101" s="60"/>
      <c r="F101" s="60"/>
      <c r="G101" s="50"/>
      <c r="H101" s="61"/>
      <c r="I101" s="61"/>
      <c r="J101" s="61"/>
      <c r="K101" s="61"/>
      <c r="L101" s="61"/>
      <c r="M101" s="62"/>
      <c r="N101" s="62"/>
      <c r="O101" s="62"/>
      <c r="P101" s="62"/>
      <c r="Q101" s="63"/>
      <c r="R101" s="63"/>
      <c r="S101" s="63"/>
      <c r="T101" s="63"/>
      <c r="U101" s="63"/>
      <c r="V101" s="207"/>
      <c r="AF101" s="207"/>
      <c r="AP101" s="207"/>
      <c r="AZ101" s="207"/>
    </row>
    <row r="102" spans="3:52" s="49" customFormat="1" ht="15.75" x14ac:dyDescent="0.25">
      <c r="C102" s="48"/>
      <c r="D102" s="60"/>
      <c r="E102" s="60"/>
      <c r="F102" s="60"/>
      <c r="G102" s="50"/>
      <c r="H102" s="61"/>
      <c r="I102" s="61"/>
      <c r="J102" s="61"/>
      <c r="K102" s="61"/>
      <c r="L102" s="61"/>
      <c r="M102" s="62"/>
      <c r="N102" s="62"/>
      <c r="O102" s="62"/>
      <c r="P102" s="62"/>
      <c r="Q102" s="63"/>
      <c r="R102" s="63"/>
      <c r="S102" s="63"/>
      <c r="T102" s="63"/>
      <c r="U102" s="63"/>
      <c r="V102" s="207"/>
      <c r="AF102" s="207"/>
      <c r="AP102" s="207"/>
      <c r="AZ102" s="207"/>
    </row>
    <row r="103" spans="3:52" s="49" customFormat="1" ht="15.75" x14ac:dyDescent="0.25">
      <c r="C103" s="48"/>
      <c r="D103" s="60"/>
      <c r="E103" s="60"/>
      <c r="F103" s="60"/>
      <c r="G103" s="50"/>
      <c r="H103" s="61"/>
      <c r="I103" s="61"/>
      <c r="J103" s="61"/>
      <c r="K103" s="61"/>
      <c r="L103" s="61"/>
      <c r="M103" s="62"/>
      <c r="N103" s="62"/>
      <c r="O103" s="62"/>
      <c r="P103" s="62"/>
      <c r="Q103" s="63"/>
      <c r="R103" s="63"/>
      <c r="S103" s="63"/>
      <c r="T103" s="63"/>
      <c r="U103" s="63"/>
      <c r="V103" s="207"/>
      <c r="AF103" s="207"/>
      <c r="AP103" s="207"/>
      <c r="AZ103" s="207"/>
    </row>
    <row r="104" spans="3:52" s="49" customFormat="1" ht="15.75" x14ac:dyDescent="0.25">
      <c r="C104" s="48"/>
      <c r="D104" s="60"/>
      <c r="E104" s="60"/>
      <c r="F104" s="60"/>
      <c r="G104" s="50"/>
      <c r="H104" s="61"/>
      <c r="I104" s="61"/>
      <c r="J104" s="61"/>
      <c r="K104" s="61"/>
      <c r="L104" s="61"/>
      <c r="M104" s="62"/>
      <c r="N104" s="62"/>
      <c r="O104" s="62"/>
      <c r="P104" s="62"/>
      <c r="Q104" s="63"/>
      <c r="R104" s="63"/>
      <c r="S104" s="63"/>
      <c r="T104" s="63"/>
      <c r="U104" s="63"/>
      <c r="V104" s="207"/>
      <c r="AF104" s="207"/>
      <c r="AP104" s="207"/>
      <c r="AZ104" s="207"/>
    </row>
    <row r="105" spans="3:52" s="49" customFormat="1" ht="15.75" x14ac:dyDescent="0.25">
      <c r="C105" s="48"/>
      <c r="D105" s="60"/>
      <c r="E105" s="60"/>
      <c r="F105" s="60"/>
      <c r="G105" s="50"/>
      <c r="H105" s="61"/>
      <c r="I105" s="61"/>
      <c r="J105" s="61"/>
      <c r="K105" s="61"/>
      <c r="L105" s="61"/>
      <c r="M105" s="62"/>
      <c r="N105" s="62"/>
      <c r="O105" s="62"/>
      <c r="P105" s="62"/>
      <c r="Q105" s="63"/>
      <c r="R105" s="63"/>
      <c r="S105" s="63"/>
      <c r="T105" s="63"/>
      <c r="U105" s="63"/>
      <c r="V105" s="207"/>
      <c r="AF105" s="207"/>
      <c r="AP105" s="207"/>
      <c r="AZ105" s="207"/>
    </row>
    <row r="106" spans="3:52" s="49" customFormat="1" ht="15.75" x14ac:dyDescent="0.25">
      <c r="C106" s="48"/>
      <c r="D106" s="60"/>
      <c r="E106" s="60"/>
      <c r="F106" s="60"/>
      <c r="G106" s="50"/>
      <c r="H106" s="61"/>
      <c r="I106" s="61"/>
      <c r="J106" s="61"/>
      <c r="K106" s="61"/>
      <c r="L106" s="61"/>
      <c r="M106" s="62"/>
      <c r="N106" s="62"/>
      <c r="O106" s="62"/>
      <c r="P106" s="62"/>
      <c r="Q106" s="63"/>
      <c r="R106" s="63"/>
      <c r="S106" s="63"/>
      <c r="T106" s="63"/>
      <c r="U106" s="63"/>
      <c r="V106" s="207"/>
      <c r="AF106" s="207"/>
      <c r="AP106" s="207"/>
      <c r="AZ106" s="207"/>
    </row>
    <row r="107" spans="3:52" s="49" customFormat="1" ht="15.75" x14ac:dyDescent="0.25">
      <c r="C107" s="48"/>
      <c r="D107" s="60"/>
      <c r="E107" s="60"/>
      <c r="F107" s="60"/>
      <c r="G107" s="50"/>
      <c r="H107" s="61"/>
      <c r="I107" s="61"/>
      <c r="J107" s="61"/>
      <c r="K107" s="61"/>
      <c r="L107" s="61"/>
      <c r="M107" s="62"/>
      <c r="N107" s="62"/>
      <c r="O107" s="62"/>
      <c r="P107" s="62"/>
      <c r="Q107" s="63"/>
      <c r="R107" s="63"/>
      <c r="S107" s="63"/>
      <c r="T107" s="63"/>
      <c r="U107" s="63"/>
      <c r="V107" s="207"/>
      <c r="AF107" s="207"/>
      <c r="AP107" s="207"/>
      <c r="AZ107" s="207"/>
    </row>
    <row r="108" spans="3:52" s="49" customFormat="1" ht="15.75" x14ac:dyDescent="0.25">
      <c r="C108" s="48"/>
      <c r="D108" s="60"/>
      <c r="E108" s="60"/>
      <c r="F108" s="60"/>
      <c r="G108" s="50"/>
      <c r="H108" s="61"/>
      <c r="I108" s="61"/>
      <c r="J108" s="61"/>
      <c r="K108" s="61"/>
      <c r="L108" s="61"/>
      <c r="M108" s="62"/>
      <c r="N108" s="62"/>
      <c r="O108" s="62"/>
      <c r="P108" s="62"/>
      <c r="Q108" s="63"/>
      <c r="R108" s="63"/>
      <c r="S108" s="63"/>
      <c r="T108" s="63"/>
      <c r="U108" s="63"/>
      <c r="V108" s="207"/>
      <c r="AF108" s="207"/>
      <c r="AP108" s="207"/>
      <c r="AZ108" s="207"/>
    </row>
    <row r="109" spans="3:52" s="49" customFormat="1" ht="15.75" x14ac:dyDescent="0.25">
      <c r="C109" s="48"/>
      <c r="D109" s="60"/>
      <c r="E109" s="60"/>
      <c r="F109" s="60"/>
      <c r="G109" s="50"/>
      <c r="H109" s="61"/>
      <c r="I109" s="61"/>
      <c r="J109" s="61"/>
      <c r="K109" s="61"/>
      <c r="L109" s="61"/>
      <c r="M109" s="62"/>
      <c r="N109" s="62"/>
      <c r="O109" s="62"/>
      <c r="P109" s="62"/>
      <c r="Q109" s="63"/>
      <c r="R109" s="63"/>
      <c r="S109" s="63"/>
      <c r="T109" s="63"/>
      <c r="U109" s="63"/>
      <c r="V109" s="207"/>
      <c r="AF109" s="207"/>
      <c r="AP109" s="207"/>
      <c r="AZ109" s="207"/>
    </row>
    <row r="110" spans="3:52" s="49" customFormat="1" ht="15.75" x14ac:dyDescent="0.25">
      <c r="C110" s="48"/>
      <c r="D110" s="60"/>
      <c r="E110" s="60"/>
      <c r="F110" s="60"/>
      <c r="G110" s="50"/>
      <c r="H110" s="61"/>
      <c r="I110" s="61"/>
      <c r="J110" s="61"/>
      <c r="K110" s="61"/>
      <c r="L110" s="61"/>
      <c r="M110" s="62"/>
      <c r="N110" s="62"/>
      <c r="O110" s="62"/>
      <c r="P110" s="62"/>
      <c r="Q110" s="63"/>
      <c r="R110" s="63"/>
      <c r="S110" s="63"/>
      <c r="T110" s="63"/>
      <c r="U110" s="63"/>
      <c r="V110" s="207"/>
      <c r="AF110" s="207"/>
      <c r="AP110" s="207"/>
      <c r="AZ110" s="207"/>
    </row>
    <row r="111" spans="3:52" s="49" customFormat="1" ht="15.75" x14ac:dyDescent="0.25">
      <c r="C111" s="48"/>
      <c r="D111" s="60"/>
      <c r="E111" s="60"/>
      <c r="F111" s="60"/>
      <c r="G111" s="50"/>
      <c r="H111" s="61"/>
      <c r="I111" s="61"/>
      <c r="J111" s="61"/>
      <c r="K111" s="61"/>
      <c r="L111" s="61"/>
      <c r="M111" s="62"/>
      <c r="N111" s="62"/>
      <c r="O111" s="62"/>
      <c r="P111" s="62"/>
      <c r="Q111" s="63"/>
      <c r="R111" s="63"/>
      <c r="S111" s="63"/>
      <c r="T111" s="63"/>
      <c r="U111" s="63"/>
      <c r="V111" s="207"/>
      <c r="AF111" s="207"/>
      <c r="AP111" s="207"/>
      <c r="AZ111" s="207"/>
    </row>
    <row r="112" spans="3:52" s="49" customFormat="1" ht="15.75" x14ac:dyDescent="0.25">
      <c r="C112" s="48"/>
      <c r="D112" s="60"/>
      <c r="E112" s="60"/>
      <c r="F112" s="60"/>
      <c r="G112" s="50"/>
      <c r="H112" s="61"/>
      <c r="I112" s="61"/>
      <c r="J112" s="61"/>
      <c r="K112" s="61"/>
      <c r="L112" s="61"/>
      <c r="M112" s="44"/>
      <c r="N112" s="44"/>
      <c r="O112" s="44"/>
      <c r="P112" s="44"/>
      <c r="Q112" s="64"/>
      <c r="R112" s="64"/>
      <c r="V112" s="207"/>
      <c r="AF112" s="207"/>
      <c r="AP112" s="207"/>
      <c r="AZ112" s="207"/>
    </row>
    <row r="113" spans="3:52" s="49" customFormat="1" ht="15.75" x14ac:dyDescent="0.25">
      <c r="C113" s="48"/>
      <c r="D113" s="60"/>
      <c r="E113" s="60"/>
      <c r="F113" s="60"/>
      <c r="G113" s="50"/>
      <c r="H113" s="61"/>
      <c r="I113" s="61"/>
      <c r="J113" s="61"/>
      <c r="K113" s="61"/>
      <c r="L113" s="61"/>
      <c r="M113" s="44"/>
      <c r="N113" s="44"/>
      <c r="O113" s="44"/>
      <c r="P113" s="44"/>
      <c r="Q113" s="64"/>
      <c r="R113" s="64"/>
      <c r="V113" s="207"/>
      <c r="AF113" s="207"/>
      <c r="AP113" s="207"/>
      <c r="AZ113" s="207"/>
    </row>
    <row r="114" spans="3:52" s="49" customFormat="1" ht="15.75" x14ac:dyDescent="0.25">
      <c r="C114" s="48"/>
      <c r="D114" s="60"/>
      <c r="E114" s="60"/>
      <c r="F114" s="60"/>
      <c r="G114" s="50"/>
      <c r="H114" s="61"/>
      <c r="I114" s="61"/>
      <c r="J114" s="61"/>
      <c r="K114" s="61"/>
      <c r="L114" s="61"/>
      <c r="M114" s="44"/>
      <c r="N114" s="44"/>
      <c r="O114" s="44"/>
      <c r="P114" s="44"/>
      <c r="Q114" s="64"/>
      <c r="R114" s="64"/>
      <c r="V114" s="207"/>
      <c r="AF114" s="207"/>
      <c r="AP114" s="207"/>
      <c r="AZ114" s="207"/>
    </row>
    <row r="115" spans="3:52" s="49" customFormat="1" ht="15.75" x14ac:dyDescent="0.25">
      <c r="C115" s="48"/>
      <c r="D115" s="60"/>
      <c r="E115" s="60"/>
      <c r="F115" s="60"/>
      <c r="G115" s="50"/>
      <c r="H115" s="61"/>
      <c r="I115" s="61"/>
      <c r="J115" s="61"/>
      <c r="K115" s="61"/>
      <c r="L115" s="61"/>
      <c r="M115" s="44"/>
      <c r="N115" s="44"/>
      <c r="O115" s="44"/>
      <c r="P115" s="44"/>
      <c r="Q115" s="64"/>
      <c r="R115" s="64"/>
      <c r="V115" s="207"/>
      <c r="AF115" s="207"/>
      <c r="AP115" s="207"/>
      <c r="AZ115" s="207"/>
    </row>
    <row r="116" spans="3:52" s="49" customFormat="1" ht="15.75" x14ac:dyDescent="0.25">
      <c r="C116" s="48"/>
      <c r="D116" s="60"/>
      <c r="E116" s="60"/>
      <c r="F116" s="60"/>
      <c r="G116" s="50"/>
      <c r="H116" s="61"/>
      <c r="I116" s="61"/>
      <c r="J116" s="61"/>
      <c r="K116" s="61"/>
      <c r="L116" s="61"/>
      <c r="M116" s="44"/>
      <c r="N116" s="44"/>
      <c r="O116" s="44"/>
      <c r="P116" s="44"/>
      <c r="Q116" s="64"/>
      <c r="R116" s="64"/>
      <c r="V116" s="207"/>
      <c r="AF116" s="207"/>
      <c r="AP116" s="207"/>
      <c r="AZ116" s="207"/>
    </row>
    <row r="117" spans="3:52" s="49" customFormat="1" ht="15.75" x14ac:dyDescent="0.25">
      <c r="C117" s="48"/>
      <c r="D117" s="60"/>
      <c r="E117" s="60"/>
      <c r="F117" s="60"/>
      <c r="G117" s="50"/>
      <c r="H117" s="61"/>
      <c r="I117" s="61"/>
      <c r="J117" s="61"/>
      <c r="K117" s="61"/>
      <c r="L117" s="61"/>
      <c r="M117" s="44"/>
      <c r="N117" s="44"/>
      <c r="O117" s="44"/>
      <c r="P117" s="44"/>
      <c r="Q117" s="64"/>
      <c r="R117" s="64"/>
      <c r="V117" s="207"/>
      <c r="AF117" s="207"/>
      <c r="AP117" s="207"/>
      <c r="AZ117" s="207"/>
    </row>
    <row r="118" spans="3:52" s="49" customFormat="1" ht="15.75" x14ac:dyDescent="0.25">
      <c r="C118" s="48"/>
      <c r="D118" s="60"/>
      <c r="E118" s="60"/>
      <c r="F118" s="60"/>
      <c r="G118" s="50"/>
      <c r="H118" s="61"/>
      <c r="I118" s="61"/>
      <c r="J118" s="61"/>
      <c r="K118" s="61"/>
      <c r="L118" s="61"/>
      <c r="M118" s="44"/>
      <c r="N118" s="44"/>
      <c r="O118" s="44"/>
      <c r="P118" s="44"/>
      <c r="Q118" s="64"/>
      <c r="R118" s="64"/>
      <c r="V118" s="207"/>
      <c r="AF118" s="207"/>
      <c r="AP118" s="207"/>
      <c r="AZ118" s="207"/>
    </row>
    <row r="119" spans="3:52" s="49" customFormat="1" ht="15.75" x14ac:dyDescent="0.25">
      <c r="C119" s="48"/>
      <c r="D119" s="60"/>
      <c r="E119" s="60"/>
      <c r="F119" s="60"/>
      <c r="G119" s="50"/>
      <c r="H119" s="61"/>
      <c r="I119" s="61"/>
      <c r="J119" s="61"/>
      <c r="K119" s="61"/>
      <c r="L119" s="61"/>
      <c r="M119" s="44"/>
      <c r="N119" s="44"/>
      <c r="O119" s="44"/>
      <c r="P119" s="44"/>
      <c r="Q119" s="64"/>
      <c r="R119" s="64"/>
      <c r="V119" s="207"/>
      <c r="AF119" s="207"/>
      <c r="AP119" s="207"/>
      <c r="AZ119" s="207"/>
    </row>
    <row r="120" spans="3:52" s="49" customFormat="1" ht="15.75" x14ac:dyDescent="0.25">
      <c r="C120" s="48"/>
      <c r="D120" s="60"/>
      <c r="E120" s="60"/>
      <c r="F120" s="60"/>
      <c r="G120" s="50"/>
      <c r="H120" s="61"/>
      <c r="I120" s="61"/>
      <c r="J120" s="61"/>
      <c r="K120" s="61"/>
      <c r="L120" s="61"/>
      <c r="M120" s="44"/>
      <c r="N120" s="44"/>
      <c r="O120" s="44"/>
      <c r="P120" s="44"/>
      <c r="Q120" s="64"/>
      <c r="R120" s="64"/>
      <c r="V120" s="207"/>
      <c r="AF120" s="207"/>
      <c r="AP120" s="207"/>
      <c r="AZ120" s="207"/>
    </row>
    <row r="121" spans="3:52" s="49" customFormat="1" ht="15.75" x14ac:dyDescent="0.25">
      <c r="C121" s="48"/>
      <c r="D121" s="60"/>
      <c r="E121" s="60"/>
      <c r="F121" s="60"/>
      <c r="G121" s="50"/>
      <c r="H121" s="61"/>
      <c r="I121" s="61"/>
      <c r="J121" s="61"/>
      <c r="K121" s="61"/>
      <c r="L121" s="61"/>
      <c r="M121" s="44"/>
      <c r="N121" s="44"/>
      <c r="O121" s="44"/>
      <c r="P121" s="44"/>
      <c r="Q121" s="64"/>
      <c r="R121" s="64"/>
      <c r="V121" s="207"/>
      <c r="AF121" s="207"/>
      <c r="AP121" s="207"/>
      <c r="AZ121" s="207"/>
    </row>
    <row r="122" spans="3:52" s="49" customFormat="1" ht="15.75" x14ac:dyDescent="0.25">
      <c r="C122" s="48"/>
      <c r="D122" s="60"/>
      <c r="E122" s="60"/>
      <c r="F122" s="60"/>
      <c r="G122" s="50"/>
      <c r="H122" s="61"/>
      <c r="I122" s="61"/>
      <c r="J122" s="61"/>
      <c r="K122" s="61"/>
      <c r="L122" s="61"/>
      <c r="M122" s="44"/>
      <c r="N122" s="44"/>
      <c r="O122" s="44"/>
      <c r="P122" s="44"/>
      <c r="Q122" s="64"/>
      <c r="R122" s="64"/>
      <c r="V122" s="207"/>
      <c r="AF122" s="207"/>
      <c r="AP122" s="207"/>
      <c r="AZ122" s="207"/>
    </row>
    <row r="123" spans="3:52" s="49" customFormat="1" ht="15.75" x14ac:dyDescent="0.25">
      <c r="C123" s="48"/>
      <c r="D123" s="60"/>
      <c r="E123" s="60"/>
      <c r="F123" s="60"/>
      <c r="G123" s="50"/>
      <c r="H123" s="61"/>
      <c r="I123" s="61"/>
      <c r="J123" s="61"/>
      <c r="K123" s="61"/>
      <c r="L123" s="61"/>
      <c r="M123" s="44"/>
      <c r="N123" s="44"/>
      <c r="O123" s="44"/>
      <c r="P123" s="44"/>
      <c r="Q123" s="64"/>
      <c r="R123" s="64"/>
      <c r="V123" s="207"/>
      <c r="AF123" s="207"/>
      <c r="AP123" s="207"/>
      <c r="AZ123" s="207"/>
    </row>
    <row r="124" spans="3:52" s="49" customFormat="1" ht="15.75" x14ac:dyDescent="0.25">
      <c r="C124" s="48"/>
      <c r="D124" s="60"/>
      <c r="E124" s="60"/>
      <c r="F124" s="60"/>
      <c r="G124" s="50"/>
      <c r="H124" s="61"/>
      <c r="I124" s="61"/>
      <c r="J124" s="61"/>
      <c r="K124" s="61"/>
      <c r="L124" s="61"/>
      <c r="M124" s="44"/>
      <c r="N124" s="44"/>
      <c r="O124" s="44"/>
      <c r="P124" s="44"/>
      <c r="Q124" s="64"/>
      <c r="R124" s="64"/>
      <c r="V124" s="207"/>
      <c r="AF124" s="207"/>
      <c r="AP124" s="207"/>
      <c r="AZ124" s="207"/>
    </row>
    <row r="125" spans="3:52" s="49" customFormat="1" ht="15.75" x14ac:dyDescent="0.25">
      <c r="C125" s="48"/>
      <c r="D125" s="60"/>
      <c r="E125" s="60"/>
      <c r="F125" s="60"/>
      <c r="G125" s="50"/>
      <c r="H125" s="61"/>
      <c r="I125" s="61"/>
      <c r="J125" s="61"/>
      <c r="K125" s="61"/>
      <c r="L125" s="61"/>
      <c r="M125" s="44"/>
      <c r="N125" s="44"/>
      <c r="O125" s="44"/>
      <c r="P125" s="44"/>
      <c r="Q125" s="64"/>
      <c r="R125" s="64"/>
      <c r="V125" s="207"/>
      <c r="AF125" s="207"/>
      <c r="AP125" s="207"/>
      <c r="AZ125" s="207"/>
    </row>
    <row r="126" spans="3:52" s="49" customFormat="1" ht="15.75" x14ac:dyDescent="0.25">
      <c r="C126" s="48"/>
      <c r="D126" s="60"/>
      <c r="E126" s="60"/>
      <c r="F126" s="60"/>
      <c r="G126" s="50"/>
      <c r="H126" s="61"/>
      <c r="I126" s="61"/>
      <c r="J126" s="61"/>
      <c r="K126" s="61"/>
      <c r="L126" s="61"/>
      <c r="M126" s="44"/>
      <c r="N126" s="44"/>
      <c r="O126" s="44"/>
      <c r="P126" s="44"/>
      <c r="Q126" s="64"/>
      <c r="R126" s="64"/>
      <c r="V126" s="207"/>
      <c r="AF126" s="207"/>
      <c r="AP126" s="207"/>
      <c r="AZ126" s="207"/>
    </row>
    <row r="127" spans="3:52" s="49" customFormat="1" ht="15.75" x14ac:dyDescent="0.25">
      <c r="C127" s="48"/>
      <c r="D127" s="60"/>
      <c r="E127" s="60"/>
      <c r="F127" s="60"/>
      <c r="G127" s="50"/>
      <c r="H127" s="61"/>
      <c r="I127" s="61"/>
      <c r="J127" s="61"/>
      <c r="K127" s="61"/>
      <c r="L127" s="61"/>
      <c r="M127" s="44"/>
      <c r="N127" s="44"/>
      <c r="O127" s="44"/>
      <c r="P127" s="44"/>
      <c r="Q127" s="64"/>
      <c r="R127" s="64"/>
      <c r="V127" s="207"/>
      <c r="AF127" s="207"/>
      <c r="AP127" s="207"/>
      <c r="AZ127" s="207"/>
    </row>
    <row r="128" spans="3:52" s="49" customFormat="1" ht="15.75" x14ac:dyDescent="0.25">
      <c r="C128" s="48"/>
      <c r="D128" s="60"/>
      <c r="E128" s="60"/>
      <c r="F128" s="60"/>
      <c r="G128" s="50"/>
      <c r="H128" s="61"/>
      <c r="I128" s="61"/>
      <c r="J128" s="61"/>
      <c r="K128" s="61"/>
      <c r="L128" s="61"/>
      <c r="M128" s="44"/>
      <c r="N128" s="44"/>
      <c r="O128" s="44"/>
      <c r="P128" s="44"/>
      <c r="Q128" s="64"/>
      <c r="R128" s="64"/>
      <c r="V128" s="207"/>
      <c r="AF128" s="207"/>
      <c r="AP128" s="207"/>
      <c r="AZ128" s="207"/>
    </row>
    <row r="129" spans="3:52" s="49" customFormat="1" ht="15.75" x14ac:dyDescent="0.25">
      <c r="C129" s="48"/>
      <c r="D129" s="60"/>
      <c r="E129" s="60"/>
      <c r="F129" s="60"/>
      <c r="G129" s="50"/>
      <c r="H129" s="61"/>
      <c r="I129" s="61"/>
      <c r="J129" s="61"/>
      <c r="K129" s="61"/>
      <c r="L129" s="61"/>
      <c r="M129" s="44"/>
      <c r="N129" s="44"/>
      <c r="O129" s="44"/>
      <c r="P129" s="44"/>
      <c r="Q129" s="64"/>
      <c r="R129" s="64"/>
      <c r="V129" s="207"/>
      <c r="AF129" s="207"/>
      <c r="AP129" s="207"/>
      <c r="AZ129" s="207"/>
    </row>
    <row r="130" spans="3:52" s="49" customFormat="1" ht="15.75" x14ac:dyDescent="0.25">
      <c r="C130" s="48"/>
      <c r="D130" s="60"/>
      <c r="E130" s="60"/>
      <c r="F130" s="60"/>
      <c r="G130" s="50"/>
      <c r="H130" s="61"/>
      <c r="I130" s="61"/>
      <c r="J130" s="61"/>
      <c r="K130" s="61"/>
      <c r="L130" s="61"/>
      <c r="M130" s="44"/>
      <c r="N130" s="44"/>
      <c r="O130" s="44"/>
      <c r="P130" s="44"/>
      <c r="Q130" s="64"/>
      <c r="R130" s="64"/>
      <c r="V130" s="207"/>
      <c r="AF130" s="207"/>
      <c r="AP130" s="207"/>
      <c r="AZ130" s="207"/>
    </row>
    <row r="131" spans="3:52" s="49" customFormat="1" ht="15.75" x14ac:dyDescent="0.25">
      <c r="C131" s="48"/>
      <c r="D131" s="60"/>
      <c r="E131" s="60"/>
      <c r="F131" s="60"/>
      <c r="G131" s="50"/>
      <c r="H131" s="61"/>
      <c r="I131" s="61"/>
      <c r="J131" s="61"/>
      <c r="K131" s="61"/>
      <c r="L131" s="61"/>
      <c r="M131" s="44"/>
      <c r="N131" s="44"/>
      <c r="O131" s="44"/>
      <c r="P131" s="44"/>
      <c r="Q131" s="64"/>
      <c r="R131" s="64"/>
      <c r="V131" s="207"/>
      <c r="AF131" s="207"/>
      <c r="AP131" s="207"/>
      <c r="AZ131" s="207"/>
    </row>
    <row r="132" spans="3:52" s="49" customFormat="1" ht="15.75" x14ac:dyDescent="0.25">
      <c r="C132" s="48"/>
      <c r="D132" s="60"/>
      <c r="E132" s="60"/>
      <c r="F132" s="60"/>
      <c r="G132" s="50"/>
      <c r="H132" s="61"/>
      <c r="I132" s="61"/>
      <c r="J132" s="61"/>
      <c r="K132" s="61"/>
      <c r="L132" s="61"/>
      <c r="M132" s="44"/>
      <c r="N132" s="44"/>
      <c r="O132" s="44"/>
      <c r="P132" s="44"/>
      <c r="Q132" s="64"/>
      <c r="R132" s="64"/>
      <c r="V132" s="207"/>
      <c r="AF132" s="207"/>
      <c r="AP132" s="207"/>
      <c r="AZ132" s="207"/>
    </row>
    <row r="133" spans="3:52" s="49" customFormat="1" ht="15.75" x14ac:dyDescent="0.25">
      <c r="C133" s="48"/>
      <c r="D133" s="60"/>
      <c r="E133" s="60"/>
      <c r="F133" s="60"/>
      <c r="G133" s="50"/>
      <c r="H133" s="61"/>
      <c r="I133" s="61"/>
      <c r="J133" s="61"/>
      <c r="K133" s="61"/>
      <c r="L133" s="61"/>
      <c r="M133" s="44"/>
      <c r="N133" s="44"/>
      <c r="O133" s="44"/>
      <c r="P133" s="44"/>
      <c r="Q133" s="64"/>
      <c r="R133" s="64"/>
      <c r="V133" s="207"/>
      <c r="AF133" s="207"/>
      <c r="AP133" s="207"/>
      <c r="AZ133" s="207"/>
    </row>
    <row r="134" spans="3:52" s="49" customFormat="1" ht="15.75" x14ac:dyDescent="0.25">
      <c r="C134" s="48"/>
      <c r="D134" s="60"/>
      <c r="E134" s="60"/>
      <c r="F134" s="60"/>
      <c r="G134" s="50"/>
      <c r="H134" s="61"/>
      <c r="I134" s="61"/>
      <c r="J134" s="61"/>
      <c r="K134" s="61"/>
      <c r="L134" s="61"/>
      <c r="M134" s="44"/>
      <c r="N134" s="44"/>
      <c r="O134" s="44"/>
      <c r="P134" s="44"/>
      <c r="Q134" s="64"/>
      <c r="R134" s="64"/>
      <c r="V134" s="207"/>
      <c r="AF134" s="207"/>
      <c r="AP134" s="207"/>
      <c r="AZ134" s="207"/>
    </row>
    <row r="135" spans="3:52" s="49" customFormat="1" ht="15.75" x14ac:dyDescent="0.25">
      <c r="C135" s="48"/>
      <c r="D135" s="60"/>
      <c r="E135" s="60"/>
      <c r="F135" s="60"/>
      <c r="G135" s="50"/>
      <c r="H135" s="61"/>
      <c r="I135" s="61"/>
      <c r="J135" s="61"/>
      <c r="K135" s="61"/>
      <c r="L135" s="61"/>
      <c r="M135" s="44"/>
      <c r="N135" s="44"/>
      <c r="O135" s="44"/>
      <c r="P135" s="44"/>
      <c r="Q135" s="64"/>
      <c r="R135" s="64"/>
      <c r="V135" s="207"/>
      <c r="AF135" s="207"/>
      <c r="AP135" s="207"/>
      <c r="AZ135" s="207"/>
    </row>
    <row r="136" spans="3:52" s="49" customFormat="1" ht="15.75" x14ac:dyDescent="0.25">
      <c r="C136" s="48"/>
      <c r="D136" s="60"/>
      <c r="E136" s="60"/>
      <c r="F136" s="60"/>
      <c r="G136" s="50"/>
      <c r="H136" s="61"/>
      <c r="I136" s="61"/>
      <c r="J136" s="61"/>
      <c r="K136" s="61"/>
      <c r="L136" s="61"/>
      <c r="M136" s="44"/>
      <c r="N136" s="44"/>
      <c r="O136" s="44"/>
      <c r="P136" s="44"/>
      <c r="Q136" s="64"/>
      <c r="R136" s="64"/>
      <c r="V136" s="207"/>
      <c r="AF136" s="207"/>
      <c r="AP136" s="207"/>
      <c r="AZ136" s="207"/>
    </row>
    <row r="137" spans="3:52" s="49" customFormat="1" ht="15.75" x14ac:dyDescent="0.25">
      <c r="C137" s="48"/>
      <c r="D137" s="60"/>
      <c r="E137" s="60"/>
      <c r="F137" s="60"/>
      <c r="G137" s="50"/>
      <c r="H137" s="61"/>
      <c r="I137" s="61"/>
      <c r="J137" s="61"/>
      <c r="K137" s="61"/>
      <c r="L137" s="61"/>
      <c r="M137" s="44"/>
      <c r="N137" s="44"/>
      <c r="O137" s="44"/>
      <c r="P137" s="44"/>
      <c r="Q137" s="64"/>
      <c r="R137" s="64"/>
      <c r="V137" s="207"/>
      <c r="AF137" s="207"/>
      <c r="AP137" s="207"/>
      <c r="AZ137" s="207"/>
    </row>
    <row r="138" spans="3:52" s="49" customFormat="1" ht="15.75" x14ac:dyDescent="0.25">
      <c r="C138" s="48"/>
      <c r="D138" s="60"/>
      <c r="E138" s="60"/>
      <c r="F138" s="60"/>
      <c r="G138" s="50"/>
      <c r="H138" s="61"/>
      <c r="I138" s="61"/>
      <c r="J138" s="61"/>
      <c r="K138" s="61"/>
      <c r="L138" s="61"/>
      <c r="M138" s="44"/>
      <c r="N138" s="44"/>
      <c r="O138" s="44"/>
      <c r="P138" s="44"/>
      <c r="Q138" s="64"/>
      <c r="R138" s="64"/>
      <c r="V138" s="207"/>
      <c r="AF138" s="207"/>
      <c r="AP138" s="207"/>
      <c r="AZ138" s="207"/>
    </row>
    <row r="139" spans="3:52" s="49" customFormat="1" ht="15.75" x14ac:dyDescent="0.25">
      <c r="C139" s="48"/>
      <c r="D139" s="60"/>
      <c r="E139" s="60"/>
      <c r="F139" s="60"/>
      <c r="G139" s="50"/>
      <c r="H139" s="61"/>
      <c r="I139" s="61"/>
      <c r="J139" s="61"/>
      <c r="K139" s="61"/>
      <c r="L139" s="61"/>
      <c r="M139" s="44"/>
      <c r="N139" s="44"/>
      <c r="O139" s="44"/>
      <c r="P139" s="44"/>
      <c r="Q139" s="64"/>
      <c r="R139" s="64"/>
      <c r="V139" s="207"/>
      <c r="AF139" s="207"/>
      <c r="AP139" s="207"/>
      <c r="AZ139" s="207"/>
    </row>
    <row r="140" spans="3:52" s="49" customFormat="1" ht="15.75" x14ac:dyDescent="0.25">
      <c r="C140" s="48"/>
      <c r="D140" s="60"/>
      <c r="E140" s="60"/>
      <c r="F140" s="60"/>
      <c r="G140" s="50"/>
      <c r="H140" s="61"/>
      <c r="I140" s="61"/>
      <c r="J140" s="61"/>
      <c r="K140" s="61"/>
      <c r="L140" s="61"/>
      <c r="M140" s="44"/>
      <c r="N140" s="44"/>
      <c r="O140" s="44"/>
      <c r="P140" s="44"/>
      <c r="Q140" s="64"/>
      <c r="R140" s="64"/>
      <c r="V140" s="207"/>
      <c r="AF140" s="207"/>
      <c r="AP140" s="207"/>
      <c r="AZ140" s="207"/>
    </row>
    <row r="141" spans="3:52" s="49" customFormat="1" ht="15.75" x14ac:dyDescent="0.25">
      <c r="C141" s="48"/>
      <c r="D141" s="60"/>
      <c r="E141" s="60"/>
      <c r="F141" s="60"/>
      <c r="G141" s="50"/>
      <c r="H141" s="61"/>
      <c r="I141" s="61"/>
      <c r="J141" s="61"/>
      <c r="K141" s="61"/>
      <c r="L141" s="61"/>
      <c r="M141" s="44"/>
      <c r="N141" s="44"/>
      <c r="O141" s="44"/>
      <c r="P141" s="44"/>
      <c r="Q141" s="64"/>
      <c r="R141" s="64"/>
      <c r="V141" s="207"/>
      <c r="AF141" s="207"/>
      <c r="AP141" s="207"/>
      <c r="AZ141" s="207"/>
    </row>
    <row r="142" spans="3:52" s="49" customFormat="1" ht="15.75" x14ac:dyDescent="0.25">
      <c r="C142" s="48"/>
      <c r="D142" s="60"/>
      <c r="E142" s="60"/>
      <c r="F142" s="60"/>
      <c r="G142" s="50"/>
      <c r="H142" s="61"/>
      <c r="I142" s="61"/>
      <c r="J142" s="61"/>
      <c r="K142" s="61"/>
      <c r="L142" s="61"/>
      <c r="M142" s="44"/>
      <c r="N142" s="44"/>
      <c r="O142" s="44"/>
      <c r="P142" s="44"/>
      <c r="Q142" s="64"/>
      <c r="R142" s="64"/>
      <c r="V142" s="207"/>
      <c r="AF142" s="207"/>
      <c r="AP142" s="207"/>
      <c r="AZ142" s="207"/>
    </row>
    <row r="143" spans="3:52" s="49" customFormat="1" ht="15.75" x14ac:dyDescent="0.25">
      <c r="C143" s="48"/>
      <c r="D143" s="60"/>
      <c r="E143" s="60"/>
      <c r="F143" s="60"/>
      <c r="G143" s="50"/>
      <c r="H143" s="61"/>
      <c r="I143" s="61"/>
      <c r="J143" s="61"/>
      <c r="K143" s="61"/>
      <c r="L143" s="61"/>
      <c r="M143" s="44"/>
      <c r="N143" s="44"/>
      <c r="O143" s="44"/>
      <c r="P143" s="44"/>
      <c r="Q143" s="64"/>
      <c r="R143" s="64"/>
      <c r="V143" s="207"/>
      <c r="AF143" s="207"/>
      <c r="AP143" s="207"/>
      <c r="AZ143" s="207"/>
    </row>
    <row r="144" spans="3:52" s="49" customFormat="1" ht="15.75" x14ac:dyDescent="0.25">
      <c r="C144" s="48"/>
      <c r="D144" s="60"/>
      <c r="E144" s="60"/>
      <c r="F144" s="60"/>
      <c r="G144" s="50"/>
      <c r="H144" s="61"/>
      <c r="I144" s="61"/>
      <c r="J144" s="61"/>
      <c r="K144" s="61"/>
      <c r="L144" s="61"/>
      <c r="M144" s="44"/>
      <c r="N144" s="44"/>
      <c r="O144" s="44"/>
      <c r="P144" s="44"/>
      <c r="Q144" s="64"/>
      <c r="R144" s="64"/>
      <c r="V144" s="207"/>
      <c r="AF144" s="207"/>
      <c r="AP144" s="207"/>
      <c r="AZ144" s="207"/>
    </row>
    <row r="145" spans="3:52" s="49" customFormat="1" ht="15.75" x14ac:dyDescent="0.25">
      <c r="C145" s="48"/>
      <c r="D145" s="60"/>
      <c r="E145" s="60"/>
      <c r="F145" s="60"/>
      <c r="G145" s="50"/>
      <c r="H145" s="61"/>
      <c r="I145" s="61"/>
      <c r="J145" s="61"/>
      <c r="K145" s="61"/>
      <c r="L145" s="61"/>
      <c r="M145" s="44"/>
      <c r="N145" s="44"/>
      <c r="O145" s="44"/>
      <c r="P145" s="44"/>
      <c r="Q145" s="64"/>
      <c r="R145" s="64"/>
      <c r="V145" s="207"/>
      <c r="AF145" s="207"/>
      <c r="AP145" s="207"/>
      <c r="AZ145" s="207"/>
    </row>
    <row r="146" spans="3:52" s="49" customFormat="1" ht="15.75" x14ac:dyDescent="0.25">
      <c r="C146" s="48"/>
      <c r="D146" s="60"/>
      <c r="E146" s="60"/>
      <c r="F146" s="60"/>
      <c r="G146" s="50"/>
      <c r="H146" s="61"/>
      <c r="I146" s="61"/>
      <c r="J146" s="61"/>
      <c r="K146" s="61"/>
      <c r="L146" s="61"/>
      <c r="M146" s="44"/>
      <c r="N146" s="44"/>
      <c r="O146" s="44"/>
      <c r="P146" s="44"/>
      <c r="Q146" s="64"/>
      <c r="R146" s="64"/>
      <c r="V146" s="207"/>
      <c r="AF146" s="207"/>
      <c r="AP146" s="207"/>
      <c r="AZ146" s="207"/>
    </row>
    <row r="147" spans="3:52" s="49" customFormat="1" ht="15.75" x14ac:dyDescent="0.25">
      <c r="C147" s="48"/>
      <c r="D147" s="60"/>
      <c r="E147" s="60"/>
      <c r="F147" s="60"/>
      <c r="G147" s="50"/>
      <c r="H147" s="61"/>
      <c r="I147" s="61"/>
      <c r="J147" s="61"/>
      <c r="K147" s="61"/>
      <c r="L147" s="61"/>
      <c r="M147" s="44"/>
      <c r="N147" s="44"/>
      <c r="O147" s="44"/>
      <c r="P147" s="44"/>
      <c r="Q147" s="64"/>
      <c r="R147" s="64"/>
      <c r="V147" s="207"/>
      <c r="AF147" s="207"/>
      <c r="AP147" s="207"/>
      <c r="AZ147" s="207"/>
    </row>
    <row r="148" spans="3:52" s="49" customFormat="1" ht="15.75" x14ac:dyDescent="0.25">
      <c r="C148" s="48"/>
      <c r="D148" s="60"/>
      <c r="E148" s="60"/>
      <c r="F148" s="60"/>
      <c r="G148" s="50"/>
      <c r="H148" s="61"/>
      <c r="I148" s="61"/>
      <c r="J148" s="61"/>
      <c r="K148" s="61"/>
      <c r="L148" s="61"/>
      <c r="M148" s="44"/>
      <c r="N148" s="44"/>
      <c r="O148" s="44"/>
      <c r="P148" s="44"/>
      <c r="Q148" s="64"/>
      <c r="R148" s="64"/>
      <c r="V148" s="207"/>
      <c r="AF148" s="207"/>
      <c r="AP148" s="207"/>
      <c r="AZ148" s="207"/>
    </row>
    <row r="149" spans="3:52" s="49" customFormat="1" ht="15.75" x14ac:dyDescent="0.25">
      <c r="C149" s="48"/>
      <c r="D149" s="60"/>
      <c r="E149" s="60"/>
      <c r="F149" s="60"/>
      <c r="G149" s="50"/>
      <c r="H149" s="61"/>
      <c r="I149" s="61"/>
      <c r="J149" s="61"/>
      <c r="K149" s="61"/>
      <c r="L149" s="61"/>
      <c r="M149" s="44"/>
      <c r="N149" s="44"/>
      <c r="O149" s="44"/>
      <c r="P149" s="44"/>
      <c r="Q149" s="64"/>
      <c r="R149" s="64"/>
      <c r="V149" s="207"/>
      <c r="AF149" s="207"/>
      <c r="AP149" s="207"/>
      <c r="AZ149" s="207"/>
    </row>
    <row r="150" spans="3:52" s="49" customFormat="1" ht="15.75" x14ac:dyDescent="0.25">
      <c r="C150" s="48"/>
      <c r="D150" s="60"/>
      <c r="E150" s="60"/>
      <c r="F150" s="60"/>
      <c r="G150" s="50"/>
      <c r="H150" s="61"/>
      <c r="I150" s="61"/>
      <c r="J150" s="61"/>
      <c r="K150" s="61"/>
      <c r="L150" s="61"/>
      <c r="M150" s="44"/>
      <c r="N150" s="44"/>
      <c r="O150" s="44"/>
      <c r="P150" s="44"/>
      <c r="Q150" s="64"/>
      <c r="R150" s="64"/>
      <c r="V150" s="207"/>
      <c r="AF150" s="207"/>
      <c r="AP150" s="207"/>
      <c r="AZ150" s="207"/>
    </row>
    <row r="151" spans="3:52" s="49" customFormat="1" ht="15.75" x14ac:dyDescent="0.25">
      <c r="C151" s="48"/>
      <c r="D151" s="60"/>
      <c r="E151" s="60"/>
      <c r="F151" s="60"/>
      <c r="G151" s="50"/>
      <c r="H151" s="61"/>
      <c r="I151" s="61"/>
      <c r="J151" s="61"/>
      <c r="K151" s="61"/>
      <c r="L151" s="61"/>
      <c r="M151" s="44"/>
      <c r="N151" s="44"/>
      <c r="O151" s="44"/>
      <c r="P151" s="44"/>
      <c r="Q151" s="64"/>
      <c r="R151" s="64"/>
      <c r="V151" s="207"/>
      <c r="AF151" s="207"/>
      <c r="AP151" s="207"/>
      <c r="AZ151" s="207"/>
    </row>
    <row r="152" spans="3:52" s="49" customFormat="1" ht="15.75" x14ac:dyDescent="0.25">
      <c r="C152" s="48"/>
      <c r="D152" s="60"/>
      <c r="E152" s="60"/>
      <c r="F152" s="60"/>
      <c r="G152" s="50"/>
      <c r="H152" s="61"/>
      <c r="I152" s="61"/>
      <c r="J152" s="61"/>
      <c r="K152" s="61"/>
      <c r="L152" s="61"/>
      <c r="M152" s="44"/>
      <c r="N152" s="44"/>
      <c r="O152" s="44"/>
      <c r="P152" s="44"/>
      <c r="Q152" s="64"/>
      <c r="R152" s="64"/>
      <c r="V152" s="207"/>
      <c r="AF152" s="207"/>
      <c r="AP152" s="207"/>
      <c r="AZ152" s="207"/>
    </row>
    <row r="153" spans="3:52" s="49" customFormat="1" ht="15.75" x14ac:dyDescent="0.25">
      <c r="C153" s="48"/>
      <c r="D153" s="60"/>
      <c r="E153" s="60"/>
      <c r="F153" s="60"/>
      <c r="G153" s="50"/>
      <c r="H153" s="61"/>
      <c r="I153" s="61"/>
      <c r="J153" s="61"/>
      <c r="K153" s="61"/>
      <c r="L153" s="61"/>
      <c r="M153" s="44"/>
      <c r="N153" s="44"/>
      <c r="O153" s="44"/>
      <c r="P153" s="44"/>
      <c r="Q153" s="64"/>
      <c r="R153" s="64"/>
      <c r="V153" s="207"/>
      <c r="AF153" s="207"/>
      <c r="AP153" s="207"/>
      <c r="AZ153" s="207"/>
    </row>
    <row r="154" spans="3:52" s="49" customFormat="1" ht="15.75" x14ac:dyDescent="0.25">
      <c r="C154" s="48"/>
      <c r="D154" s="60"/>
      <c r="E154" s="60"/>
      <c r="F154" s="60"/>
      <c r="G154" s="50"/>
      <c r="H154" s="61"/>
      <c r="I154" s="61"/>
      <c r="J154" s="61"/>
      <c r="K154" s="61"/>
      <c r="L154" s="61"/>
      <c r="M154" s="44"/>
      <c r="N154" s="44"/>
      <c r="O154" s="44"/>
      <c r="P154" s="44"/>
      <c r="Q154" s="64"/>
      <c r="R154" s="64"/>
      <c r="V154" s="207"/>
      <c r="AF154" s="207"/>
      <c r="AP154" s="207"/>
      <c r="AZ154" s="207"/>
    </row>
    <row r="155" spans="3:52" s="49" customFormat="1" ht="15.75" x14ac:dyDescent="0.25">
      <c r="C155" s="48"/>
      <c r="D155" s="60"/>
      <c r="E155" s="60"/>
      <c r="F155" s="60"/>
      <c r="G155" s="50"/>
      <c r="H155" s="61"/>
      <c r="I155" s="61"/>
      <c r="J155" s="61"/>
      <c r="K155" s="61"/>
      <c r="L155" s="61"/>
      <c r="M155" s="44"/>
      <c r="N155" s="44"/>
      <c r="O155" s="44"/>
      <c r="P155" s="44"/>
      <c r="Q155" s="64"/>
      <c r="R155" s="64"/>
      <c r="V155" s="207"/>
      <c r="AF155" s="207"/>
      <c r="AP155" s="207"/>
      <c r="AZ155" s="207"/>
    </row>
    <row r="156" spans="3:52" s="49" customFormat="1" ht="15.75" x14ac:dyDescent="0.25">
      <c r="C156" s="48"/>
      <c r="D156" s="60"/>
      <c r="E156" s="60"/>
      <c r="F156" s="60"/>
      <c r="G156" s="50"/>
      <c r="H156" s="61"/>
      <c r="I156" s="61"/>
      <c r="J156" s="61"/>
      <c r="K156" s="61"/>
      <c r="L156" s="61"/>
      <c r="M156" s="44"/>
      <c r="N156" s="44"/>
      <c r="O156" s="44"/>
      <c r="P156" s="44"/>
      <c r="Q156" s="64"/>
      <c r="R156" s="64"/>
      <c r="V156" s="207"/>
      <c r="AF156" s="207"/>
      <c r="AP156" s="207"/>
      <c r="AZ156" s="207"/>
    </row>
    <row r="157" spans="3:52" s="49" customFormat="1" ht="15.75" x14ac:dyDescent="0.25">
      <c r="C157" s="48"/>
      <c r="D157" s="60"/>
      <c r="E157" s="60"/>
      <c r="F157" s="60"/>
      <c r="G157" s="50"/>
      <c r="H157" s="61"/>
      <c r="I157" s="61"/>
      <c r="J157" s="61"/>
      <c r="K157" s="61"/>
      <c r="L157" s="61"/>
      <c r="M157" s="44"/>
      <c r="N157" s="44"/>
      <c r="O157" s="44"/>
      <c r="P157" s="44"/>
      <c r="Q157" s="64"/>
      <c r="R157" s="64"/>
      <c r="V157" s="207"/>
      <c r="AF157" s="207"/>
      <c r="AP157" s="207"/>
      <c r="AZ157" s="207"/>
    </row>
    <row r="158" spans="3:52" s="49" customFormat="1" ht="15.75" x14ac:dyDescent="0.25">
      <c r="C158" s="48"/>
      <c r="D158" s="60"/>
      <c r="E158" s="60"/>
      <c r="F158" s="60"/>
      <c r="G158" s="50"/>
      <c r="H158" s="61"/>
      <c r="I158" s="61"/>
      <c r="J158" s="61"/>
      <c r="K158" s="61"/>
      <c r="L158" s="61"/>
      <c r="M158" s="44"/>
      <c r="N158" s="44"/>
      <c r="O158" s="44"/>
      <c r="P158" s="44"/>
      <c r="Q158" s="64"/>
      <c r="R158" s="64"/>
      <c r="V158" s="207"/>
      <c r="AF158" s="207"/>
      <c r="AP158" s="207"/>
      <c r="AZ158" s="207"/>
    </row>
    <row r="159" spans="3:52" s="49" customFormat="1" ht="15.75" x14ac:dyDescent="0.25">
      <c r="C159" s="48"/>
      <c r="D159" s="60"/>
      <c r="E159" s="60"/>
      <c r="F159" s="60"/>
      <c r="G159" s="50"/>
      <c r="H159" s="61"/>
      <c r="I159" s="61"/>
      <c r="J159" s="61"/>
      <c r="K159" s="61"/>
      <c r="L159" s="61"/>
      <c r="M159" s="44"/>
      <c r="N159" s="44"/>
      <c r="O159" s="44"/>
      <c r="P159" s="44"/>
      <c r="Q159" s="64"/>
      <c r="R159" s="64"/>
      <c r="V159" s="207"/>
      <c r="AF159" s="207"/>
      <c r="AP159" s="207"/>
      <c r="AZ159" s="207"/>
    </row>
    <row r="160" spans="3:52" s="49" customFormat="1" ht="15.75" x14ac:dyDescent="0.25">
      <c r="C160" s="48"/>
      <c r="D160" s="60"/>
      <c r="E160" s="60"/>
      <c r="F160" s="60"/>
      <c r="G160" s="50"/>
      <c r="H160" s="61"/>
      <c r="I160" s="61"/>
      <c r="J160" s="61"/>
      <c r="K160" s="61"/>
      <c r="L160" s="61"/>
      <c r="M160" s="44"/>
      <c r="N160" s="44"/>
      <c r="O160" s="44"/>
      <c r="P160" s="44"/>
      <c r="Q160" s="64"/>
      <c r="R160" s="64"/>
      <c r="V160" s="207"/>
      <c r="AF160" s="207"/>
      <c r="AP160" s="207"/>
      <c r="AZ160" s="207"/>
    </row>
    <row r="161" spans="3:52" s="49" customFormat="1" ht="15.75" x14ac:dyDescent="0.25">
      <c r="C161" s="48"/>
      <c r="D161" s="60"/>
      <c r="E161" s="60"/>
      <c r="F161" s="60"/>
      <c r="G161" s="50"/>
      <c r="H161" s="61"/>
      <c r="I161" s="61"/>
      <c r="J161" s="61"/>
      <c r="K161" s="61"/>
      <c r="L161" s="61"/>
      <c r="M161" s="44"/>
      <c r="N161" s="44"/>
      <c r="O161" s="44"/>
      <c r="P161" s="44"/>
      <c r="Q161" s="64"/>
      <c r="R161" s="64"/>
      <c r="V161" s="207"/>
      <c r="AF161" s="207"/>
      <c r="AP161" s="207"/>
      <c r="AZ161" s="207"/>
    </row>
    <row r="162" spans="3:52" s="49" customFormat="1" ht="15.75" x14ac:dyDescent="0.25">
      <c r="C162" s="48"/>
      <c r="D162" s="60"/>
      <c r="E162" s="60"/>
      <c r="F162" s="60"/>
      <c r="G162" s="50"/>
      <c r="H162" s="61"/>
      <c r="I162" s="61"/>
      <c r="J162" s="61"/>
      <c r="K162" s="61"/>
      <c r="L162" s="61"/>
      <c r="M162" s="44"/>
      <c r="N162" s="44"/>
      <c r="O162" s="44"/>
      <c r="P162" s="44"/>
      <c r="Q162" s="64"/>
      <c r="R162" s="64"/>
      <c r="V162" s="207"/>
      <c r="AF162" s="207"/>
      <c r="AP162" s="207"/>
      <c r="AZ162" s="207"/>
    </row>
    <row r="163" spans="3:52" s="49" customFormat="1" ht="15.75" x14ac:dyDescent="0.25">
      <c r="C163" s="48"/>
      <c r="D163" s="60"/>
      <c r="E163" s="60"/>
      <c r="F163" s="60"/>
      <c r="G163" s="50"/>
      <c r="H163" s="61"/>
      <c r="I163" s="61"/>
      <c r="J163" s="61"/>
      <c r="K163" s="61"/>
      <c r="L163" s="61"/>
      <c r="M163" s="44"/>
      <c r="N163" s="44"/>
      <c r="O163" s="44"/>
      <c r="P163" s="44"/>
      <c r="Q163" s="64"/>
      <c r="R163" s="64"/>
      <c r="V163" s="207"/>
      <c r="AF163" s="207"/>
      <c r="AP163" s="207"/>
      <c r="AZ163" s="207"/>
    </row>
    <row r="164" spans="3:52" s="49" customFormat="1" ht="15.75" x14ac:dyDescent="0.25">
      <c r="C164" s="48"/>
      <c r="D164" s="60"/>
      <c r="E164" s="60"/>
      <c r="F164" s="60"/>
      <c r="G164" s="50"/>
      <c r="H164" s="61"/>
      <c r="I164" s="61"/>
      <c r="J164" s="61"/>
      <c r="K164" s="61"/>
      <c r="L164" s="61"/>
      <c r="M164" s="44"/>
      <c r="N164" s="44"/>
      <c r="O164" s="44"/>
      <c r="P164" s="44"/>
      <c r="Q164" s="64"/>
      <c r="R164" s="64"/>
      <c r="V164" s="207"/>
      <c r="AF164" s="207"/>
      <c r="AP164" s="207"/>
      <c r="AZ164" s="207"/>
    </row>
    <row r="165" spans="3:52" s="49" customFormat="1" ht="15.75" x14ac:dyDescent="0.25">
      <c r="C165" s="48"/>
      <c r="D165" s="60"/>
      <c r="E165" s="60"/>
      <c r="F165" s="60"/>
      <c r="G165" s="50"/>
      <c r="H165" s="61"/>
      <c r="I165" s="61"/>
      <c r="J165" s="61"/>
      <c r="K165" s="61"/>
      <c r="L165" s="61"/>
      <c r="M165" s="44"/>
      <c r="N165" s="44"/>
      <c r="O165" s="44"/>
      <c r="P165" s="44"/>
      <c r="Q165" s="64"/>
      <c r="R165" s="64"/>
      <c r="V165" s="207"/>
      <c r="AF165" s="207"/>
      <c r="AP165" s="207"/>
      <c r="AZ165" s="207"/>
    </row>
    <row r="166" spans="3:52" s="49" customFormat="1" ht="15.75" x14ac:dyDescent="0.25">
      <c r="C166" s="48"/>
      <c r="D166" s="60"/>
      <c r="E166" s="60"/>
      <c r="F166" s="60"/>
      <c r="G166" s="50"/>
      <c r="H166" s="61"/>
      <c r="I166" s="61"/>
      <c r="J166" s="61"/>
      <c r="K166" s="61"/>
      <c r="L166" s="61"/>
      <c r="M166" s="44"/>
      <c r="N166" s="44"/>
      <c r="O166" s="44"/>
      <c r="P166" s="44"/>
      <c r="Q166" s="64"/>
      <c r="R166" s="64"/>
      <c r="V166" s="207"/>
      <c r="AF166" s="207"/>
      <c r="AP166" s="207"/>
      <c r="AZ166" s="207"/>
    </row>
    <row r="167" spans="3:52" s="49" customFormat="1" ht="15.75" x14ac:dyDescent="0.25">
      <c r="C167" s="48"/>
      <c r="D167" s="60"/>
      <c r="E167" s="60"/>
      <c r="F167" s="60"/>
      <c r="G167" s="50"/>
      <c r="H167" s="61"/>
      <c r="I167" s="61"/>
      <c r="J167" s="61"/>
      <c r="K167" s="61"/>
      <c r="L167" s="61"/>
      <c r="M167" s="44"/>
      <c r="N167" s="44"/>
      <c r="O167" s="44"/>
      <c r="P167" s="44"/>
      <c r="Q167" s="64"/>
      <c r="R167" s="64"/>
      <c r="V167" s="207"/>
      <c r="AF167" s="207"/>
      <c r="AP167" s="207"/>
      <c r="AZ167" s="207"/>
    </row>
    <row r="168" spans="3:52" s="49" customFormat="1" ht="15.75" x14ac:dyDescent="0.25">
      <c r="C168" s="48"/>
      <c r="D168" s="60"/>
      <c r="E168" s="60"/>
      <c r="F168" s="60"/>
      <c r="G168" s="50"/>
      <c r="H168" s="61"/>
      <c r="I168" s="61"/>
      <c r="J168" s="61"/>
      <c r="K168" s="61"/>
      <c r="L168" s="61"/>
      <c r="M168" s="44"/>
      <c r="N168" s="44"/>
      <c r="O168" s="44"/>
      <c r="P168" s="44"/>
      <c r="Q168" s="64"/>
      <c r="R168" s="64"/>
      <c r="V168" s="207"/>
      <c r="AF168" s="207"/>
      <c r="AP168" s="207"/>
      <c r="AZ168" s="207"/>
    </row>
    <row r="169" spans="3:52" s="49" customFormat="1" ht="15.75" x14ac:dyDescent="0.25">
      <c r="C169" s="48"/>
      <c r="D169" s="60"/>
      <c r="E169" s="60"/>
      <c r="F169" s="60"/>
      <c r="G169" s="50"/>
      <c r="H169" s="61"/>
      <c r="I169" s="61"/>
      <c r="J169" s="61"/>
      <c r="K169" s="61"/>
      <c r="L169" s="61"/>
      <c r="M169" s="44"/>
      <c r="N169" s="44"/>
      <c r="O169" s="44"/>
      <c r="P169" s="44"/>
      <c r="Q169" s="64"/>
      <c r="R169" s="64"/>
      <c r="V169" s="207"/>
      <c r="AF169" s="207"/>
      <c r="AP169" s="207"/>
      <c r="AZ169" s="207"/>
    </row>
    <row r="170" spans="3:52" s="49" customFormat="1" ht="15.75" x14ac:dyDescent="0.25">
      <c r="C170" s="48"/>
      <c r="D170" s="60"/>
      <c r="E170" s="60"/>
      <c r="F170" s="60"/>
      <c r="G170" s="50"/>
      <c r="H170" s="61"/>
      <c r="I170" s="61"/>
      <c r="J170" s="61"/>
      <c r="K170" s="61"/>
      <c r="L170" s="61"/>
      <c r="M170" s="44"/>
      <c r="N170" s="44"/>
      <c r="O170" s="44"/>
      <c r="P170" s="44"/>
      <c r="Q170" s="64"/>
      <c r="R170" s="64"/>
      <c r="V170" s="207"/>
      <c r="AF170" s="207"/>
      <c r="AP170" s="207"/>
      <c r="AZ170" s="207"/>
    </row>
    <row r="171" spans="3:52" s="49" customFormat="1" ht="15.75" x14ac:dyDescent="0.25">
      <c r="C171" s="48"/>
      <c r="D171" s="60"/>
      <c r="E171" s="60"/>
      <c r="F171" s="60"/>
      <c r="G171" s="50"/>
      <c r="H171" s="61"/>
      <c r="I171" s="61"/>
      <c r="J171" s="61"/>
      <c r="K171" s="61"/>
      <c r="L171" s="61"/>
      <c r="M171" s="44"/>
      <c r="N171" s="44"/>
      <c r="O171" s="44"/>
      <c r="P171" s="44"/>
      <c r="Q171" s="64"/>
      <c r="R171" s="64"/>
      <c r="V171" s="207"/>
      <c r="AF171" s="207"/>
      <c r="AP171" s="207"/>
      <c r="AZ171" s="207"/>
    </row>
    <row r="172" spans="3:52" s="49" customFormat="1" ht="15.75" x14ac:dyDescent="0.25">
      <c r="C172" s="48"/>
      <c r="D172" s="60"/>
      <c r="E172" s="60"/>
      <c r="F172" s="60"/>
      <c r="G172" s="50"/>
      <c r="H172" s="61"/>
      <c r="I172" s="61"/>
      <c r="J172" s="61"/>
      <c r="K172" s="61"/>
      <c r="L172" s="61"/>
      <c r="M172" s="44"/>
      <c r="N172" s="44"/>
      <c r="O172" s="44"/>
      <c r="P172" s="44"/>
      <c r="Q172" s="64"/>
      <c r="R172" s="64"/>
      <c r="V172" s="207"/>
      <c r="AF172" s="207"/>
      <c r="AP172" s="207"/>
      <c r="AZ172" s="207"/>
    </row>
    <row r="173" spans="3:52" s="49" customFormat="1" ht="15.75" x14ac:dyDescent="0.25">
      <c r="C173" s="48"/>
      <c r="D173" s="60"/>
      <c r="E173" s="60"/>
      <c r="F173" s="60"/>
      <c r="G173" s="50"/>
      <c r="H173" s="61"/>
      <c r="I173" s="61"/>
      <c r="J173" s="61"/>
      <c r="K173" s="61"/>
      <c r="L173" s="61"/>
      <c r="M173" s="44"/>
      <c r="N173" s="44"/>
      <c r="O173" s="44"/>
      <c r="P173" s="44"/>
      <c r="Q173" s="64"/>
      <c r="R173" s="64"/>
      <c r="V173" s="207"/>
      <c r="AF173" s="207"/>
      <c r="AP173" s="207"/>
      <c r="AZ173" s="207"/>
    </row>
    <row r="174" spans="3:52" s="49" customFormat="1" ht="15.75" x14ac:dyDescent="0.25">
      <c r="C174" s="48"/>
      <c r="D174" s="60"/>
      <c r="E174" s="60"/>
      <c r="F174" s="60"/>
      <c r="G174" s="50"/>
      <c r="H174" s="61"/>
      <c r="I174" s="61"/>
      <c r="J174" s="61"/>
      <c r="K174" s="61"/>
      <c r="L174" s="61"/>
      <c r="M174" s="44"/>
      <c r="N174" s="44"/>
      <c r="O174" s="44"/>
      <c r="P174" s="44"/>
      <c r="Q174" s="64"/>
      <c r="R174" s="64"/>
      <c r="V174" s="207"/>
      <c r="AF174" s="207"/>
      <c r="AP174" s="207"/>
      <c r="AZ174" s="207"/>
    </row>
    <row r="175" spans="3:52" s="49" customFormat="1" ht="15.75" x14ac:dyDescent="0.25">
      <c r="C175" s="48"/>
      <c r="D175" s="60"/>
      <c r="E175" s="60"/>
      <c r="F175" s="60"/>
      <c r="G175" s="50"/>
      <c r="H175" s="61"/>
      <c r="I175" s="61"/>
      <c r="J175" s="61"/>
      <c r="K175" s="61"/>
      <c r="L175" s="61"/>
      <c r="M175" s="44"/>
      <c r="N175" s="44"/>
      <c r="O175" s="44"/>
      <c r="P175" s="44"/>
      <c r="Q175" s="64"/>
      <c r="R175" s="64"/>
      <c r="V175" s="207"/>
      <c r="AF175" s="207"/>
      <c r="AP175" s="207"/>
      <c r="AZ175" s="207"/>
    </row>
    <row r="176" spans="3:52" s="49" customFormat="1" ht="15.75" x14ac:dyDescent="0.25">
      <c r="C176" s="48"/>
      <c r="D176" s="60"/>
      <c r="E176" s="60"/>
      <c r="F176" s="60"/>
      <c r="G176" s="50"/>
      <c r="H176" s="61"/>
      <c r="I176" s="61"/>
      <c r="J176" s="61"/>
      <c r="K176" s="61"/>
      <c r="L176" s="61"/>
      <c r="M176" s="44"/>
      <c r="N176" s="44"/>
      <c r="O176" s="44"/>
      <c r="P176" s="44"/>
      <c r="Q176" s="64"/>
      <c r="R176" s="64"/>
      <c r="V176" s="207"/>
      <c r="AF176" s="207"/>
      <c r="AP176" s="207"/>
      <c r="AZ176" s="207"/>
    </row>
    <row r="177" spans="3:52" s="49" customFormat="1" ht="15.75" x14ac:dyDescent="0.25">
      <c r="C177" s="48"/>
      <c r="D177" s="60"/>
      <c r="E177" s="60"/>
      <c r="F177" s="60"/>
      <c r="G177" s="50"/>
      <c r="H177" s="61"/>
      <c r="I177" s="61"/>
      <c r="J177" s="61"/>
      <c r="K177" s="61"/>
      <c r="L177" s="61"/>
      <c r="M177" s="44"/>
      <c r="N177" s="44"/>
      <c r="O177" s="44"/>
      <c r="P177" s="44"/>
      <c r="Q177" s="64"/>
      <c r="R177" s="64"/>
      <c r="V177" s="207"/>
      <c r="AF177" s="207"/>
      <c r="AP177" s="207"/>
      <c r="AZ177" s="207"/>
    </row>
    <row r="178" spans="3:52" s="49" customFormat="1" ht="15.75" x14ac:dyDescent="0.25">
      <c r="C178" s="48"/>
      <c r="D178" s="60"/>
      <c r="E178" s="60"/>
      <c r="F178" s="60"/>
      <c r="G178" s="50"/>
      <c r="H178" s="61"/>
      <c r="I178" s="61"/>
      <c r="J178" s="61"/>
      <c r="K178" s="61"/>
      <c r="L178" s="61"/>
      <c r="M178" s="44"/>
      <c r="N178" s="44"/>
      <c r="O178" s="44"/>
      <c r="P178" s="44"/>
      <c r="Q178" s="64"/>
      <c r="R178" s="64"/>
      <c r="V178" s="207"/>
      <c r="AF178" s="207"/>
      <c r="AP178" s="207"/>
      <c r="AZ178" s="207"/>
    </row>
    <row r="179" spans="3:52" s="49" customFormat="1" ht="15.75" x14ac:dyDescent="0.25">
      <c r="C179" s="48"/>
      <c r="D179" s="60"/>
      <c r="E179" s="60"/>
      <c r="F179" s="60"/>
      <c r="G179" s="50"/>
      <c r="H179" s="61"/>
      <c r="I179" s="61"/>
      <c r="J179" s="61"/>
      <c r="K179" s="61"/>
      <c r="L179" s="61"/>
      <c r="M179" s="44"/>
      <c r="N179" s="44"/>
      <c r="O179" s="44"/>
      <c r="P179" s="44"/>
      <c r="Q179" s="64"/>
      <c r="R179" s="64"/>
      <c r="V179" s="207"/>
      <c r="AF179" s="207"/>
      <c r="AP179" s="207"/>
      <c r="AZ179" s="207"/>
    </row>
    <row r="180" spans="3:52" s="49" customFormat="1" ht="15.75" x14ac:dyDescent="0.25">
      <c r="C180" s="48"/>
      <c r="D180" s="60"/>
      <c r="E180" s="60"/>
      <c r="F180" s="60"/>
      <c r="G180" s="50"/>
      <c r="H180" s="61"/>
      <c r="I180" s="61"/>
      <c r="J180" s="61"/>
      <c r="K180" s="61"/>
      <c r="L180" s="61"/>
      <c r="M180" s="44"/>
      <c r="N180" s="44"/>
      <c r="O180" s="44"/>
      <c r="P180" s="44"/>
      <c r="Q180" s="64"/>
      <c r="R180" s="64"/>
      <c r="V180" s="207"/>
      <c r="AF180" s="207"/>
      <c r="AP180" s="207"/>
      <c r="AZ180" s="207"/>
    </row>
    <row r="181" spans="3:52" s="49" customFormat="1" ht="15.75" x14ac:dyDescent="0.25">
      <c r="C181" s="48"/>
      <c r="D181" s="60"/>
      <c r="E181" s="60"/>
      <c r="F181" s="60"/>
      <c r="G181" s="50"/>
      <c r="H181" s="61"/>
      <c r="I181" s="61"/>
      <c r="J181" s="61"/>
      <c r="K181" s="61"/>
      <c r="L181" s="61"/>
      <c r="M181" s="44"/>
      <c r="N181" s="44"/>
      <c r="O181" s="44"/>
      <c r="P181" s="44"/>
      <c r="Q181" s="64"/>
      <c r="R181" s="64"/>
      <c r="V181" s="207"/>
      <c r="AF181" s="207"/>
      <c r="AP181" s="207"/>
      <c r="AZ181" s="207"/>
    </row>
    <row r="182" spans="3:52" s="49" customFormat="1" ht="15.75" x14ac:dyDescent="0.25">
      <c r="C182" s="48"/>
      <c r="D182" s="60"/>
      <c r="E182" s="60"/>
      <c r="F182" s="60"/>
      <c r="G182" s="50"/>
      <c r="H182" s="61"/>
      <c r="I182" s="61"/>
      <c r="J182" s="61"/>
      <c r="K182" s="61"/>
      <c r="L182" s="61"/>
      <c r="M182" s="44"/>
      <c r="N182" s="44"/>
      <c r="O182" s="44"/>
      <c r="P182" s="44"/>
      <c r="Q182" s="64"/>
      <c r="R182" s="64"/>
      <c r="V182" s="207"/>
      <c r="AF182" s="207"/>
      <c r="AP182" s="207"/>
      <c r="AZ182" s="207"/>
    </row>
    <row r="183" spans="3:52" s="49" customFormat="1" ht="15.75" x14ac:dyDescent="0.25">
      <c r="C183" s="48"/>
      <c r="D183" s="60"/>
      <c r="E183" s="60"/>
      <c r="F183" s="60"/>
      <c r="G183" s="50"/>
      <c r="H183" s="61"/>
      <c r="I183" s="61"/>
      <c r="J183" s="61"/>
      <c r="K183" s="61"/>
      <c r="L183" s="61"/>
      <c r="M183" s="44"/>
      <c r="N183" s="44"/>
      <c r="O183" s="44"/>
      <c r="P183" s="44"/>
      <c r="Q183" s="64"/>
      <c r="R183" s="64"/>
      <c r="V183" s="207"/>
      <c r="AF183" s="207"/>
      <c r="AP183" s="207"/>
      <c r="AZ183" s="207"/>
    </row>
    <row r="184" spans="3:52" s="49" customFormat="1" ht="15.75" x14ac:dyDescent="0.25">
      <c r="C184" s="48"/>
      <c r="D184" s="60"/>
      <c r="E184" s="60"/>
      <c r="F184" s="60"/>
      <c r="G184" s="50"/>
      <c r="H184" s="61"/>
      <c r="I184" s="61"/>
      <c r="J184" s="61"/>
      <c r="K184" s="61"/>
      <c r="L184" s="61"/>
      <c r="M184" s="44"/>
      <c r="N184" s="44"/>
      <c r="O184" s="44"/>
      <c r="P184" s="44"/>
      <c r="Q184" s="64"/>
      <c r="R184" s="64"/>
      <c r="V184" s="207"/>
      <c r="AF184" s="207"/>
      <c r="AP184" s="207"/>
      <c r="AZ184" s="207"/>
    </row>
    <row r="185" spans="3:52" s="49" customFormat="1" ht="15.75" x14ac:dyDescent="0.25">
      <c r="C185" s="48"/>
      <c r="D185" s="60"/>
      <c r="E185" s="60"/>
      <c r="F185" s="60"/>
      <c r="G185" s="50"/>
      <c r="H185" s="61"/>
      <c r="I185" s="61"/>
      <c r="J185" s="61"/>
      <c r="K185" s="61"/>
      <c r="L185" s="61"/>
      <c r="M185" s="44"/>
      <c r="N185" s="44"/>
      <c r="O185" s="44"/>
      <c r="P185" s="44"/>
      <c r="Q185" s="64"/>
      <c r="R185" s="64"/>
      <c r="V185" s="207"/>
      <c r="AF185" s="207"/>
      <c r="AP185" s="207"/>
      <c r="AZ185" s="207"/>
    </row>
    <row r="186" spans="3:52" s="49" customFormat="1" ht="15.75" x14ac:dyDescent="0.25">
      <c r="C186" s="48"/>
      <c r="D186" s="60"/>
      <c r="E186" s="60"/>
      <c r="F186" s="60"/>
      <c r="G186" s="50"/>
      <c r="H186" s="61"/>
      <c r="I186" s="61"/>
      <c r="J186" s="61"/>
      <c r="K186" s="61"/>
      <c r="L186" s="61"/>
      <c r="M186" s="44"/>
      <c r="N186" s="44"/>
      <c r="O186" s="44"/>
      <c r="P186" s="44"/>
      <c r="Q186" s="64"/>
      <c r="R186" s="64"/>
      <c r="V186" s="207"/>
      <c r="AF186" s="207"/>
      <c r="AP186" s="207"/>
      <c r="AZ186" s="207"/>
    </row>
    <row r="187" spans="3:52" s="49" customFormat="1" ht="15.75" x14ac:dyDescent="0.25">
      <c r="C187" s="48"/>
      <c r="D187" s="60"/>
      <c r="E187" s="60"/>
      <c r="F187" s="60"/>
      <c r="G187" s="50"/>
      <c r="H187" s="61"/>
      <c r="I187" s="61"/>
      <c r="J187" s="61"/>
      <c r="K187" s="61"/>
      <c r="L187" s="61"/>
      <c r="M187" s="44"/>
      <c r="N187" s="44"/>
      <c r="O187" s="44"/>
      <c r="P187" s="44"/>
      <c r="Q187" s="64"/>
      <c r="R187" s="64"/>
      <c r="V187" s="207"/>
      <c r="AF187" s="207"/>
      <c r="AP187" s="207"/>
      <c r="AZ187" s="207"/>
    </row>
    <row r="188" spans="3:52" s="49" customFormat="1" ht="15.75" x14ac:dyDescent="0.25">
      <c r="C188" s="48"/>
      <c r="D188" s="60"/>
      <c r="E188" s="60"/>
      <c r="F188" s="60"/>
      <c r="G188" s="50"/>
      <c r="H188" s="61"/>
      <c r="I188" s="61"/>
      <c r="J188" s="61"/>
      <c r="K188" s="61"/>
      <c r="L188" s="61"/>
      <c r="M188" s="44"/>
      <c r="N188" s="44"/>
      <c r="O188" s="44"/>
      <c r="P188" s="44"/>
      <c r="Q188" s="64"/>
      <c r="R188" s="64"/>
      <c r="V188" s="207"/>
      <c r="AF188" s="207"/>
      <c r="AP188" s="207"/>
      <c r="AZ188" s="207"/>
    </row>
    <row r="189" spans="3:52" s="49" customFormat="1" ht="15.75" x14ac:dyDescent="0.25">
      <c r="C189" s="48"/>
      <c r="D189" s="60"/>
      <c r="E189" s="60"/>
      <c r="F189" s="60"/>
      <c r="G189" s="50"/>
      <c r="H189" s="61"/>
      <c r="I189" s="61"/>
      <c r="J189" s="61"/>
      <c r="K189" s="61"/>
      <c r="L189" s="61"/>
      <c r="M189" s="44"/>
      <c r="N189" s="44"/>
      <c r="O189" s="44"/>
      <c r="P189" s="44"/>
      <c r="Q189" s="64"/>
      <c r="R189" s="64"/>
      <c r="V189" s="207"/>
      <c r="AF189" s="207"/>
      <c r="AP189" s="207"/>
      <c r="AZ189" s="207"/>
    </row>
    <row r="190" spans="3:52" s="49" customFormat="1" ht="15.75" x14ac:dyDescent="0.25">
      <c r="C190" s="48"/>
      <c r="D190" s="60"/>
      <c r="E190" s="60"/>
      <c r="F190" s="60"/>
      <c r="G190" s="50"/>
      <c r="H190" s="61"/>
      <c r="I190" s="61"/>
      <c r="J190" s="61"/>
      <c r="K190" s="61"/>
      <c r="L190" s="61"/>
      <c r="M190" s="44"/>
      <c r="N190" s="44"/>
      <c r="O190" s="44"/>
      <c r="P190" s="44"/>
      <c r="Q190" s="64"/>
      <c r="R190" s="64"/>
      <c r="V190" s="207"/>
      <c r="AF190" s="207"/>
      <c r="AP190" s="207"/>
      <c r="AZ190" s="207"/>
    </row>
    <row r="191" spans="3:52" s="49" customFormat="1" ht="15.75" x14ac:dyDescent="0.25">
      <c r="C191" s="48"/>
      <c r="D191" s="60"/>
      <c r="E191" s="60"/>
      <c r="F191" s="60"/>
      <c r="G191" s="50"/>
      <c r="H191" s="61"/>
      <c r="I191" s="61"/>
      <c r="J191" s="61"/>
      <c r="K191" s="61"/>
      <c r="L191" s="61"/>
      <c r="M191" s="44"/>
      <c r="N191" s="44"/>
      <c r="O191" s="44"/>
      <c r="P191" s="44"/>
      <c r="Q191" s="64"/>
      <c r="R191" s="64"/>
      <c r="V191" s="207"/>
      <c r="AF191" s="207"/>
      <c r="AP191" s="207"/>
      <c r="AZ191" s="207"/>
    </row>
    <row r="192" spans="3:52" s="49" customFormat="1" ht="15.75" x14ac:dyDescent="0.25">
      <c r="C192" s="48"/>
      <c r="D192" s="60"/>
      <c r="E192" s="60"/>
      <c r="F192" s="60"/>
      <c r="G192" s="50"/>
      <c r="H192" s="61"/>
      <c r="I192" s="61"/>
      <c r="J192" s="61"/>
      <c r="K192" s="61"/>
      <c r="L192" s="61"/>
      <c r="M192" s="44"/>
      <c r="N192" s="44"/>
      <c r="O192" s="44"/>
      <c r="P192" s="44"/>
      <c r="Q192" s="64"/>
      <c r="R192" s="64"/>
      <c r="V192" s="207"/>
      <c r="AF192" s="207"/>
      <c r="AP192" s="207"/>
      <c r="AZ192" s="207"/>
    </row>
    <row r="193" spans="3:52" s="49" customFormat="1" ht="15.75" x14ac:dyDescent="0.25">
      <c r="C193" s="48"/>
      <c r="D193" s="60"/>
      <c r="E193" s="60"/>
      <c r="F193" s="60"/>
      <c r="G193" s="50"/>
      <c r="H193" s="61"/>
      <c r="I193" s="61"/>
      <c r="J193" s="61"/>
      <c r="K193" s="61"/>
      <c r="L193" s="61"/>
      <c r="M193" s="44"/>
      <c r="N193" s="44"/>
      <c r="O193" s="44"/>
      <c r="P193" s="44"/>
      <c r="Q193" s="64"/>
      <c r="R193" s="64"/>
      <c r="V193" s="207"/>
      <c r="AF193" s="207"/>
      <c r="AP193" s="207"/>
      <c r="AZ193" s="207"/>
    </row>
    <row r="194" spans="3:52" s="49" customFormat="1" ht="15.75" x14ac:dyDescent="0.25">
      <c r="C194" s="48"/>
      <c r="D194" s="60"/>
      <c r="E194" s="60"/>
      <c r="F194" s="60"/>
      <c r="G194" s="50"/>
      <c r="H194" s="61"/>
      <c r="I194" s="61"/>
      <c r="J194" s="61"/>
      <c r="K194" s="61"/>
      <c r="L194" s="61"/>
      <c r="M194" s="44"/>
      <c r="N194" s="44"/>
      <c r="O194" s="44"/>
      <c r="P194" s="44"/>
      <c r="Q194" s="64"/>
      <c r="R194" s="64"/>
      <c r="V194" s="207"/>
      <c r="AF194" s="207"/>
      <c r="AP194" s="207"/>
      <c r="AZ194" s="207"/>
    </row>
    <row r="195" spans="3:52" s="49" customFormat="1" ht="15.75" x14ac:dyDescent="0.25">
      <c r="C195" s="48"/>
      <c r="D195" s="60"/>
      <c r="E195" s="60"/>
      <c r="F195" s="60"/>
      <c r="G195" s="50"/>
      <c r="H195" s="61"/>
      <c r="I195" s="61"/>
      <c r="J195" s="61"/>
      <c r="K195" s="61"/>
      <c r="L195" s="61"/>
      <c r="M195" s="44"/>
      <c r="N195" s="44"/>
      <c r="O195" s="44"/>
      <c r="P195" s="44"/>
      <c r="Q195" s="64"/>
      <c r="R195" s="64"/>
      <c r="V195" s="207"/>
      <c r="AF195" s="207"/>
      <c r="AP195" s="207"/>
      <c r="AZ195" s="207"/>
    </row>
    <row r="196" spans="3:52" s="49" customFormat="1" ht="15.75" x14ac:dyDescent="0.25">
      <c r="C196" s="48"/>
      <c r="D196" s="60"/>
      <c r="E196" s="60"/>
      <c r="F196" s="60"/>
      <c r="G196" s="50"/>
      <c r="H196" s="61"/>
      <c r="I196" s="61"/>
      <c r="J196" s="61"/>
      <c r="K196" s="61"/>
      <c r="L196" s="61"/>
      <c r="M196" s="44"/>
      <c r="N196" s="44"/>
      <c r="O196" s="44"/>
      <c r="P196" s="44"/>
      <c r="Q196" s="64"/>
      <c r="R196" s="64"/>
      <c r="V196" s="207"/>
      <c r="AF196" s="207"/>
      <c r="AP196" s="207"/>
      <c r="AZ196" s="207"/>
    </row>
    <row r="197" spans="3:52" s="49" customFormat="1" ht="15.75" x14ac:dyDescent="0.25">
      <c r="C197" s="48"/>
      <c r="D197" s="60"/>
      <c r="E197" s="60"/>
      <c r="F197" s="60"/>
      <c r="G197" s="50"/>
      <c r="H197" s="61"/>
      <c r="I197" s="61"/>
      <c r="J197" s="61"/>
      <c r="K197" s="61"/>
      <c r="L197" s="61"/>
      <c r="M197" s="44"/>
      <c r="N197" s="44"/>
      <c r="O197" s="44"/>
      <c r="P197" s="44"/>
      <c r="Q197" s="64"/>
      <c r="R197" s="64"/>
      <c r="V197" s="207"/>
      <c r="AF197" s="207"/>
      <c r="AP197" s="207"/>
      <c r="AZ197" s="207"/>
    </row>
    <row r="198" spans="3:52" s="49" customFormat="1" ht="15.75" x14ac:dyDescent="0.25">
      <c r="C198" s="48"/>
      <c r="D198" s="60"/>
      <c r="E198" s="60"/>
      <c r="F198" s="60"/>
      <c r="G198" s="50"/>
      <c r="H198" s="61"/>
      <c r="I198" s="61"/>
      <c r="J198" s="61"/>
      <c r="K198" s="61"/>
      <c r="L198" s="61"/>
      <c r="M198" s="44"/>
      <c r="N198" s="44"/>
      <c r="O198" s="44"/>
      <c r="P198" s="44"/>
      <c r="Q198" s="64"/>
      <c r="R198" s="64"/>
      <c r="V198" s="207"/>
      <c r="AF198" s="207"/>
      <c r="AP198" s="207"/>
      <c r="AZ198" s="207"/>
    </row>
    <row r="199" spans="3:52" s="49" customFormat="1" ht="15.75" x14ac:dyDescent="0.25">
      <c r="C199" s="48"/>
      <c r="D199" s="60"/>
      <c r="E199" s="60"/>
      <c r="F199" s="60"/>
      <c r="G199" s="50"/>
      <c r="H199" s="61"/>
      <c r="I199" s="61"/>
      <c r="J199" s="61"/>
      <c r="K199" s="61"/>
      <c r="L199" s="61"/>
      <c r="M199" s="44"/>
      <c r="N199" s="44"/>
      <c r="O199" s="44"/>
      <c r="P199" s="44"/>
      <c r="Q199" s="64"/>
      <c r="R199" s="64"/>
      <c r="V199" s="207"/>
      <c r="AF199" s="207"/>
      <c r="AP199" s="207"/>
      <c r="AZ199" s="207"/>
    </row>
    <row r="200" spans="3:52" s="49" customFormat="1" ht="15.75" x14ac:dyDescent="0.25">
      <c r="C200" s="48"/>
      <c r="D200" s="60"/>
      <c r="E200" s="60"/>
      <c r="F200" s="60"/>
      <c r="G200" s="50"/>
      <c r="H200" s="61"/>
      <c r="I200" s="61"/>
      <c r="J200" s="61"/>
      <c r="K200" s="61"/>
      <c r="L200" s="61"/>
      <c r="M200" s="44"/>
      <c r="N200" s="44"/>
      <c r="O200" s="44"/>
      <c r="P200" s="44"/>
      <c r="Q200" s="64"/>
      <c r="R200" s="64"/>
      <c r="V200" s="207"/>
      <c r="AF200" s="207"/>
      <c r="AP200" s="207"/>
      <c r="AZ200" s="207"/>
    </row>
    <row r="201" spans="3:52" s="49" customFormat="1" ht="15.75" x14ac:dyDescent="0.25">
      <c r="C201" s="48"/>
      <c r="D201" s="60"/>
      <c r="E201" s="60"/>
      <c r="F201" s="60"/>
      <c r="G201" s="50"/>
      <c r="H201" s="61"/>
      <c r="I201" s="61"/>
      <c r="J201" s="61"/>
      <c r="K201" s="61"/>
      <c r="L201" s="61"/>
      <c r="M201" s="44"/>
      <c r="N201" s="44"/>
      <c r="O201" s="44"/>
      <c r="P201" s="44"/>
      <c r="Q201" s="64"/>
      <c r="R201" s="64"/>
      <c r="V201" s="207"/>
      <c r="AF201" s="207"/>
      <c r="AP201" s="207"/>
      <c r="AZ201" s="207"/>
    </row>
    <row r="202" spans="3:52" s="49" customFormat="1" ht="15.75" x14ac:dyDescent="0.25">
      <c r="C202" s="48"/>
      <c r="D202" s="60"/>
      <c r="E202" s="60"/>
      <c r="F202" s="60"/>
      <c r="G202" s="50"/>
      <c r="H202" s="61"/>
      <c r="I202" s="61"/>
      <c r="J202" s="61"/>
      <c r="K202" s="61"/>
      <c r="L202" s="61"/>
      <c r="M202" s="44"/>
      <c r="N202" s="44"/>
      <c r="O202" s="44"/>
      <c r="P202" s="44"/>
      <c r="Q202" s="64"/>
      <c r="R202" s="64"/>
      <c r="V202" s="207"/>
      <c r="AF202" s="207"/>
      <c r="AP202" s="207"/>
      <c r="AZ202" s="207"/>
    </row>
    <row r="203" spans="3:52" s="49" customFormat="1" ht="15.75" x14ac:dyDescent="0.25">
      <c r="C203" s="48"/>
      <c r="D203" s="60"/>
      <c r="E203" s="60"/>
      <c r="F203" s="60"/>
      <c r="G203" s="50"/>
      <c r="H203" s="61"/>
      <c r="I203" s="61"/>
      <c r="J203" s="61"/>
      <c r="K203" s="61"/>
      <c r="L203" s="61"/>
      <c r="M203" s="44"/>
      <c r="N203" s="44"/>
      <c r="O203" s="44"/>
      <c r="P203" s="44"/>
      <c r="Q203" s="64"/>
      <c r="R203" s="64"/>
      <c r="V203" s="207"/>
      <c r="AF203" s="207"/>
      <c r="AP203" s="207"/>
      <c r="AZ203" s="207"/>
    </row>
    <row r="204" spans="3:52" s="49" customFormat="1" ht="15.75" x14ac:dyDescent="0.25">
      <c r="C204" s="48"/>
      <c r="D204" s="60"/>
      <c r="E204" s="60"/>
      <c r="F204" s="60"/>
      <c r="G204" s="50"/>
      <c r="H204" s="61"/>
      <c r="I204" s="61"/>
      <c r="J204" s="61"/>
      <c r="K204" s="61"/>
      <c r="L204" s="61"/>
      <c r="M204" s="44"/>
      <c r="N204" s="44"/>
      <c r="O204" s="44"/>
      <c r="P204" s="44"/>
      <c r="Q204" s="64"/>
      <c r="R204" s="64"/>
      <c r="V204" s="207"/>
      <c r="AF204" s="207"/>
      <c r="AP204" s="207"/>
      <c r="AZ204" s="207"/>
    </row>
    <row r="205" spans="3:52" s="49" customFormat="1" ht="15.75" x14ac:dyDescent="0.25">
      <c r="C205" s="48"/>
      <c r="D205" s="60"/>
      <c r="E205" s="60"/>
      <c r="F205" s="60"/>
      <c r="G205" s="50"/>
      <c r="H205" s="61"/>
      <c r="I205" s="61"/>
      <c r="J205" s="61"/>
      <c r="K205" s="61"/>
      <c r="L205" s="61"/>
      <c r="M205" s="44"/>
      <c r="N205" s="44"/>
      <c r="O205" s="44"/>
      <c r="P205" s="44"/>
      <c r="Q205" s="64"/>
      <c r="R205" s="64"/>
      <c r="V205" s="207"/>
      <c r="AF205" s="207"/>
      <c r="AP205" s="207"/>
      <c r="AZ205" s="207"/>
    </row>
    <row r="206" spans="3:52" s="49" customFormat="1" ht="15.75" x14ac:dyDescent="0.25">
      <c r="C206" s="48"/>
      <c r="D206" s="60"/>
      <c r="E206" s="60"/>
      <c r="F206" s="60"/>
      <c r="G206" s="50"/>
      <c r="H206" s="61"/>
      <c r="I206" s="61"/>
      <c r="J206" s="61"/>
      <c r="K206" s="61"/>
      <c r="L206" s="61"/>
      <c r="M206" s="44"/>
      <c r="N206" s="44"/>
      <c r="O206" s="44"/>
      <c r="P206" s="44"/>
      <c r="Q206" s="64"/>
      <c r="R206" s="64"/>
      <c r="V206" s="207"/>
      <c r="AF206" s="207"/>
      <c r="AP206" s="207"/>
      <c r="AZ206" s="207"/>
    </row>
    <row r="207" spans="3:52" s="49" customFormat="1" ht="15.75" x14ac:dyDescent="0.25">
      <c r="C207" s="48"/>
      <c r="D207" s="60"/>
      <c r="E207" s="60"/>
      <c r="F207" s="60"/>
      <c r="G207" s="50"/>
      <c r="H207" s="61"/>
      <c r="I207" s="61"/>
      <c r="J207" s="61"/>
      <c r="K207" s="61"/>
      <c r="L207" s="61"/>
      <c r="M207" s="44"/>
      <c r="N207" s="44"/>
      <c r="O207" s="44"/>
      <c r="P207" s="44"/>
      <c r="Q207" s="64"/>
      <c r="R207" s="64"/>
      <c r="V207" s="207"/>
      <c r="AF207" s="207"/>
      <c r="AP207" s="207"/>
      <c r="AZ207" s="207"/>
    </row>
    <row r="208" spans="3:52" s="49" customFormat="1" ht="15.75" x14ac:dyDescent="0.25">
      <c r="C208" s="48"/>
      <c r="D208" s="60"/>
      <c r="E208" s="60"/>
      <c r="F208" s="60"/>
      <c r="G208" s="50"/>
      <c r="H208" s="61"/>
      <c r="I208" s="61"/>
      <c r="J208" s="61"/>
      <c r="K208" s="61"/>
      <c r="L208" s="61"/>
      <c r="M208" s="44"/>
      <c r="N208" s="44"/>
      <c r="O208" s="44"/>
      <c r="P208" s="44"/>
      <c r="Q208" s="64"/>
      <c r="R208" s="64"/>
      <c r="V208" s="207"/>
      <c r="AF208" s="207"/>
      <c r="AP208" s="207"/>
      <c r="AZ208" s="207"/>
    </row>
    <row r="209" spans="3:52" s="49" customFormat="1" ht="15.75" x14ac:dyDescent="0.25">
      <c r="C209" s="48"/>
      <c r="D209" s="60"/>
      <c r="E209" s="60"/>
      <c r="F209" s="60"/>
      <c r="G209" s="50"/>
      <c r="H209" s="61"/>
      <c r="I209" s="61"/>
      <c r="J209" s="61"/>
      <c r="K209" s="61"/>
      <c r="L209" s="61"/>
      <c r="M209" s="44"/>
      <c r="N209" s="44"/>
      <c r="O209" s="44"/>
      <c r="P209" s="44"/>
      <c r="Q209" s="64"/>
      <c r="R209" s="64"/>
      <c r="V209" s="207"/>
      <c r="AF209" s="207"/>
      <c r="AP209" s="207"/>
      <c r="AZ209" s="207"/>
    </row>
    <row r="210" spans="3:52" s="49" customFormat="1" ht="15.75" x14ac:dyDescent="0.25">
      <c r="C210" s="48"/>
      <c r="D210" s="60"/>
      <c r="E210" s="60"/>
      <c r="F210" s="60"/>
      <c r="G210" s="50"/>
      <c r="H210" s="61"/>
      <c r="I210" s="61"/>
      <c r="J210" s="61"/>
      <c r="K210" s="61"/>
      <c r="L210" s="61"/>
      <c r="M210" s="44"/>
      <c r="N210" s="44"/>
      <c r="O210" s="44"/>
      <c r="P210" s="44"/>
      <c r="Q210" s="64"/>
      <c r="R210" s="64"/>
      <c r="V210" s="207"/>
      <c r="AF210" s="207"/>
      <c r="AP210" s="207"/>
      <c r="AZ210" s="207"/>
    </row>
    <row r="211" spans="3:52" s="49" customFormat="1" ht="15.75" x14ac:dyDescent="0.25">
      <c r="C211" s="48"/>
      <c r="D211" s="60"/>
      <c r="E211" s="60"/>
      <c r="F211" s="60"/>
      <c r="G211" s="50"/>
      <c r="H211" s="61"/>
      <c r="I211" s="61"/>
      <c r="J211" s="61"/>
      <c r="K211" s="61"/>
      <c r="L211" s="61"/>
      <c r="M211" s="44"/>
      <c r="N211" s="44"/>
      <c r="O211" s="44"/>
      <c r="P211" s="44"/>
      <c r="Q211" s="64"/>
      <c r="R211" s="64"/>
      <c r="V211" s="207"/>
      <c r="AF211" s="207"/>
      <c r="AP211" s="207"/>
      <c r="AZ211" s="207"/>
    </row>
    <row r="212" spans="3:52" s="49" customFormat="1" ht="15.75" x14ac:dyDescent="0.25">
      <c r="C212" s="48"/>
      <c r="D212" s="60"/>
      <c r="E212" s="60"/>
      <c r="F212" s="60"/>
      <c r="G212" s="50"/>
      <c r="H212" s="61"/>
      <c r="I212" s="61"/>
      <c r="J212" s="61"/>
      <c r="K212" s="61"/>
      <c r="L212" s="61"/>
      <c r="M212" s="44"/>
      <c r="N212" s="44"/>
      <c r="O212" s="44"/>
      <c r="P212" s="44"/>
      <c r="Q212" s="64"/>
      <c r="R212" s="64"/>
      <c r="V212" s="207"/>
      <c r="AF212" s="207"/>
      <c r="AP212" s="207"/>
      <c r="AZ212" s="207"/>
    </row>
    <row r="213" spans="3:52" s="49" customFormat="1" ht="15.75" x14ac:dyDescent="0.25">
      <c r="C213" s="48"/>
      <c r="D213" s="60"/>
      <c r="E213" s="60"/>
      <c r="F213" s="60"/>
      <c r="G213" s="50"/>
      <c r="H213" s="61"/>
      <c r="I213" s="61"/>
      <c r="J213" s="61"/>
      <c r="K213" s="61"/>
      <c r="L213" s="61"/>
      <c r="M213" s="44"/>
      <c r="N213" s="44"/>
      <c r="O213" s="44"/>
      <c r="P213" s="44"/>
      <c r="Q213" s="64"/>
      <c r="R213" s="64"/>
      <c r="V213" s="207"/>
      <c r="AF213" s="207"/>
      <c r="AP213" s="207"/>
      <c r="AZ213" s="207"/>
    </row>
    <row r="214" spans="3:52" s="49" customFormat="1" ht="15.75" x14ac:dyDescent="0.25">
      <c r="C214" s="48"/>
      <c r="D214" s="60"/>
      <c r="E214" s="60"/>
      <c r="F214" s="60"/>
      <c r="G214" s="50"/>
      <c r="H214" s="61"/>
      <c r="I214" s="61"/>
      <c r="J214" s="61"/>
      <c r="K214" s="61"/>
      <c r="L214" s="61"/>
      <c r="M214" s="44"/>
      <c r="N214" s="44"/>
      <c r="O214" s="44"/>
      <c r="P214" s="44"/>
      <c r="Q214" s="64"/>
      <c r="R214" s="64"/>
      <c r="V214" s="207"/>
      <c r="AF214" s="207"/>
      <c r="AP214" s="207"/>
      <c r="AZ214" s="207"/>
    </row>
    <row r="215" spans="3:52" s="49" customFormat="1" ht="15.75" x14ac:dyDescent="0.25">
      <c r="C215" s="48"/>
      <c r="D215" s="60"/>
      <c r="E215" s="60"/>
      <c r="F215" s="60"/>
      <c r="G215" s="50"/>
      <c r="H215" s="61"/>
      <c r="I215" s="61"/>
      <c r="J215" s="61"/>
      <c r="K215" s="61"/>
      <c r="L215" s="61"/>
      <c r="M215" s="44"/>
      <c r="N215" s="44"/>
      <c r="O215" s="44"/>
      <c r="P215" s="44"/>
      <c r="Q215" s="64"/>
      <c r="R215" s="64"/>
      <c r="V215" s="207"/>
      <c r="AF215" s="207"/>
      <c r="AP215" s="207"/>
      <c r="AZ215" s="207"/>
    </row>
    <row r="216" spans="3:52" s="49" customFormat="1" ht="15.75" x14ac:dyDescent="0.25">
      <c r="C216" s="48"/>
      <c r="D216" s="60"/>
      <c r="E216" s="60"/>
      <c r="F216" s="60"/>
      <c r="G216" s="50"/>
      <c r="H216" s="61"/>
      <c r="I216" s="61"/>
      <c r="J216" s="61"/>
      <c r="K216" s="61"/>
      <c r="L216" s="61"/>
      <c r="M216" s="44"/>
      <c r="N216" s="44"/>
      <c r="O216" s="44"/>
      <c r="P216" s="44"/>
      <c r="Q216" s="64"/>
      <c r="R216" s="64"/>
      <c r="V216" s="207"/>
      <c r="AF216" s="207"/>
      <c r="AP216" s="207"/>
      <c r="AZ216" s="207"/>
    </row>
    <row r="217" spans="3:52" s="49" customFormat="1" ht="15.75" x14ac:dyDescent="0.25">
      <c r="C217" s="48"/>
      <c r="D217" s="60"/>
      <c r="E217" s="60"/>
      <c r="F217" s="60"/>
      <c r="G217" s="50"/>
      <c r="H217" s="61"/>
      <c r="I217" s="61"/>
      <c r="J217" s="61"/>
      <c r="K217" s="61"/>
      <c r="L217" s="61"/>
      <c r="M217" s="44"/>
      <c r="N217" s="44"/>
      <c r="O217" s="44"/>
      <c r="P217" s="44"/>
      <c r="Q217" s="64"/>
      <c r="R217" s="64"/>
      <c r="V217" s="207"/>
      <c r="AF217" s="207"/>
      <c r="AP217" s="207"/>
      <c r="AZ217" s="207"/>
    </row>
    <row r="218" spans="3:52" s="49" customFormat="1" ht="15.75" x14ac:dyDescent="0.25">
      <c r="C218" s="48"/>
      <c r="D218" s="60"/>
      <c r="E218" s="60"/>
      <c r="F218" s="60"/>
      <c r="G218" s="50"/>
      <c r="H218" s="61"/>
      <c r="I218" s="61"/>
      <c r="J218" s="61"/>
      <c r="K218" s="61"/>
      <c r="L218" s="61"/>
      <c r="M218" s="44"/>
      <c r="N218" s="44"/>
      <c r="O218" s="44"/>
      <c r="P218" s="44"/>
      <c r="Q218" s="64"/>
      <c r="R218" s="64"/>
      <c r="V218" s="207"/>
      <c r="AF218" s="207"/>
      <c r="AP218" s="207"/>
      <c r="AZ218" s="207"/>
    </row>
    <row r="219" spans="3:52" s="49" customFormat="1" ht="15.75" x14ac:dyDescent="0.25">
      <c r="C219" s="48"/>
      <c r="D219" s="60"/>
      <c r="E219" s="60"/>
      <c r="F219" s="60"/>
      <c r="G219" s="50"/>
      <c r="H219" s="61"/>
      <c r="I219" s="61"/>
      <c r="J219" s="61"/>
      <c r="K219" s="61"/>
      <c r="L219" s="61"/>
      <c r="M219" s="44"/>
      <c r="N219" s="44"/>
      <c r="O219" s="44"/>
      <c r="P219" s="44"/>
      <c r="Q219" s="64"/>
      <c r="R219" s="64"/>
      <c r="V219" s="207"/>
      <c r="AF219" s="207"/>
      <c r="AP219" s="207"/>
      <c r="AZ219" s="207"/>
    </row>
    <row r="220" spans="3:52" s="49" customFormat="1" ht="15.75" x14ac:dyDescent="0.25">
      <c r="C220" s="48"/>
      <c r="D220" s="60"/>
      <c r="E220" s="60"/>
      <c r="F220" s="60"/>
      <c r="G220" s="50"/>
      <c r="H220" s="61"/>
      <c r="I220" s="61"/>
      <c r="J220" s="61"/>
      <c r="K220" s="61"/>
      <c r="L220" s="61"/>
      <c r="M220" s="44"/>
      <c r="N220" s="44"/>
      <c r="O220" s="44"/>
      <c r="P220" s="44"/>
      <c r="Q220" s="64"/>
      <c r="R220" s="64"/>
      <c r="V220" s="207"/>
      <c r="AF220" s="207"/>
      <c r="AP220" s="207"/>
      <c r="AZ220" s="207"/>
    </row>
    <row r="221" spans="3:52" s="49" customFormat="1" ht="15.75" x14ac:dyDescent="0.25">
      <c r="C221" s="48"/>
      <c r="D221" s="60"/>
      <c r="E221" s="60"/>
      <c r="F221" s="60"/>
      <c r="G221" s="50"/>
      <c r="H221" s="61"/>
      <c r="I221" s="61"/>
      <c r="J221" s="61"/>
      <c r="K221" s="61"/>
      <c r="L221" s="61"/>
      <c r="M221" s="44"/>
      <c r="N221" s="44"/>
      <c r="O221" s="44"/>
      <c r="P221" s="44"/>
      <c r="Q221" s="64"/>
      <c r="R221" s="64"/>
      <c r="V221" s="207"/>
      <c r="AF221" s="207"/>
      <c r="AP221" s="207"/>
      <c r="AZ221" s="207"/>
    </row>
    <row r="222" spans="3:52" s="49" customFormat="1" ht="15.75" x14ac:dyDescent="0.25">
      <c r="C222" s="48"/>
      <c r="D222" s="60"/>
      <c r="E222" s="60"/>
      <c r="F222" s="60"/>
      <c r="G222" s="50"/>
      <c r="H222" s="61"/>
      <c r="I222" s="61"/>
      <c r="J222" s="61"/>
      <c r="K222" s="61"/>
      <c r="L222" s="61"/>
      <c r="M222" s="44"/>
      <c r="N222" s="44"/>
      <c r="O222" s="44"/>
      <c r="P222" s="44"/>
      <c r="Q222" s="64"/>
      <c r="R222" s="64"/>
      <c r="V222" s="207"/>
      <c r="AF222" s="207"/>
      <c r="AP222" s="207"/>
      <c r="AZ222" s="207"/>
    </row>
    <row r="223" spans="3:52" s="49" customFormat="1" ht="15.75" x14ac:dyDescent="0.25">
      <c r="C223" s="48"/>
      <c r="D223" s="60"/>
      <c r="E223" s="60"/>
      <c r="F223" s="60"/>
      <c r="G223" s="50"/>
      <c r="H223" s="61"/>
      <c r="I223" s="61"/>
      <c r="J223" s="61"/>
      <c r="K223" s="61"/>
      <c r="L223" s="61"/>
      <c r="M223" s="44"/>
      <c r="N223" s="44"/>
      <c r="O223" s="44"/>
      <c r="P223" s="44"/>
      <c r="Q223" s="64"/>
      <c r="R223" s="64"/>
      <c r="V223" s="207"/>
      <c r="AF223" s="207"/>
      <c r="AP223" s="207"/>
      <c r="AZ223" s="207"/>
    </row>
    <row r="224" spans="3:52" s="49" customFormat="1" ht="15.75" x14ac:dyDescent="0.25">
      <c r="C224" s="48"/>
      <c r="D224" s="60"/>
      <c r="E224" s="60"/>
      <c r="F224" s="60"/>
      <c r="G224" s="50"/>
      <c r="H224" s="61"/>
      <c r="I224" s="61"/>
      <c r="J224" s="61"/>
      <c r="K224" s="61"/>
      <c r="L224" s="61"/>
      <c r="M224" s="44"/>
      <c r="N224" s="44"/>
      <c r="O224" s="44"/>
      <c r="P224" s="44"/>
      <c r="Q224" s="64"/>
      <c r="R224" s="64"/>
      <c r="V224" s="207"/>
      <c r="AF224" s="207"/>
      <c r="AP224" s="207"/>
      <c r="AZ224" s="207"/>
    </row>
    <row r="225" spans="3:52" s="49" customFormat="1" ht="15.75" x14ac:dyDescent="0.25">
      <c r="C225" s="48"/>
      <c r="D225" s="60"/>
      <c r="E225" s="60"/>
      <c r="F225" s="60"/>
      <c r="G225" s="50"/>
      <c r="H225" s="61"/>
      <c r="I225" s="61"/>
      <c r="J225" s="61"/>
      <c r="K225" s="61"/>
      <c r="L225" s="61"/>
      <c r="M225" s="44"/>
      <c r="N225" s="44"/>
      <c r="O225" s="44"/>
      <c r="P225" s="44"/>
      <c r="Q225" s="64"/>
      <c r="R225" s="64"/>
      <c r="V225" s="207"/>
      <c r="AF225" s="207"/>
      <c r="AP225" s="207"/>
      <c r="AZ225" s="207"/>
    </row>
    <row r="226" spans="3:52" s="49" customFormat="1" ht="15.75" x14ac:dyDescent="0.25">
      <c r="C226" s="48"/>
      <c r="D226" s="60"/>
      <c r="E226" s="60"/>
      <c r="F226" s="60"/>
      <c r="G226" s="50"/>
      <c r="H226" s="61"/>
      <c r="I226" s="61"/>
      <c r="J226" s="61"/>
      <c r="K226" s="61"/>
      <c r="L226" s="61"/>
      <c r="M226" s="44"/>
      <c r="N226" s="44"/>
      <c r="O226" s="44"/>
      <c r="P226" s="44"/>
      <c r="Q226" s="64"/>
      <c r="R226" s="64"/>
      <c r="V226" s="207"/>
      <c r="AF226" s="207"/>
      <c r="AP226" s="207"/>
      <c r="AZ226" s="207"/>
    </row>
    <row r="227" spans="3:52" s="49" customFormat="1" ht="15.75" x14ac:dyDescent="0.25">
      <c r="C227" s="48"/>
      <c r="D227" s="60"/>
      <c r="E227" s="60"/>
      <c r="F227" s="60"/>
      <c r="G227" s="50"/>
      <c r="H227" s="61"/>
      <c r="I227" s="61"/>
      <c r="J227" s="61"/>
      <c r="K227" s="61"/>
      <c r="L227" s="61"/>
      <c r="M227" s="44"/>
      <c r="N227" s="44"/>
      <c r="O227" s="44"/>
      <c r="P227" s="44"/>
      <c r="Q227" s="64"/>
      <c r="R227" s="64"/>
      <c r="V227" s="207"/>
      <c r="AF227" s="207"/>
      <c r="AP227" s="207"/>
      <c r="AZ227" s="207"/>
    </row>
    <row r="228" spans="3:52" s="49" customFormat="1" ht="15.75" x14ac:dyDescent="0.25">
      <c r="C228" s="48"/>
      <c r="D228" s="60"/>
      <c r="E228" s="60"/>
      <c r="F228" s="60"/>
      <c r="G228" s="50"/>
      <c r="H228" s="61"/>
      <c r="I228" s="61"/>
      <c r="J228" s="61"/>
      <c r="K228" s="61"/>
      <c r="L228" s="61"/>
      <c r="M228" s="44"/>
      <c r="N228" s="44"/>
      <c r="O228" s="44"/>
      <c r="P228" s="44"/>
      <c r="Q228" s="64"/>
      <c r="R228" s="64"/>
      <c r="V228" s="207"/>
      <c r="AF228" s="207"/>
      <c r="AP228" s="207"/>
      <c r="AZ228" s="207"/>
    </row>
    <row r="229" spans="3:52" s="49" customFormat="1" ht="15.75" x14ac:dyDescent="0.25">
      <c r="C229" s="48"/>
      <c r="D229" s="60"/>
      <c r="E229" s="60"/>
      <c r="F229" s="60"/>
      <c r="G229" s="50"/>
      <c r="H229" s="61"/>
      <c r="I229" s="61"/>
      <c r="J229" s="61"/>
      <c r="K229" s="61"/>
      <c r="L229" s="61"/>
      <c r="M229" s="44"/>
      <c r="N229" s="44"/>
      <c r="O229" s="44"/>
      <c r="P229" s="44"/>
      <c r="Q229" s="64"/>
      <c r="R229" s="64"/>
      <c r="V229" s="207"/>
      <c r="AF229" s="207"/>
      <c r="AP229" s="207"/>
      <c r="AZ229" s="207"/>
    </row>
    <row r="230" spans="3:52" s="49" customFormat="1" ht="15.75" x14ac:dyDescent="0.25">
      <c r="C230" s="48"/>
      <c r="D230" s="60"/>
      <c r="E230" s="60"/>
      <c r="F230" s="60"/>
      <c r="G230" s="50"/>
      <c r="H230" s="61"/>
      <c r="I230" s="61"/>
      <c r="J230" s="61"/>
      <c r="K230" s="61"/>
      <c r="L230" s="61"/>
      <c r="M230" s="44"/>
      <c r="N230" s="44"/>
      <c r="O230" s="44"/>
      <c r="P230" s="44"/>
      <c r="Q230" s="64"/>
      <c r="R230" s="64"/>
      <c r="V230" s="207"/>
      <c r="AF230" s="207"/>
      <c r="AP230" s="207"/>
      <c r="AZ230" s="207"/>
    </row>
    <row r="231" spans="3:52" s="49" customFormat="1" ht="15.75" x14ac:dyDescent="0.25">
      <c r="C231" s="48"/>
      <c r="D231" s="60"/>
      <c r="E231" s="60"/>
      <c r="F231" s="60"/>
      <c r="G231" s="50"/>
      <c r="H231" s="61"/>
      <c r="I231" s="61"/>
      <c r="J231" s="61"/>
      <c r="K231" s="61"/>
      <c r="L231" s="61"/>
      <c r="M231" s="44"/>
      <c r="N231" s="44"/>
      <c r="O231" s="44"/>
      <c r="P231" s="44"/>
      <c r="Q231" s="64"/>
      <c r="R231" s="64"/>
      <c r="V231" s="207"/>
      <c r="AF231" s="207"/>
      <c r="AP231" s="207"/>
      <c r="AZ231" s="207"/>
    </row>
    <row r="232" spans="3:52" s="49" customFormat="1" ht="15.75" x14ac:dyDescent="0.25">
      <c r="C232" s="48"/>
      <c r="D232" s="60"/>
      <c r="E232" s="60"/>
      <c r="F232" s="60"/>
      <c r="G232" s="50"/>
      <c r="H232" s="61"/>
      <c r="I232" s="61"/>
      <c r="J232" s="61"/>
      <c r="K232" s="61"/>
      <c r="L232" s="61"/>
      <c r="M232" s="44"/>
      <c r="N232" s="44"/>
      <c r="O232" s="44"/>
      <c r="P232" s="44"/>
      <c r="Q232" s="64"/>
      <c r="R232" s="64"/>
      <c r="V232" s="207"/>
      <c r="AF232" s="207"/>
      <c r="AP232" s="207"/>
      <c r="AZ232" s="207"/>
    </row>
    <row r="233" spans="3:52" s="49" customFormat="1" ht="15.75" x14ac:dyDescent="0.25">
      <c r="C233" s="48"/>
      <c r="D233" s="60"/>
      <c r="E233" s="60"/>
      <c r="F233" s="60"/>
      <c r="G233" s="50"/>
      <c r="H233" s="61"/>
      <c r="I233" s="61"/>
      <c r="J233" s="61"/>
      <c r="K233" s="61"/>
      <c r="L233" s="61"/>
      <c r="M233" s="44"/>
      <c r="N233" s="44"/>
      <c r="O233" s="44"/>
      <c r="P233" s="44"/>
      <c r="Q233" s="64"/>
      <c r="R233" s="64"/>
      <c r="V233" s="207"/>
      <c r="AF233" s="207"/>
      <c r="AP233" s="207"/>
      <c r="AZ233" s="207"/>
    </row>
    <row r="234" spans="3:52" s="49" customFormat="1" ht="15.75" x14ac:dyDescent="0.25">
      <c r="C234" s="48"/>
      <c r="D234" s="60"/>
      <c r="E234" s="60"/>
      <c r="F234" s="60"/>
      <c r="G234" s="50"/>
      <c r="H234" s="61"/>
      <c r="I234" s="61"/>
      <c r="J234" s="61"/>
      <c r="K234" s="61"/>
      <c r="L234" s="61"/>
      <c r="M234" s="44"/>
      <c r="N234" s="44"/>
      <c r="O234" s="44"/>
      <c r="P234" s="44"/>
      <c r="Q234" s="64"/>
      <c r="R234" s="64"/>
      <c r="V234" s="207"/>
      <c r="AF234" s="207"/>
      <c r="AP234" s="207"/>
      <c r="AZ234" s="207"/>
    </row>
    <row r="235" spans="3:52" s="49" customFormat="1" ht="15.75" x14ac:dyDescent="0.25">
      <c r="C235" s="48"/>
      <c r="D235" s="60"/>
      <c r="E235" s="60"/>
      <c r="F235" s="60"/>
      <c r="G235" s="50"/>
      <c r="H235" s="61"/>
      <c r="I235" s="61"/>
      <c r="J235" s="61"/>
      <c r="K235" s="61"/>
      <c r="L235" s="61"/>
      <c r="M235" s="44"/>
      <c r="N235" s="44"/>
      <c r="O235" s="44"/>
      <c r="P235" s="44"/>
      <c r="Q235" s="64"/>
      <c r="R235" s="64"/>
      <c r="V235" s="207"/>
      <c r="AF235" s="207"/>
      <c r="AP235" s="207"/>
      <c r="AZ235" s="207"/>
    </row>
    <row r="236" spans="3:52" s="49" customFormat="1" ht="15.75" x14ac:dyDescent="0.25">
      <c r="C236" s="48"/>
      <c r="D236" s="60"/>
      <c r="E236" s="60"/>
      <c r="F236" s="60"/>
      <c r="G236" s="50"/>
      <c r="H236" s="61"/>
      <c r="I236" s="61"/>
      <c r="J236" s="61"/>
      <c r="K236" s="61"/>
      <c r="L236" s="61"/>
      <c r="M236" s="44"/>
      <c r="N236" s="44"/>
      <c r="O236" s="44"/>
      <c r="P236" s="44"/>
      <c r="Q236" s="64"/>
      <c r="R236" s="64"/>
      <c r="V236" s="207"/>
      <c r="AF236" s="207"/>
      <c r="AP236" s="207"/>
      <c r="AZ236" s="207"/>
    </row>
    <row r="237" spans="3:52" s="49" customFormat="1" ht="15.75" x14ac:dyDescent="0.25">
      <c r="C237" s="48"/>
      <c r="D237" s="60"/>
      <c r="E237" s="60"/>
      <c r="F237" s="60"/>
      <c r="G237" s="50"/>
      <c r="H237" s="61"/>
      <c r="I237" s="61"/>
      <c r="J237" s="61"/>
      <c r="K237" s="61"/>
      <c r="L237" s="61"/>
      <c r="M237" s="44"/>
      <c r="N237" s="44"/>
      <c r="O237" s="44"/>
      <c r="P237" s="44"/>
      <c r="Q237" s="64"/>
      <c r="R237" s="64"/>
      <c r="V237" s="207"/>
      <c r="AF237" s="207"/>
      <c r="AP237" s="207"/>
      <c r="AZ237" s="207"/>
    </row>
    <row r="238" spans="3:52" s="49" customFormat="1" ht="15.75" x14ac:dyDescent="0.25">
      <c r="C238" s="48"/>
      <c r="D238" s="60"/>
      <c r="E238" s="60"/>
      <c r="F238" s="60"/>
      <c r="G238" s="50"/>
      <c r="H238" s="61"/>
      <c r="I238" s="61"/>
      <c r="J238" s="61"/>
      <c r="K238" s="61"/>
      <c r="L238" s="61"/>
      <c r="M238" s="44"/>
      <c r="N238" s="44"/>
      <c r="O238" s="44"/>
      <c r="P238" s="44"/>
      <c r="Q238" s="64"/>
      <c r="R238" s="64"/>
      <c r="V238" s="207"/>
      <c r="AF238" s="207"/>
      <c r="AP238" s="207"/>
      <c r="AZ238" s="207"/>
    </row>
    <row r="239" spans="3:52" s="49" customFormat="1" ht="15.75" x14ac:dyDescent="0.25">
      <c r="C239" s="48"/>
      <c r="D239" s="60"/>
      <c r="E239" s="60"/>
      <c r="F239" s="60"/>
      <c r="G239" s="50"/>
      <c r="H239" s="61"/>
      <c r="I239" s="61"/>
      <c r="J239" s="61"/>
      <c r="K239" s="61"/>
      <c r="L239" s="61"/>
      <c r="M239" s="44"/>
      <c r="N239" s="44"/>
      <c r="O239" s="44"/>
      <c r="P239" s="44"/>
      <c r="Q239" s="64"/>
      <c r="R239" s="64"/>
      <c r="V239" s="207"/>
      <c r="AF239" s="207"/>
      <c r="AP239" s="207"/>
      <c r="AZ239" s="207"/>
    </row>
    <row r="240" spans="3:52" s="49" customFormat="1" ht="15.75" x14ac:dyDescent="0.25">
      <c r="C240" s="48"/>
      <c r="D240" s="60"/>
      <c r="E240" s="60"/>
      <c r="F240" s="60"/>
      <c r="G240" s="50"/>
      <c r="H240" s="61"/>
      <c r="I240" s="61"/>
      <c r="J240" s="61"/>
      <c r="K240" s="61"/>
      <c r="L240" s="61"/>
      <c r="M240" s="44"/>
      <c r="N240" s="44"/>
      <c r="O240" s="44"/>
      <c r="P240" s="44"/>
      <c r="Q240" s="64"/>
      <c r="R240" s="64"/>
      <c r="V240" s="207"/>
      <c r="AF240" s="207"/>
      <c r="AP240" s="207"/>
      <c r="AZ240" s="207"/>
    </row>
    <row r="241" spans="3:52" s="49" customFormat="1" ht="15.75" x14ac:dyDescent="0.25">
      <c r="C241" s="48"/>
      <c r="D241" s="60"/>
      <c r="E241" s="60"/>
      <c r="F241" s="60"/>
      <c r="G241" s="50"/>
      <c r="H241" s="61"/>
      <c r="I241" s="61"/>
      <c r="J241" s="61"/>
      <c r="K241" s="61"/>
      <c r="L241" s="61"/>
      <c r="M241" s="44"/>
      <c r="N241" s="44"/>
      <c r="O241" s="44"/>
      <c r="P241" s="44"/>
      <c r="Q241" s="64"/>
      <c r="R241" s="64"/>
      <c r="V241" s="207"/>
      <c r="AF241" s="207"/>
      <c r="AP241" s="207"/>
      <c r="AZ241" s="207"/>
    </row>
    <row r="242" spans="3:52" s="49" customFormat="1" ht="15.75" x14ac:dyDescent="0.25">
      <c r="C242" s="48"/>
      <c r="D242" s="60"/>
      <c r="E242" s="60"/>
      <c r="F242" s="60"/>
      <c r="G242" s="50"/>
      <c r="H242" s="61"/>
      <c r="I242" s="61"/>
      <c r="J242" s="61"/>
      <c r="K242" s="61"/>
      <c r="L242" s="61"/>
      <c r="M242" s="44"/>
      <c r="N242" s="44"/>
      <c r="O242" s="44"/>
      <c r="P242" s="44"/>
      <c r="Q242" s="64"/>
      <c r="R242" s="64"/>
      <c r="V242" s="207"/>
      <c r="AF242" s="207"/>
      <c r="AP242" s="207"/>
      <c r="AZ242" s="207"/>
    </row>
    <row r="243" spans="3:52" s="49" customFormat="1" ht="15.75" x14ac:dyDescent="0.25">
      <c r="C243" s="48"/>
      <c r="D243" s="60"/>
      <c r="E243" s="60"/>
      <c r="F243" s="60"/>
      <c r="G243" s="50"/>
      <c r="H243" s="61"/>
      <c r="I243" s="61"/>
      <c r="J243" s="61"/>
      <c r="K243" s="61"/>
      <c r="L243" s="61"/>
      <c r="M243" s="44"/>
      <c r="N243" s="44"/>
      <c r="O243" s="44"/>
      <c r="P243" s="44"/>
      <c r="Q243" s="64"/>
      <c r="R243" s="64"/>
      <c r="V243" s="207"/>
      <c r="AF243" s="207"/>
      <c r="AP243" s="207"/>
      <c r="AZ243" s="207"/>
    </row>
    <row r="244" spans="3:52" s="49" customFormat="1" ht="15.75" x14ac:dyDescent="0.25">
      <c r="C244" s="48"/>
      <c r="D244" s="60"/>
      <c r="E244" s="60"/>
      <c r="F244" s="60"/>
      <c r="G244" s="50"/>
      <c r="H244" s="61"/>
      <c r="I244" s="61"/>
      <c r="J244" s="61"/>
      <c r="K244" s="61"/>
      <c r="L244" s="61"/>
      <c r="M244" s="44"/>
      <c r="N244" s="44"/>
      <c r="O244" s="44"/>
      <c r="P244" s="44"/>
      <c r="Q244" s="64"/>
      <c r="R244" s="64"/>
      <c r="V244" s="207"/>
      <c r="AF244" s="207"/>
      <c r="AP244" s="207"/>
      <c r="AZ244" s="207"/>
    </row>
    <row r="245" spans="3:52" s="49" customFormat="1" ht="15.75" x14ac:dyDescent="0.25">
      <c r="C245" s="48"/>
      <c r="D245" s="60"/>
      <c r="E245" s="60"/>
      <c r="F245" s="60"/>
      <c r="G245" s="50"/>
      <c r="H245" s="61"/>
      <c r="I245" s="61"/>
      <c r="J245" s="61"/>
      <c r="K245" s="61"/>
      <c r="L245" s="61"/>
      <c r="M245" s="44"/>
      <c r="N245" s="44"/>
      <c r="O245" s="44"/>
      <c r="P245" s="44"/>
      <c r="Q245" s="64"/>
      <c r="R245" s="64"/>
      <c r="V245" s="207"/>
      <c r="AF245" s="207"/>
      <c r="AP245" s="207"/>
      <c r="AZ245" s="207"/>
    </row>
    <row r="246" spans="3:52" s="49" customFormat="1" ht="15.75" x14ac:dyDescent="0.25">
      <c r="C246" s="48"/>
      <c r="D246" s="60"/>
      <c r="E246" s="60"/>
      <c r="F246" s="60"/>
      <c r="G246" s="50"/>
      <c r="H246" s="61"/>
      <c r="I246" s="61"/>
      <c r="J246" s="61"/>
      <c r="K246" s="61"/>
      <c r="L246" s="61"/>
      <c r="M246" s="44"/>
      <c r="N246" s="44"/>
      <c r="O246" s="44"/>
      <c r="P246" s="44"/>
      <c r="Q246" s="64"/>
      <c r="R246" s="64"/>
      <c r="V246" s="207"/>
      <c r="AF246" s="207"/>
      <c r="AP246" s="207"/>
      <c r="AZ246" s="207"/>
    </row>
    <row r="247" spans="3:52" s="49" customFormat="1" ht="15.75" x14ac:dyDescent="0.25">
      <c r="C247" s="48"/>
      <c r="D247" s="60"/>
      <c r="E247" s="60"/>
      <c r="F247" s="60"/>
      <c r="G247" s="50"/>
      <c r="H247" s="61"/>
      <c r="I247" s="61"/>
      <c r="J247" s="61"/>
      <c r="K247" s="61"/>
      <c r="L247" s="61"/>
      <c r="M247" s="44"/>
      <c r="N247" s="44"/>
      <c r="O247" s="44"/>
      <c r="P247" s="44"/>
      <c r="Q247" s="64"/>
      <c r="R247" s="64"/>
      <c r="V247" s="207"/>
      <c r="AF247" s="207"/>
      <c r="AP247" s="207"/>
      <c r="AZ247" s="207"/>
    </row>
    <row r="248" spans="3:52" s="49" customFormat="1" ht="15.75" x14ac:dyDescent="0.25">
      <c r="C248" s="48"/>
      <c r="D248" s="60"/>
      <c r="E248" s="60"/>
      <c r="F248" s="60"/>
      <c r="G248" s="50"/>
      <c r="H248" s="61"/>
      <c r="I248" s="61"/>
      <c r="J248" s="61"/>
      <c r="K248" s="61"/>
      <c r="L248" s="61"/>
      <c r="M248" s="44"/>
      <c r="N248" s="44"/>
      <c r="O248" s="44"/>
      <c r="P248" s="44"/>
      <c r="Q248" s="64"/>
      <c r="R248" s="64"/>
      <c r="V248" s="207"/>
      <c r="AF248" s="207"/>
      <c r="AP248" s="207"/>
      <c r="AZ248" s="207"/>
    </row>
    <row r="249" spans="3:52" s="49" customFormat="1" ht="15.75" x14ac:dyDescent="0.25">
      <c r="C249" s="48"/>
      <c r="D249" s="60"/>
      <c r="E249" s="60"/>
      <c r="F249" s="60"/>
      <c r="G249" s="50"/>
      <c r="H249" s="61"/>
      <c r="I249" s="61"/>
      <c r="J249" s="61"/>
      <c r="K249" s="61"/>
      <c r="L249" s="61"/>
      <c r="M249" s="44"/>
      <c r="N249" s="44"/>
      <c r="O249" s="44"/>
      <c r="P249" s="44"/>
      <c r="Q249" s="64"/>
      <c r="R249" s="64"/>
      <c r="V249" s="207"/>
      <c r="AF249" s="207"/>
      <c r="AP249" s="207"/>
      <c r="AZ249" s="207"/>
    </row>
    <row r="250" spans="3:52" s="49" customFormat="1" ht="15.75" x14ac:dyDescent="0.25">
      <c r="C250" s="48"/>
      <c r="D250" s="60"/>
      <c r="E250" s="60"/>
      <c r="F250" s="60"/>
      <c r="G250" s="50"/>
      <c r="H250" s="61"/>
      <c r="I250" s="61"/>
      <c r="J250" s="61"/>
      <c r="K250" s="61"/>
      <c r="L250" s="61"/>
      <c r="M250" s="44"/>
      <c r="N250" s="44"/>
      <c r="O250" s="44"/>
      <c r="P250" s="44"/>
      <c r="Q250" s="64"/>
      <c r="R250" s="64"/>
      <c r="V250" s="207"/>
      <c r="AF250" s="207"/>
      <c r="AP250" s="207"/>
      <c r="AZ250" s="207"/>
    </row>
    <row r="251" spans="3:52" s="49" customFormat="1" ht="15.75" x14ac:dyDescent="0.25">
      <c r="C251" s="48"/>
      <c r="D251" s="60"/>
      <c r="E251" s="60"/>
      <c r="F251" s="60"/>
      <c r="G251" s="50"/>
      <c r="H251" s="61"/>
      <c r="I251" s="61"/>
      <c r="J251" s="61"/>
      <c r="K251" s="61"/>
      <c r="L251" s="61"/>
      <c r="M251" s="44"/>
      <c r="N251" s="44"/>
      <c r="O251" s="44"/>
      <c r="P251" s="44"/>
      <c r="Q251" s="64"/>
      <c r="R251" s="64"/>
      <c r="V251" s="207"/>
      <c r="AF251" s="207"/>
      <c r="AP251" s="207"/>
      <c r="AZ251" s="207"/>
    </row>
    <row r="252" spans="3:52" s="49" customFormat="1" ht="15.75" x14ac:dyDescent="0.25">
      <c r="C252" s="48"/>
      <c r="D252" s="60"/>
      <c r="E252" s="60"/>
      <c r="F252" s="60"/>
      <c r="G252" s="50"/>
      <c r="H252" s="61"/>
      <c r="I252" s="61"/>
      <c r="J252" s="61"/>
      <c r="K252" s="61"/>
      <c r="L252" s="61"/>
      <c r="M252" s="44"/>
      <c r="N252" s="44"/>
      <c r="O252" s="44"/>
      <c r="P252" s="44"/>
      <c r="Q252" s="64"/>
      <c r="R252" s="64"/>
      <c r="V252" s="207"/>
      <c r="AF252" s="207"/>
      <c r="AP252" s="207"/>
      <c r="AZ252" s="207"/>
    </row>
    <row r="253" spans="3:52" s="49" customFormat="1" ht="15.75" x14ac:dyDescent="0.25">
      <c r="C253" s="48"/>
      <c r="D253" s="60"/>
      <c r="E253" s="60"/>
      <c r="F253" s="60"/>
      <c r="G253" s="50"/>
      <c r="H253" s="61"/>
      <c r="I253" s="61"/>
      <c r="J253" s="61"/>
      <c r="K253" s="61"/>
      <c r="L253" s="61"/>
      <c r="M253" s="44"/>
      <c r="N253" s="44"/>
      <c r="O253" s="44"/>
      <c r="P253" s="44"/>
      <c r="Q253" s="64"/>
      <c r="R253" s="64"/>
      <c r="V253" s="207"/>
      <c r="AF253" s="207"/>
      <c r="AP253" s="207"/>
      <c r="AZ253" s="207"/>
    </row>
    <row r="254" spans="3:52" s="49" customFormat="1" ht="15.75" x14ac:dyDescent="0.25">
      <c r="C254" s="48"/>
      <c r="D254" s="60"/>
      <c r="E254" s="60"/>
      <c r="F254" s="60"/>
      <c r="G254" s="50"/>
      <c r="H254" s="61"/>
      <c r="I254" s="61"/>
      <c r="J254" s="61"/>
      <c r="K254" s="61"/>
      <c r="L254" s="61"/>
      <c r="M254" s="44"/>
      <c r="N254" s="44"/>
      <c r="O254" s="44"/>
      <c r="P254" s="44"/>
      <c r="Q254" s="64"/>
      <c r="R254" s="64"/>
      <c r="V254" s="207"/>
      <c r="AF254" s="207"/>
      <c r="AP254" s="207"/>
      <c r="AZ254" s="207"/>
    </row>
    <row r="255" spans="3:52" s="49" customFormat="1" ht="15.75" x14ac:dyDescent="0.25">
      <c r="C255" s="48"/>
      <c r="D255" s="60"/>
      <c r="E255" s="60"/>
      <c r="F255" s="60"/>
      <c r="G255" s="50"/>
      <c r="H255" s="61"/>
      <c r="I255" s="61"/>
      <c r="J255" s="61"/>
      <c r="K255" s="61"/>
      <c r="L255" s="61"/>
      <c r="M255" s="44"/>
      <c r="N255" s="44"/>
      <c r="O255" s="44"/>
      <c r="P255" s="44"/>
      <c r="Q255" s="64"/>
      <c r="R255" s="64"/>
      <c r="V255" s="207"/>
      <c r="AF255" s="207"/>
      <c r="AP255" s="207"/>
      <c r="AZ255" s="207"/>
    </row>
    <row r="256" spans="3:52" s="49" customFormat="1" ht="15.75" x14ac:dyDescent="0.25">
      <c r="C256" s="48"/>
      <c r="D256" s="60"/>
      <c r="E256" s="60"/>
      <c r="F256" s="60"/>
      <c r="G256" s="50"/>
      <c r="H256" s="61"/>
      <c r="I256" s="61"/>
      <c r="J256" s="61"/>
      <c r="K256" s="61"/>
      <c r="L256" s="61"/>
      <c r="M256" s="44"/>
      <c r="N256" s="44"/>
      <c r="O256" s="44"/>
      <c r="P256" s="44"/>
      <c r="Q256" s="64"/>
      <c r="R256" s="64"/>
      <c r="V256" s="207"/>
      <c r="AF256" s="207"/>
      <c r="AP256" s="207"/>
      <c r="AZ256" s="207"/>
    </row>
    <row r="257" spans="3:52" s="49" customFormat="1" ht="15.75" x14ac:dyDescent="0.25">
      <c r="C257" s="48"/>
      <c r="D257" s="60"/>
      <c r="E257" s="60"/>
      <c r="F257" s="60"/>
      <c r="G257" s="50"/>
      <c r="H257" s="61"/>
      <c r="I257" s="61"/>
      <c r="J257" s="61"/>
      <c r="K257" s="61"/>
      <c r="L257" s="61"/>
      <c r="M257" s="44"/>
      <c r="N257" s="44"/>
      <c r="O257" s="44"/>
      <c r="P257" s="44"/>
      <c r="Q257" s="64"/>
      <c r="R257" s="64"/>
      <c r="V257" s="207"/>
      <c r="AF257" s="207"/>
      <c r="AP257" s="207"/>
      <c r="AZ257" s="207"/>
    </row>
    <row r="258" spans="3:52" s="49" customFormat="1" ht="15.75" x14ac:dyDescent="0.25">
      <c r="C258" s="48"/>
      <c r="D258" s="60"/>
      <c r="E258" s="60"/>
      <c r="F258" s="60"/>
      <c r="G258" s="50"/>
      <c r="H258" s="61"/>
      <c r="I258" s="61"/>
      <c r="J258" s="61"/>
      <c r="K258" s="61"/>
      <c r="L258" s="61"/>
      <c r="M258" s="44"/>
      <c r="N258" s="44"/>
      <c r="O258" s="44"/>
      <c r="P258" s="44"/>
      <c r="Q258" s="64"/>
      <c r="R258" s="64"/>
      <c r="V258" s="207"/>
      <c r="AF258" s="207"/>
      <c r="AP258" s="207"/>
      <c r="AZ258" s="207"/>
    </row>
    <row r="259" spans="3:52" s="49" customFormat="1" ht="15.75" x14ac:dyDescent="0.25">
      <c r="C259" s="48"/>
      <c r="D259" s="60"/>
      <c r="E259" s="60"/>
      <c r="F259" s="60"/>
      <c r="G259" s="50"/>
      <c r="H259" s="61"/>
      <c r="I259" s="61"/>
      <c r="J259" s="61"/>
      <c r="K259" s="61"/>
      <c r="L259" s="61"/>
      <c r="M259" s="44"/>
      <c r="N259" s="44"/>
      <c r="O259" s="44"/>
      <c r="P259" s="44"/>
      <c r="Q259" s="64"/>
      <c r="R259" s="64"/>
      <c r="V259" s="207"/>
      <c r="AF259" s="207"/>
      <c r="AP259" s="207"/>
      <c r="AZ259" s="207"/>
    </row>
    <row r="260" spans="3:52" s="49" customFormat="1" ht="15.75" x14ac:dyDescent="0.25">
      <c r="C260" s="48"/>
      <c r="D260" s="60"/>
      <c r="E260" s="60"/>
      <c r="F260" s="60"/>
      <c r="G260" s="50"/>
      <c r="H260" s="61"/>
      <c r="I260" s="61"/>
      <c r="J260" s="61"/>
      <c r="K260" s="61"/>
      <c r="L260" s="61"/>
      <c r="M260" s="44"/>
      <c r="N260" s="44"/>
      <c r="O260" s="44"/>
      <c r="P260" s="44"/>
      <c r="Q260" s="64"/>
      <c r="R260" s="64"/>
      <c r="V260" s="207"/>
      <c r="AF260" s="207"/>
      <c r="AP260" s="207"/>
      <c r="AZ260" s="207"/>
    </row>
    <row r="261" spans="3:52" s="49" customFormat="1" ht="15.75" x14ac:dyDescent="0.25">
      <c r="C261" s="48"/>
      <c r="D261" s="60"/>
      <c r="E261" s="60"/>
      <c r="F261" s="60"/>
      <c r="G261" s="50"/>
      <c r="H261" s="61"/>
      <c r="I261" s="61"/>
      <c r="J261" s="61"/>
      <c r="K261" s="61"/>
      <c r="L261" s="61"/>
      <c r="M261" s="44"/>
      <c r="N261" s="44"/>
      <c r="O261" s="44"/>
      <c r="P261" s="44"/>
      <c r="Q261" s="64"/>
      <c r="R261" s="64"/>
      <c r="V261" s="207"/>
      <c r="AF261" s="207"/>
      <c r="AP261" s="207"/>
      <c r="AZ261" s="207"/>
    </row>
    <row r="262" spans="3:52" s="49" customFormat="1" ht="15.75" x14ac:dyDescent="0.25">
      <c r="C262" s="48"/>
      <c r="D262" s="60"/>
      <c r="E262" s="60"/>
      <c r="F262" s="60"/>
      <c r="G262" s="50"/>
      <c r="H262" s="61"/>
      <c r="I262" s="61"/>
      <c r="J262" s="61"/>
      <c r="K262" s="61"/>
      <c r="L262" s="61"/>
      <c r="M262" s="44"/>
      <c r="N262" s="44"/>
      <c r="O262" s="44"/>
      <c r="P262" s="44"/>
      <c r="Q262" s="64"/>
      <c r="R262" s="64"/>
      <c r="V262" s="207"/>
      <c r="AF262" s="207"/>
      <c r="AP262" s="207"/>
      <c r="AZ262" s="207"/>
    </row>
    <row r="263" spans="3:52" s="49" customFormat="1" ht="15.75" x14ac:dyDescent="0.25">
      <c r="C263" s="48"/>
      <c r="D263" s="60"/>
      <c r="E263" s="60"/>
      <c r="F263" s="60"/>
      <c r="G263" s="50"/>
      <c r="H263" s="61"/>
      <c r="I263" s="61"/>
      <c r="J263" s="61"/>
      <c r="K263" s="61"/>
      <c r="L263" s="61"/>
      <c r="M263" s="44"/>
      <c r="N263" s="44"/>
      <c r="O263" s="44"/>
      <c r="P263" s="44"/>
      <c r="Q263" s="64"/>
      <c r="R263" s="64"/>
      <c r="V263" s="207"/>
      <c r="AF263" s="207"/>
      <c r="AP263" s="207"/>
      <c r="AZ263" s="207"/>
    </row>
    <row r="264" spans="3:52" s="49" customFormat="1" ht="15.75" x14ac:dyDescent="0.25">
      <c r="C264" s="48"/>
      <c r="D264" s="60"/>
      <c r="E264" s="60"/>
      <c r="F264" s="60"/>
      <c r="G264" s="50"/>
      <c r="H264" s="61"/>
      <c r="I264" s="61"/>
      <c r="J264" s="61"/>
      <c r="K264" s="61"/>
      <c r="L264" s="61"/>
      <c r="M264" s="44"/>
      <c r="N264" s="44"/>
      <c r="O264" s="44"/>
      <c r="P264" s="44"/>
      <c r="Q264" s="64"/>
      <c r="R264" s="64"/>
      <c r="V264" s="207"/>
      <c r="AF264" s="207"/>
      <c r="AP264" s="207"/>
      <c r="AZ264" s="207"/>
    </row>
    <row r="265" spans="3:52" s="49" customFormat="1" ht="15.75" x14ac:dyDescent="0.25">
      <c r="C265" s="48"/>
      <c r="D265" s="60"/>
      <c r="E265" s="60"/>
      <c r="F265" s="60"/>
      <c r="G265" s="50"/>
      <c r="H265" s="61"/>
      <c r="I265" s="61"/>
      <c r="J265" s="61"/>
      <c r="K265" s="61"/>
      <c r="L265" s="61"/>
      <c r="M265" s="44"/>
      <c r="N265" s="44"/>
      <c r="O265" s="44"/>
      <c r="P265" s="44"/>
      <c r="Q265" s="64"/>
      <c r="R265" s="64"/>
      <c r="V265" s="207"/>
      <c r="AF265" s="207"/>
      <c r="AP265" s="207"/>
      <c r="AZ265" s="207"/>
    </row>
    <row r="266" spans="3:52" s="49" customFormat="1" ht="15.75" x14ac:dyDescent="0.25">
      <c r="C266" s="48"/>
      <c r="D266" s="60"/>
      <c r="E266" s="60"/>
      <c r="F266" s="60"/>
      <c r="G266" s="50"/>
      <c r="H266" s="61"/>
      <c r="I266" s="61"/>
      <c r="J266" s="61"/>
      <c r="K266" s="61"/>
      <c r="L266" s="61"/>
      <c r="M266" s="44"/>
      <c r="N266" s="44"/>
      <c r="O266" s="44"/>
      <c r="P266" s="44"/>
      <c r="Q266" s="64"/>
      <c r="R266" s="64"/>
      <c r="V266" s="207"/>
      <c r="AF266" s="207"/>
      <c r="AP266" s="207"/>
      <c r="AZ266" s="207"/>
    </row>
    <row r="267" spans="3:52" s="49" customFormat="1" ht="15.75" x14ac:dyDescent="0.25">
      <c r="C267" s="48"/>
      <c r="D267" s="60"/>
      <c r="E267" s="60"/>
      <c r="F267" s="60"/>
      <c r="G267" s="50"/>
      <c r="H267" s="61"/>
      <c r="I267" s="61"/>
      <c r="J267" s="61"/>
      <c r="K267" s="61"/>
      <c r="L267" s="61"/>
      <c r="M267" s="44"/>
      <c r="N267" s="44"/>
      <c r="O267" s="44"/>
      <c r="P267" s="44"/>
      <c r="Q267" s="64"/>
      <c r="R267" s="64"/>
      <c r="V267" s="207"/>
      <c r="AF267" s="207"/>
      <c r="AP267" s="207"/>
      <c r="AZ267" s="207"/>
    </row>
    <row r="268" spans="3:52" s="49" customFormat="1" ht="15.75" x14ac:dyDescent="0.25">
      <c r="C268" s="48"/>
      <c r="D268" s="60"/>
      <c r="E268" s="60"/>
      <c r="F268" s="60"/>
      <c r="G268" s="50"/>
      <c r="H268" s="61"/>
      <c r="I268" s="61"/>
      <c r="J268" s="61"/>
      <c r="K268" s="61"/>
      <c r="L268" s="61"/>
      <c r="M268" s="44"/>
      <c r="N268" s="44"/>
      <c r="O268" s="44"/>
      <c r="P268" s="44"/>
      <c r="Q268" s="64"/>
      <c r="R268" s="64"/>
      <c r="V268" s="207"/>
      <c r="AF268" s="207"/>
      <c r="AP268" s="207"/>
      <c r="AZ268" s="207"/>
    </row>
    <row r="269" spans="3:52" s="49" customFormat="1" ht="15.75" x14ac:dyDescent="0.25">
      <c r="C269" s="48"/>
      <c r="D269" s="60"/>
      <c r="E269" s="60"/>
      <c r="F269" s="60"/>
      <c r="G269" s="50"/>
      <c r="H269" s="61"/>
      <c r="I269" s="61"/>
      <c r="J269" s="61"/>
      <c r="K269" s="61"/>
      <c r="L269" s="61"/>
      <c r="M269" s="44"/>
      <c r="N269" s="44"/>
      <c r="O269" s="44"/>
      <c r="P269" s="44"/>
      <c r="Q269" s="64"/>
      <c r="R269" s="64"/>
      <c r="V269" s="207"/>
      <c r="AF269" s="207"/>
      <c r="AP269" s="207"/>
      <c r="AZ269" s="207"/>
    </row>
    <row r="270" spans="3:52" s="49" customFormat="1" ht="15.75" x14ac:dyDescent="0.25">
      <c r="C270" s="48"/>
      <c r="D270" s="60"/>
      <c r="E270" s="60"/>
      <c r="F270" s="60"/>
      <c r="G270" s="50"/>
      <c r="H270" s="61"/>
      <c r="I270" s="61"/>
      <c r="J270" s="61"/>
      <c r="K270" s="61"/>
      <c r="L270" s="61"/>
      <c r="M270" s="44"/>
      <c r="N270" s="44"/>
      <c r="O270" s="44"/>
      <c r="P270" s="44"/>
      <c r="Q270" s="64"/>
      <c r="R270" s="64"/>
      <c r="V270" s="207"/>
      <c r="AF270" s="207"/>
      <c r="AP270" s="207"/>
      <c r="AZ270" s="207"/>
    </row>
    <row r="271" spans="3:52" s="49" customFormat="1" ht="15.75" x14ac:dyDescent="0.25">
      <c r="C271" s="48"/>
      <c r="D271" s="60"/>
      <c r="E271" s="60"/>
      <c r="F271" s="60"/>
      <c r="G271" s="50"/>
      <c r="H271" s="61"/>
      <c r="I271" s="61"/>
      <c r="J271" s="61"/>
      <c r="K271" s="61"/>
      <c r="L271" s="61"/>
      <c r="M271" s="44"/>
      <c r="N271" s="44"/>
      <c r="O271" s="44"/>
      <c r="P271" s="44"/>
      <c r="Q271" s="64"/>
      <c r="R271" s="64"/>
      <c r="V271" s="207"/>
      <c r="AF271" s="207"/>
      <c r="AP271" s="207"/>
      <c r="AZ271" s="207"/>
    </row>
    <row r="272" spans="3:52" s="49" customFormat="1" ht="15.75" x14ac:dyDescent="0.25">
      <c r="C272" s="48"/>
      <c r="D272" s="60"/>
      <c r="E272" s="60"/>
      <c r="F272" s="60"/>
      <c r="G272" s="50"/>
      <c r="H272" s="61"/>
      <c r="I272" s="61"/>
      <c r="J272" s="61"/>
      <c r="K272" s="61"/>
      <c r="L272" s="61"/>
      <c r="M272" s="44"/>
      <c r="N272" s="44"/>
      <c r="O272" s="44"/>
      <c r="P272" s="44"/>
      <c r="Q272" s="64"/>
      <c r="R272" s="64"/>
      <c r="V272" s="207"/>
      <c r="AF272" s="207"/>
      <c r="AP272" s="207"/>
      <c r="AZ272" s="207"/>
    </row>
    <row r="273" spans="3:52" s="49" customFormat="1" ht="15.75" x14ac:dyDescent="0.25">
      <c r="C273" s="48"/>
      <c r="D273" s="60"/>
      <c r="E273" s="60"/>
      <c r="F273" s="60"/>
      <c r="G273" s="50"/>
      <c r="H273" s="61"/>
      <c r="I273" s="61"/>
      <c r="J273" s="61"/>
      <c r="K273" s="61"/>
      <c r="L273" s="61"/>
      <c r="M273" s="44"/>
      <c r="N273" s="44"/>
      <c r="O273" s="44"/>
      <c r="P273" s="44"/>
      <c r="Q273" s="64"/>
      <c r="R273" s="64"/>
      <c r="V273" s="207"/>
      <c r="AF273" s="207"/>
      <c r="AP273" s="207"/>
      <c r="AZ273" s="207"/>
    </row>
    <row r="274" spans="3:52" s="49" customFormat="1" ht="15.75" x14ac:dyDescent="0.25">
      <c r="C274" s="48"/>
      <c r="D274" s="60"/>
      <c r="E274" s="60"/>
      <c r="F274" s="60"/>
      <c r="G274" s="50"/>
      <c r="H274" s="61"/>
      <c r="I274" s="61"/>
      <c r="J274" s="61"/>
      <c r="K274" s="61"/>
      <c r="L274" s="61"/>
      <c r="M274" s="44"/>
      <c r="N274" s="44"/>
      <c r="O274" s="44"/>
      <c r="P274" s="44"/>
      <c r="Q274" s="64"/>
      <c r="R274" s="64"/>
      <c r="V274" s="207"/>
      <c r="AF274" s="207"/>
      <c r="AP274" s="207"/>
      <c r="AZ274" s="207"/>
    </row>
    <row r="275" spans="3:52" s="49" customFormat="1" ht="15.75" x14ac:dyDescent="0.25">
      <c r="C275" s="48"/>
      <c r="D275" s="60"/>
      <c r="E275" s="60"/>
      <c r="F275" s="60"/>
      <c r="G275" s="50"/>
      <c r="H275" s="61"/>
      <c r="I275" s="61"/>
      <c r="J275" s="61"/>
      <c r="K275" s="61"/>
      <c r="L275" s="61"/>
      <c r="M275" s="44"/>
      <c r="N275" s="44"/>
      <c r="O275" s="44"/>
      <c r="P275" s="44"/>
      <c r="Q275" s="64"/>
      <c r="R275" s="64"/>
      <c r="V275" s="207"/>
      <c r="AF275" s="207"/>
      <c r="AP275" s="207"/>
      <c r="AZ275" s="207"/>
    </row>
    <row r="276" spans="3:52" s="49" customFormat="1" ht="15.75" x14ac:dyDescent="0.25">
      <c r="C276" s="48"/>
      <c r="D276" s="60"/>
      <c r="E276" s="60"/>
      <c r="F276" s="60"/>
      <c r="G276" s="50"/>
      <c r="H276" s="61"/>
      <c r="I276" s="61"/>
      <c r="J276" s="61"/>
      <c r="K276" s="61"/>
      <c r="L276" s="61"/>
      <c r="M276" s="44"/>
      <c r="N276" s="44"/>
      <c r="O276" s="44"/>
      <c r="P276" s="44"/>
      <c r="Q276" s="64"/>
      <c r="R276" s="64"/>
      <c r="V276" s="207"/>
      <c r="AF276" s="207"/>
      <c r="AP276" s="207"/>
      <c r="AZ276" s="207"/>
    </row>
    <row r="277" spans="3:52" s="49" customFormat="1" ht="15.75" x14ac:dyDescent="0.25">
      <c r="C277" s="48"/>
      <c r="D277" s="60"/>
      <c r="E277" s="60"/>
      <c r="F277" s="60"/>
      <c r="G277" s="50"/>
      <c r="H277" s="61"/>
      <c r="I277" s="61"/>
      <c r="J277" s="61"/>
      <c r="K277" s="61"/>
      <c r="L277" s="61"/>
      <c r="M277" s="44"/>
      <c r="N277" s="44"/>
      <c r="O277" s="44"/>
      <c r="P277" s="44"/>
      <c r="Q277" s="64"/>
      <c r="R277" s="64"/>
      <c r="V277" s="207"/>
      <c r="AF277" s="207"/>
      <c r="AP277" s="207"/>
      <c r="AZ277" s="207"/>
    </row>
    <row r="278" spans="3:52" s="49" customFormat="1" ht="15.75" x14ac:dyDescent="0.25">
      <c r="C278" s="48"/>
      <c r="D278" s="60"/>
      <c r="E278" s="60"/>
      <c r="F278" s="60"/>
      <c r="G278" s="50"/>
      <c r="H278" s="61"/>
      <c r="I278" s="61"/>
      <c r="J278" s="61"/>
      <c r="K278" s="61"/>
      <c r="L278" s="61"/>
      <c r="M278" s="44"/>
      <c r="N278" s="44"/>
      <c r="O278" s="44"/>
      <c r="P278" s="44"/>
      <c r="Q278" s="64"/>
      <c r="R278" s="64"/>
      <c r="V278" s="207"/>
      <c r="AF278" s="207"/>
      <c r="AP278" s="207"/>
      <c r="AZ278" s="207"/>
    </row>
    <row r="279" spans="3:52" s="49" customFormat="1" ht="15.75" x14ac:dyDescent="0.25">
      <c r="C279" s="48"/>
      <c r="D279" s="60"/>
      <c r="E279" s="60"/>
      <c r="F279" s="60"/>
      <c r="G279" s="50"/>
      <c r="H279" s="61"/>
      <c r="I279" s="61"/>
      <c r="J279" s="61"/>
      <c r="K279" s="61"/>
      <c r="L279" s="61"/>
      <c r="M279" s="44"/>
      <c r="N279" s="44"/>
      <c r="O279" s="44"/>
      <c r="P279" s="44"/>
      <c r="Q279" s="64"/>
      <c r="R279" s="64"/>
      <c r="V279" s="207"/>
      <c r="AF279" s="207"/>
      <c r="AP279" s="207"/>
      <c r="AZ279" s="207"/>
    </row>
    <row r="280" spans="3:52" s="49" customFormat="1" ht="15.75" x14ac:dyDescent="0.25">
      <c r="C280" s="48"/>
      <c r="D280" s="60"/>
      <c r="E280" s="60"/>
      <c r="F280" s="60"/>
      <c r="G280" s="50"/>
      <c r="H280" s="61"/>
      <c r="I280" s="61"/>
      <c r="J280" s="61"/>
      <c r="K280" s="61"/>
      <c r="L280" s="61"/>
      <c r="M280" s="44"/>
      <c r="N280" s="44"/>
      <c r="O280" s="44"/>
      <c r="P280" s="44"/>
      <c r="Q280" s="64"/>
      <c r="R280" s="64"/>
      <c r="V280" s="207"/>
      <c r="AF280" s="207"/>
      <c r="AP280" s="207"/>
      <c r="AZ280" s="207"/>
    </row>
    <row r="281" spans="3:52" s="49" customFormat="1" ht="15.75" x14ac:dyDescent="0.25">
      <c r="C281" s="48"/>
      <c r="D281" s="60"/>
      <c r="E281" s="60"/>
      <c r="F281" s="60"/>
      <c r="G281" s="50"/>
      <c r="H281" s="61"/>
      <c r="I281" s="61"/>
      <c r="J281" s="61"/>
      <c r="K281" s="61"/>
      <c r="L281" s="61"/>
      <c r="M281" s="44"/>
      <c r="N281" s="44"/>
      <c r="O281" s="44"/>
      <c r="P281" s="44"/>
      <c r="Q281" s="64"/>
      <c r="R281" s="64"/>
      <c r="V281" s="207"/>
      <c r="AF281" s="207"/>
      <c r="AP281" s="207"/>
      <c r="AZ281" s="207"/>
    </row>
    <row r="282" spans="3:52" s="49" customFormat="1" ht="15.75" x14ac:dyDescent="0.25">
      <c r="C282" s="48"/>
      <c r="D282" s="60"/>
      <c r="E282" s="60"/>
      <c r="F282" s="60"/>
      <c r="G282" s="50"/>
      <c r="H282" s="61"/>
      <c r="I282" s="61"/>
      <c r="J282" s="61"/>
      <c r="K282" s="61"/>
      <c r="L282" s="61"/>
      <c r="M282" s="44"/>
      <c r="N282" s="44"/>
      <c r="O282" s="44"/>
      <c r="P282" s="44"/>
      <c r="Q282" s="64"/>
      <c r="R282" s="64"/>
      <c r="V282" s="207"/>
      <c r="AF282" s="207"/>
      <c r="AP282" s="207"/>
      <c r="AZ282" s="207"/>
    </row>
    <row r="283" spans="3:52" s="49" customFormat="1" ht="15.75" x14ac:dyDescent="0.25">
      <c r="C283" s="48"/>
      <c r="D283" s="60"/>
      <c r="E283" s="60"/>
      <c r="F283" s="60"/>
      <c r="G283" s="50"/>
      <c r="H283" s="61"/>
      <c r="I283" s="61"/>
      <c r="J283" s="61"/>
      <c r="K283" s="61"/>
      <c r="L283" s="61"/>
      <c r="M283" s="44"/>
      <c r="N283" s="44"/>
      <c r="O283" s="44"/>
      <c r="P283" s="44"/>
      <c r="Q283" s="64"/>
      <c r="R283" s="64"/>
      <c r="V283" s="207"/>
      <c r="AF283" s="207"/>
      <c r="AP283" s="207"/>
      <c r="AZ283" s="207"/>
    </row>
    <row r="284" spans="3:52" s="49" customFormat="1" ht="15.75" x14ac:dyDescent="0.25">
      <c r="C284" s="48"/>
      <c r="D284" s="60"/>
      <c r="E284" s="60"/>
      <c r="F284" s="60"/>
      <c r="G284" s="50"/>
      <c r="H284" s="61"/>
      <c r="I284" s="61"/>
      <c r="J284" s="61"/>
      <c r="K284" s="61"/>
      <c r="L284" s="61"/>
      <c r="M284" s="44"/>
      <c r="N284" s="44"/>
      <c r="O284" s="44"/>
      <c r="P284" s="44"/>
      <c r="Q284" s="64"/>
      <c r="R284" s="64"/>
      <c r="V284" s="207"/>
      <c r="AF284" s="207"/>
      <c r="AP284" s="207"/>
      <c r="AZ284" s="207"/>
    </row>
    <row r="285" spans="3:52" s="49" customFormat="1" ht="15.75" x14ac:dyDescent="0.25">
      <c r="C285" s="48"/>
      <c r="D285" s="60"/>
      <c r="E285" s="60"/>
      <c r="F285" s="60"/>
      <c r="G285" s="50"/>
      <c r="H285" s="61"/>
      <c r="I285" s="61"/>
      <c r="J285" s="61"/>
      <c r="K285" s="61"/>
      <c r="L285" s="61"/>
      <c r="M285" s="44"/>
      <c r="N285" s="44"/>
      <c r="O285" s="44"/>
      <c r="P285" s="44"/>
      <c r="Q285" s="64"/>
      <c r="R285" s="64"/>
      <c r="V285" s="207"/>
      <c r="AF285" s="207"/>
      <c r="AP285" s="207"/>
      <c r="AZ285" s="207"/>
    </row>
    <row r="286" spans="3:52" s="49" customFormat="1" ht="15.75" x14ac:dyDescent="0.25">
      <c r="C286" s="48"/>
      <c r="D286" s="60"/>
      <c r="E286" s="60"/>
      <c r="F286" s="60"/>
      <c r="G286" s="50"/>
      <c r="H286" s="61"/>
      <c r="I286" s="61"/>
      <c r="J286" s="61"/>
      <c r="K286" s="61"/>
      <c r="L286" s="61"/>
      <c r="M286" s="44"/>
      <c r="N286" s="44"/>
      <c r="O286" s="44"/>
      <c r="P286" s="44"/>
      <c r="Q286" s="64"/>
      <c r="R286" s="64"/>
      <c r="V286" s="207"/>
      <c r="AF286" s="207"/>
      <c r="AP286" s="207"/>
      <c r="AZ286" s="207"/>
    </row>
    <row r="287" spans="3:52" s="49" customFormat="1" ht="15.75" x14ac:dyDescent="0.25">
      <c r="C287" s="48"/>
      <c r="D287" s="60"/>
      <c r="E287" s="60"/>
      <c r="F287" s="60"/>
      <c r="G287" s="50"/>
      <c r="H287" s="61"/>
      <c r="I287" s="61"/>
      <c r="J287" s="61"/>
      <c r="K287" s="61"/>
      <c r="L287" s="61"/>
      <c r="M287" s="44"/>
      <c r="N287" s="44"/>
      <c r="O287" s="44"/>
      <c r="P287" s="44"/>
      <c r="Q287" s="64"/>
      <c r="R287" s="64"/>
      <c r="V287" s="207"/>
      <c r="AF287" s="207"/>
      <c r="AP287" s="207"/>
      <c r="AZ287" s="207"/>
    </row>
    <row r="288" spans="3:52" s="49" customFormat="1" ht="15.75" x14ac:dyDescent="0.25">
      <c r="C288" s="48"/>
      <c r="D288" s="60"/>
      <c r="E288" s="60"/>
      <c r="F288" s="60"/>
      <c r="G288" s="50"/>
      <c r="H288" s="61"/>
      <c r="I288" s="61"/>
      <c r="J288" s="61"/>
      <c r="K288" s="61"/>
      <c r="L288" s="61"/>
      <c r="M288" s="44"/>
      <c r="N288" s="44"/>
      <c r="O288" s="44"/>
      <c r="P288" s="44"/>
      <c r="Q288" s="64"/>
      <c r="R288" s="64"/>
      <c r="V288" s="207"/>
      <c r="AF288" s="207"/>
      <c r="AP288" s="207"/>
      <c r="AZ288" s="207"/>
    </row>
    <row r="289" spans="3:52" s="49" customFormat="1" ht="15.75" x14ac:dyDescent="0.25">
      <c r="C289" s="48"/>
      <c r="D289" s="60"/>
      <c r="E289" s="60"/>
      <c r="F289" s="60"/>
      <c r="G289" s="50"/>
      <c r="H289" s="61"/>
      <c r="I289" s="61"/>
      <c r="J289" s="61"/>
      <c r="K289" s="61"/>
      <c r="L289" s="61"/>
      <c r="M289" s="44"/>
      <c r="N289" s="44"/>
      <c r="O289" s="44"/>
      <c r="P289" s="44"/>
      <c r="Q289" s="64"/>
      <c r="R289" s="64"/>
      <c r="V289" s="207"/>
      <c r="AF289" s="207"/>
      <c r="AP289" s="207"/>
      <c r="AZ289" s="207"/>
    </row>
    <row r="290" spans="3:52" s="49" customFormat="1" ht="15.75" x14ac:dyDescent="0.25">
      <c r="C290" s="48"/>
      <c r="D290" s="60"/>
      <c r="E290" s="60"/>
      <c r="F290" s="60"/>
      <c r="G290" s="50"/>
      <c r="H290" s="61"/>
      <c r="I290" s="61"/>
      <c r="J290" s="61"/>
      <c r="K290" s="61"/>
      <c r="L290" s="61"/>
      <c r="M290" s="44"/>
      <c r="N290" s="44"/>
      <c r="O290" s="44"/>
      <c r="P290" s="44"/>
      <c r="Q290" s="64"/>
      <c r="R290" s="64"/>
      <c r="V290" s="207"/>
      <c r="AF290" s="207"/>
      <c r="AP290" s="207"/>
      <c r="AZ290" s="207"/>
    </row>
    <row r="291" spans="3:52" s="49" customFormat="1" ht="15.75" x14ac:dyDescent="0.25">
      <c r="C291" s="48"/>
      <c r="D291" s="60"/>
      <c r="E291" s="60"/>
      <c r="F291" s="60"/>
      <c r="G291" s="50"/>
      <c r="H291" s="61"/>
      <c r="I291" s="61"/>
      <c r="J291" s="61"/>
      <c r="K291" s="61"/>
      <c r="L291" s="61"/>
      <c r="M291" s="44"/>
      <c r="N291" s="44"/>
      <c r="O291" s="44"/>
      <c r="P291" s="44"/>
      <c r="Q291" s="64"/>
      <c r="R291" s="64"/>
      <c r="V291" s="207"/>
      <c r="AF291" s="207"/>
      <c r="AP291" s="207"/>
      <c r="AZ291" s="207"/>
    </row>
    <row r="292" spans="3:52" s="49" customFormat="1" ht="15.75" x14ac:dyDescent="0.25">
      <c r="C292" s="48"/>
      <c r="D292" s="60"/>
      <c r="E292" s="60"/>
      <c r="F292" s="60"/>
      <c r="G292" s="50"/>
      <c r="H292" s="61"/>
      <c r="I292" s="61"/>
      <c r="J292" s="61"/>
      <c r="K292" s="61"/>
      <c r="L292" s="61"/>
      <c r="M292" s="44"/>
      <c r="N292" s="44"/>
      <c r="O292" s="44"/>
      <c r="P292" s="44"/>
      <c r="Q292" s="64"/>
      <c r="R292" s="64"/>
      <c r="V292" s="207"/>
      <c r="AF292" s="207"/>
      <c r="AP292" s="207"/>
      <c r="AZ292" s="207"/>
    </row>
    <row r="293" spans="3:52" s="49" customFormat="1" ht="15.75" x14ac:dyDescent="0.25">
      <c r="C293" s="48"/>
      <c r="D293" s="60"/>
      <c r="E293" s="60"/>
      <c r="F293" s="60"/>
      <c r="G293" s="50"/>
      <c r="H293" s="61"/>
      <c r="I293" s="61"/>
      <c r="J293" s="61"/>
      <c r="K293" s="61"/>
      <c r="L293" s="61"/>
      <c r="M293" s="44"/>
      <c r="N293" s="44"/>
      <c r="O293" s="44"/>
      <c r="P293" s="44"/>
      <c r="Q293" s="64"/>
      <c r="R293" s="64"/>
      <c r="V293" s="207"/>
      <c r="AF293" s="207"/>
      <c r="AP293" s="207"/>
      <c r="AZ293" s="207"/>
    </row>
    <row r="294" spans="3:52" s="49" customFormat="1" ht="15.75" x14ac:dyDescent="0.25">
      <c r="C294" s="48"/>
      <c r="D294" s="60"/>
      <c r="E294" s="60"/>
      <c r="F294" s="60"/>
      <c r="G294" s="50"/>
      <c r="H294" s="61"/>
      <c r="I294" s="61"/>
      <c r="J294" s="61"/>
      <c r="K294" s="61"/>
      <c r="L294" s="61"/>
      <c r="M294" s="44"/>
      <c r="N294" s="44"/>
      <c r="O294" s="44"/>
      <c r="P294" s="44"/>
      <c r="Q294" s="64"/>
      <c r="R294" s="64"/>
      <c r="V294" s="207"/>
      <c r="AF294" s="207"/>
      <c r="AP294" s="207"/>
      <c r="AZ294" s="207"/>
    </row>
    <row r="295" spans="3:52" s="49" customFormat="1" ht="15.75" x14ac:dyDescent="0.25">
      <c r="C295" s="48"/>
      <c r="D295" s="60"/>
      <c r="E295" s="60"/>
      <c r="F295" s="60"/>
      <c r="G295" s="50"/>
      <c r="H295" s="61"/>
      <c r="I295" s="61"/>
      <c r="J295" s="61"/>
      <c r="K295" s="61"/>
      <c r="L295" s="61"/>
      <c r="M295" s="44"/>
      <c r="N295" s="44"/>
      <c r="O295" s="44"/>
      <c r="P295" s="44"/>
      <c r="Q295" s="64"/>
      <c r="R295" s="64"/>
      <c r="V295" s="207"/>
      <c r="AF295" s="207"/>
      <c r="AP295" s="207"/>
      <c r="AZ295" s="207"/>
    </row>
    <row r="296" spans="3:52" s="49" customFormat="1" ht="15.75" x14ac:dyDescent="0.25">
      <c r="C296" s="48"/>
      <c r="D296" s="60"/>
      <c r="E296" s="60"/>
      <c r="F296" s="60"/>
      <c r="G296" s="50"/>
      <c r="H296" s="61"/>
      <c r="I296" s="61"/>
      <c r="J296" s="61"/>
      <c r="K296" s="61"/>
      <c r="L296" s="61"/>
      <c r="M296" s="44"/>
      <c r="N296" s="44"/>
      <c r="O296" s="44"/>
      <c r="P296" s="44"/>
      <c r="Q296" s="64"/>
      <c r="R296" s="64"/>
      <c r="V296" s="207"/>
      <c r="AF296" s="207"/>
      <c r="AP296" s="207"/>
      <c r="AZ296" s="207"/>
    </row>
    <row r="297" spans="3:52" s="49" customFormat="1" ht="15.75" x14ac:dyDescent="0.25">
      <c r="C297" s="48"/>
      <c r="D297" s="60"/>
      <c r="E297" s="60"/>
      <c r="F297" s="60"/>
      <c r="G297" s="50"/>
      <c r="H297" s="61"/>
      <c r="I297" s="61"/>
      <c r="J297" s="61"/>
      <c r="K297" s="61"/>
      <c r="L297" s="61"/>
      <c r="M297" s="44"/>
      <c r="N297" s="44"/>
      <c r="O297" s="44"/>
      <c r="P297" s="44"/>
      <c r="Q297" s="64"/>
      <c r="R297" s="64"/>
      <c r="V297" s="207"/>
      <c r="AF297" s="207"/>
      <c r="AP297" s="207"/>
      <c r="AZ297" s="207"/>
    </row>
    <row r="298" spans="3:52" s="49" customFormat="1" ht="15.75" x14ac:dyDescent="0.25">
      <c r="C298" s="48"/>
      <c r="D298" s="60"/>
      <c r="E298" s="60"/>
      <c r="F298" s="60"/>
      <c r="G298" s="50"/>
      <c r="H298" s="61"/>
      <c r="I298" s="61"/>
      <c r="J298" s="61"/>
      <c r="K298" s="61"/>
      <c r="L298" s="61"/>
      <c r="M298" s="44"/>
      <c r="N298" s="44"/>
      <c r="O298" s="44"/>
      <c r="P298" s="44"/>
      <c r="Q298" s="64"/>
      <c r="R298" s="64"/>
      <c r="V298" s="207"/>
      <c r="AF298" s="207"/>
      <c r="AP298" s="207"/>
      <c r="AZ298" s="207"/>
    </row>
    <row r="299" spans="3:52" s="49" customFormat="1" ht="15.75" x14ac:dyDescent="0.25">
      <c r="C299" s="48"/>
      <c r="D299" s="60"/>
      <c r="E299" s="60"/>
      <c r="F299" s="60"/>
      <c r="G299" s="50"/>
      <c r="H299" s="61"/>
      <c r="I299" s="61"/>
      <c r="J299" s="61"/>
      <c r="K299" s="61"/>
      <c r="L299" s="61"/>
      <c r="M299" s="44"/>
      <c r="N299" s="44"/>
      <c r="O299" s="44"/>
      <c r="P299" s="44"/>
      <c r="Q299" s="64"/>
      <c r="R299" s="64"/>
      <c r="V299" s="207"/>
      <c r="AF299" s="207"/>
      <c r="AP299" s="207"/>
      <c r="AZ299" s="207"/>
    </row>
    <row r="300" spans="3:52" s="49" customFormat="1" ht="15.75" x14ac:dyDescent="0.25">
      <c r="C300" s="48"/>
      <c r="D300" s="60"/>
      <c r="E300" s="60"/>
      <c r="F300" s="60"/>
      <c r="G300" s="50"/>
      <c r="H300" s="61"/>
      <c r="I300" s="61"/>
      <c r="J300" s="61"/>
      <c r="K300" s="61"/>
      <c r="L300" s="61"/>
      <c r="M300" s="44"/>
      <c r="N300" s="44"/>
      <c r="O300" s="44"/>
      <c r="P300" s="44"/>
      <c r="Q300" s="64"/>
      <c r="R300" s="64"/>
      <c r="V300" s="207"/>
      <c r="AF300" s="207"/>
      <c r="AP300" s="207"/>
      <c r="AZ300" s="207"/>
    </row>
    <row r="301" spans="3:52" s="49" customFormat="1" ht="15.75" x14ac:dyDescent="0.25">
      <c r="C301" s="48"/>
      <c r="D301" s="60"/>
      <c r="E301" s="60"/>
      <c r="F301" s="60"/>
      <c r="G301" s="50"/>
      <c r="H301" s="61"/>
      <c r="I301" s="61"/>
      <c r="J301" s="61"/>
      <c r="K301" s="61"/>
      <c r="L301" s="61"/>
      <c r="M301" s="44"/>
      <c r="N301" s="44"/>
      <c r="O301" s="44"/>
      <c r="P301" s="44"/>
      <c r="Q301" s="64"/>
      <c r="R301" s="64"/>
      <c r="V301" s="207"/>
      <c r="AF301" s="207"/>
      <c r="AP301" s="207"/>
      <c r="AZ301" s="207"/>
    </row>
    <row r="302" spans="3:52" s="49" customFormat="1" ht="15.75" x14ac:dyDescent="0.25">
      <c r="C302" s="48"/>
      <c r="D302" s="60"/>
      <c r="E302" s="60"/>
      <c r="F302" s="60"/>
      <c r="G302" s="50"/>
      <c r="H302" s="61"/>
      <c r="I302" s="61"/>
      <c r="J302" s="61"/>
      <c r="K302" s="61"/>
      <c r="L302" s="61"/>
      <c r="M302" s="44"/>
      <c r="N302" s="44"/>
      <c r="O302" s="44"/>
      <c r="P302" s="44"/>
      <c r="Q302" s="64"/>
      <c r="R302" s="64"/>
      <c r="V302" s="207"/>
      <c r="AF302" s="207"/>
      <c r="AP302" s="207"/>
      <c r="AZ302" s="207"/>
    </row>
    <row r="303" spans="3:52" s="49" customFormat="1" ht="15.75" x14ac:dyDescent="0.25">
      <c r="C303" s="48"/>
      <c r="D303" s="60"/>
      <c r="E303" s="60"/>
      <c r="F303" s="60"/>
      <c r="G303" s="50"/>
      <c r="H303" s="61"/>
      <c r="I303" s="61"/>
      <c r="J303" s="61"/>
      <c r="K303" s="61"/>
      <c r="L303" s="61"/>
      <c r="M303" s="44"/>
      <c r="N303" s="44"/>
      <c r="O303" s="44"/>
      <c r="P303" s="44"/>
      <c r="Q303" s="64"/>
      <c r="R303" s="64"/>
      <c r="V303" s="207"/>
      <c r="AF303" s="207"/>
      <c r="AP303" s="207"/>
      <c r="AZ303" s="207"/>
    </row>
    <row r="304" spans="3:52" s="49" customFormat="1" ht="15.75" x14ac:dyDescent="0.25">
      <c r="C304" s="48"/>
      <c r="D304" s="60"/>
      <c r="E304" s="60"/>
      <c r="F304" s="60"/>
      <c r="G304" s="50"/>
      <c r="H304" s="61"/>
      <c r="I304" s="61"/>
      <c r="J304" s="61"/>
      <c r="K304" s="61"/>
      <c r="L304" s="61"/>
      <c r="M304" s="44"/>
      <c r="N304" s="44"/>
      <c r="O304" s="44"/>
      <c r="P304" s="44"/>
      <c r="Q304" s="64"/>
      <c r="R304" s="64"/>
      <c r="V304" s="207"/>
      <c r="AF304" s="207"/>
      <c r="AP304" s="207"/>
      <c r="AZ304" s="207"/>
    </row>
    <row r="305" spans="3:52" s="49" customFormat="1" ht="15.75" x14ac:dyDescent="0.25">
      <c r="C305" s="48"/>
      <c r="D305" s="60"/>
      <c r="E305" s="60"/>
      <c r="F305" s="60"/>
      <c r="G305" s="50"/>
      <c r="H305" s="61"/>
      <c r="I305" s="61"/>
      <c r="J305" s="61"/>
      <c r="K305" s="61"/>
      <c r="L305" s="61"/>
      <c r="M305" s="44"/>
      <c r="N305" s="44"/>
      <c r="O305" s="44"/>
      <c r="P305" s="44"/>
      <c r="Q305" s="64"/>
      <c r="R305" s="64"/>
      <c r="V305" s="207"/>
      <c r="AF305" s="207"/>
      <c r="AP305" s="207"/>
      <c r="AZ305" s="207"/>
    </row>
    <row r="306" spans="3:52" s="49" customFormat="1" ht="15.75" x14ac:dyDescent="0.25">
      <c r="C306" s="48"/>
      <c r="D306" s="60"/>
      <c r="E306" s="60"/>
      <c r="F306" s="60"/>
      <c r="G306" s="50"/>
      <c r="H306" s="61"/>
      <c r="I306" s="61"/>
      <c r="J306" s="61"/>
      <c r="K306" s="61"/>
      <c r="L306" s="61"/>
      <c r="M306" s="44"/>
      <c r="N306" s="44"/>
      <c r="O306" s="44"/>
      <c r="P306" s="44"/>
      <c r="Q306" s="64"/>
      <c r="R306" s="64"/>
      <c r="V306" s="207"/>
      <c r="AF306" s="207"/>
      <c r="AP306" s="207"/>
      <c r="AZ306" s="207"/>
    </row>
    <row r="307" spans="3:52" s="49" customFormat="1" ht="15.75" x14ac:dyDescent="0.25">
      <c r="C307" s="48"/>
      <c r="D307" s="60"/>
      <c r="E307" s="60"/>
      <c r="F307" s="60"/>
      <c r="G307" s="50"/>
      <c r="H307" s="61"/>
      <c r="I307" s="61"/>
      <c r="J307" s="61"/>
      <c r="K307" s="61"/>
      <c r="L307" s="61"/>
      <c r="M307" s="44"/>
      <c r="N307" s="44"/>
      <c r="O307" s="44"/>
      <c r="P307" s="44"/>
      <c r="Q307" s="64"/>
      <c r="R307" s="64"/>
      <c r="V307" s="207"/>
      <c r="AF307" s="207"/>
      <c r="AP307" s="207"/>
      <c r="AZ307" s="207"/>
    </row>
    <row r="308" spans="3:52" s="49" customFormat="1" ht="15.75" x14ac:dyDescent="0.25">
      <c r="C308" s="48"/>
      <c r="D308" s="60"/>
      <c r="E308" s="60"/>
      <c r="F308" s="60"/>
      <c r="G308" s="50"/>
      <c r="H308" s="61"/>
      <c r="I308" s="61"/>
      <c r="J308" s="61"/>
      <c r="K308" s="61"/>
      <c r="L308" s="61"/>
      <c r="M308" s="44"/>
      <c r="N308" s="44"/>
      <c r="O308" s="44"/>
      <c r="P308" s="44"/>
      <c r="Q308" s="64"/>
      <c r="R308" s="64"/>
      <c r="V308" s="207"/>
      <c r="AF308" s="207"/>
      <c r="AP308" s="207"/>
      <c r="AZ308" s="207"/>
    </row>
    <row r="309" spans="3:52" s="49" customFormat="1" ht="15.75" x14ac:dyDescent="0.25">
      <c r="C309" s="48"/>
      <c r="D309" s="60"/>
      <c r="E309" s="60"/>
      <c r="F309" s="60"/>
      <c r="G309" s="50"/>
      <c r="H309" s="61"/>
      <c r="I309" s="61"/>
      <c r="J309" s="61"/>
      <c r="K309" s="61"/>
      <c r="L309" s="61"/>
      <c r="M309" s="44"/>
      <c r="N309" s="44"/>
      <c r="O309" s="44"/>
      <c r="P309" s="44"/>
      <c r="Q309" s="64"/>
      <c r="R309" s="64"/>
      <c r="V309" s="207"/>
      <c r="AF309" s="207"/>
      <c r="AP309" s="207"/>
      <c r="AZ309" s="207"/>
    </row>
    <row r="310" spans="3:52" s="49" customFormat="1" ht="15.75" x14ac:dyDescent="0.25">
      <c r="C310" s="48"/>
      <c r="D310" s="60"/>
      <c r="E310" s="60"/>
      <c r="F310" s="60"/>
      <c r="G310" s="50"/>
      <c r="H310" s="61"/>
      <c r="I310" s="61"/>
      <c r="J310" s="61"/>
      <c r="K310" s="61"/>
      <c r="L310" s="61"/>
      <c r="M310" s="44"/>
      <c r="N310" s="44"/>
      <c r="O310" s="44"/>
      <c r="P310" s="44"/>
      <c r="Q310" s="64"/>
      <c r="R310" s="64"/>
      <c r="V310" s="207"/>
      <c r="AF310" s="207"/>
      <c r="AP310" s="207"/>
      <c r="AZ310" s="207"/>
    </row>
    <row r="311" spans="3:52" s="49" customFormat="1" ht="15.75" x14ac:dyDescent="0.25">
      <c r="C311" s="48"/>
      <c r="D311" s="60"/>
      <c r="E311" s="60"/>
      <c r="F311" s="60"/>
      <c r="G311" s="50"/>
      <c r="H311" s="61"/>
      <c r="I311" s="61"/>
      <c r="J311" s="61"/>
      <c r="K311" s="61"/>
      <c r="L311" s="61"/>
      <c r="M311" s="44"/>
      <c r="N311" s="44"/>
      <c r="O311" s="44"/>
      <c r="P311" s="44"/>
      <c r="Q311" s="64"/>
      <c r="R311" s="64"/>
      <c r="V311" s="207"/>
      <c r="AF311" s="207"/>
      <c r="AP311" s="207"/>
      <c r="AZ311" s="207"/>
    </row>
    <row r="312" spans="3:52" s="49" customFormat="1" ht="15.75" x14ac:dyDescent="0.25">
      <c r="C312" s="48"/>
      <c r="D312" s="60"/>
      <c r="E312" s="60"/>
      <c r="F312" s="60"/>
      <c r="G312" s="50"/>
      <c r="H312" s="61"/>
      <c r="I312" s="61"/>
      <c r="J312" s="61"/>
      <c r="K312" s="61"/>
      <c r="L312" s="61"/>
      <c r="M312" s="44"/>
      <c r="N312" s="44"/>
      <c r="O312" s="44"/>
      <c r="P312" s="44"/>
      <c r="Q312" s="64"/>
      <c r="R312" s="64"/>
      <c r="V312" s="207"/>
      <c r="AF312" s="207"/>
      <c r="AP312" s="207"/>
      <c r="AZ312" s="207"/>
    </row>
    <row r="313" spans="3:52" s="49" customFormat="1" ht="15.75" x14ac:dyDescent="0.25">
      <c r="C313" s="48"/>
      <c r="D313" s="60"/>
      <c r="E313" s="60"/>
      <c r="F313" s="60"/>
      <c r="G313" s="50"/>
      <c r="H313" s="61"/>
      <c r="I313" s="61"/>
      <c r="J313" s="61"/>
      <c r="K313" s="61"/>
      <c r="L313" s="61"/>
      <c r="M313" s="44"/>
      <c r="N313" s="44"/>
      <c r="O313" s="44"/>
      <c r="P313" s="44"/>
      <c r="Q313" s="64"/>
      <c r="R313" s="64"/>
      <c r="V313" s="207"/>
      <c r="AF313" s="207"/>
      <c r="AP313" s="207"/>
      <c r="AZ313" s="207"/>
    </row>
    <row r="314" spans="3:52" s="49" customFormat="1" ht="15.75" x14ac:dyDescent="0.25">
      <c r="C314" s="48"/>
      <c r="D314" s="60"/>
      <c r="E314" s="60"/>
      <c r="F314" s="60"/>
      <c r="G314" s="50"/>
      <c r="H314" s="61"/>
      <c r="I314" s="61"/>
      <c r="J314" s="61"/>
      <c r="K314" s="61"/>
      <c r="L314" s="61"/>
      <c r="M314" s="44"/>
      <c r="N314" s="44"/>
      <c r="O314" s="44"/>
      <c r="P314" s="44"/>
      <c r="Q314" s="64"/>
      <c r="R314" s="64"/>
      <c r="V314" s="207"/>
      <c r="AF314" s="207"/>
      <c r="AP314" s="207"/>
      <c r="AZ314" s="207"/>
    </row>
    <row r="315" spans="3:52" s="49" customFormat="1" ht="15.75" x14ac:dyDescent="0.25">
      <c r="C315" s="48"/>
      <c r="D315" s="60"/>
      <c r="E315" s="60"/>
      <c r="F315" s="60"/>
      <c r="G315" s="50"/>
      <c r="H315" s="61"/>
      <c r="I315" s="61"/>
      <c r="J315" s="61"/>
      <c r="K315" s="61"/>
      <c r="L315" s="61"/>
      <c r="M315" s="44"/>
      <c r="N315" s="44"/>
      <c r="O315" s="44"/>
      <c r="P315" s="44"/>
      <c r="Q315" s="64"/>
      <c r="R315" s="64"/>
      <c r="V315" s="207"/>
      <c r="AF315" s="207"/>
      <c r="AP315" s="207"/>
      <c r="AZ315" s="207"/>
    </row>
    <row r="316" spans="3:52" s="49" customFormat="1" ht="15.75" x14ac:dyDescent="0.25">
      <c r="C316" s="48"/>
      <c r="D316" s="60"/>
      <c r="E316" s="60"/>
      <c r="F316" s="60"/>
      <c r="G316" s="50"/>
      <c r="H316" s="61"/>
      <c r="I316" s="61"/>
      <c r="J316" s="61"/>
      <c r="K316" s="61"/>
      <c r="L316" s="61"/>
      <c r="M316" s="44"/>
      <c r="N316" s="44"/>
      <c r="O316" s="44"/>
      <c r="P316" s="44"/>
      <c r="Q316" s="64"/>
      <c r="R316" s="64"/>
      <c r="V316" s="207"/>
      <c r="AF316" s="207"/>
      <c r="AP316" s="207"/>
      <c r="AZ316" s="207"/>
    </row>
    <row r="317" spans="3:52" ht="15" x14ac:dyDescent="0.25">
      <c r="D317" s="65"/>
      <c r="E317" s="65"/>
      <c r="F317" s="65"/>
    </row>
    <row r="318" spans="3:52" ht="15" x14ac:dyDescent="0.25">
      <c r="D318" s="65"/>
      <c r="E318" s="65"/>
      <c r="F318" s="65"/>
    </row>
    <row r="319" spans="3:52" ht="15" x14ac:dyDescent="0.25">
      <c r="D319" s="65"/>
      <c r="E319" s="65"/>
      <c r="F319" s="65"/>
    </row>
    <row r="320" spans="3:52" ht="15" x14ac:dyDescent="0.25">
      <c r="D320" s="65"/>
      <c r="E320" s="65"/>
      <c r="F320" s="65"/>
    </row>
    <row r="321" spans="4:6" ht="15" x14ac:dyDescent="0.25">
      <c r="D321" s="65"/>
      <c r="E321" s="65"/>
      <c r="F321" s="65"/>
    </row>
    <row r="322" spans="4:6" ht="15" x14ac:dyDescent="0.25">
      <c r="D322" s="65"/>
      <c r="E322" s="65"/>
      <c r="F322" s="65"/>
    </row>
    <row r="323" spans="4:6" ht="15" x14ac:dyDescent="0.25">
      <c r="D323" s="65"/>
      <c r="E323" s="65"/>
      <c r="F323" s="65"/>
    </row>
    <row r="324" spans="4:6" ht="15" x14ac:dyDescent="0.25">
      <c r="D324" s="65"/>
      <c r="E324" s="65"/>
      <c r="F324" s="65"/>
    </row>
    <row r="325" spans="4:6" ht="15" x14ac:dyDescent="0.25">
      <c r="D325" s="65"/>
      <c r="E325" s="65"/>
      <c r="F325" s="65"/>
    </row>
    <row r="326" spans="4:6" ht="15" x14ac:dyDescent="0.25">
      <c r="D326" s="65"/>
      <c r="E326" s="65"/>
      <c r="F326" s="65"/>
    </row>
    <row r="327" spans="4:6" ht="15" x14ac:dyDescent="0.25">
      <c r="D327" s="65"/>
      <c r="E327" s="65"/>
      <c r="F327" s="65"/>
    </row>
    <row r="328" spans="4:6" ht="15" x14ac:dyDescent="0.25">
      <c r="D328" s="65"/>
      <c r="E328" s="65"/>
      <c r="F328" s="65"/>
    </row>
    <row r="329" spans="4:6" ht="15" x14ac:dyDescent="0.25">
      <c r="D329" s="65"/>
      <c r="E329" s="65"/>
      <c r="F329" s="65"/>
    </row>
    <row r="330" spans="4:6" ht="15" x14ac:dyDescent="0.25">
      <c r="D330" s="65"/>
      <c r="E330" s="65"/>
      <c r="F330" s="65"/>
    </row>
    <row r="331" spans="4:6" ht="15" x14ac:dyDescent="0.25">
      <c r="D331" s="65"/>
      <c r="E331" s="65"/>
      <c r="F331" s="65"/>
    </row>
    <row r="332" spans="4:6" ht="15" x14ac:dyDescent="0.25">
      <c r="D332" s="65"/>
      <c r="E332" s="65"/>
      <c r="F332" s="65"/>
    </row>
    <row r="333" spans="4:6" ht="15" x14ac:dyDescent="0.25">
      <c r="D333" s="65"/>
      <c r="E333" s="65"/>
      <c r="F333" s="65"/>
    </row>
    <row r="334" spans="4:6" ht="15" x14ac:dyDescent="0.25">
      <c r="D334" s="65"/>
      <c r="E334" s="65"/>
      <c r="F334" s="65"/>
    </row>
    <row r="335" spans="4:6" ht="15" x14ac:dyDescent="0.25">
      <c r="D335" s="65"/>
      <c r="E335" s="65"/>
      <c r="F335" s="65"/>
    </row>
    <row r="336" spans="4:6" ht="15" x14ac:dyDescent="0.25">
      <c r="D336" s="65"/>
      <c r="E336" s="65"/>
      <c r="F336" s="65"/>
    </row>
    <row r="337" spans="4:6" ht="15" x14ac:dyDescent="0.25">
      <c r="D337" s="65"/>
      <c r="E337" s="65"/>
      <c r="F337" s="65"/>
    </row>
    <row r="338" spans="4:6" ht="15" x14ac:dyDescent="0.25">
      <c r="D338" s="65"/>
      <c r="E338" s="65"/>
      <c r="F338" s="65"/>
    </row>
    <row r="339" spans="4:6" ht="15" x14ac:dyDescent="0.25">
      <c r="D339" s="65"/>
      <c r="E339" s="65"/>
      <c r="F339" s="65"/>
    </row>
    <row r="340" spans="4:6" ht="15" x14ac:dyDescent="0.25">
      <c r="D340" s="65"/>
      <c r="E340" s="65"/>
      <c r="F340" s="65"/>
    </row>
    <row r="341" spans="4:6" ht="15" x14ac:dyDescent="0.25">
      <c r="D341" s="65"/>
      <c r="E341" s="65"/>
      <c r="F341" s="65"/>
    </row>
    <row r="342" spans="4:6" ht="15" x14ac:dyDescent="0.25">
      <c r="D342" s="65"/>
      <c r="E342" s="65"/>
      <c r="F342" s="65"/>
    </row>
    <row r="343" spans="4:6" ht="15" x14ac:dyDescent="0.25">
      <c r="D343" s="65"/>
      <c r="E343" s="65"/>
      <c r="F343" s="65"/>
    </row>
    <row r="344" spans="4:6" ht="15" x14ac:dyDescent="0.25">
      <c r="D344" s="65"/>
      <c r="E344" s="65"/>
      <c r="F344" s="65"/>
    </row>
    <row r="345" spans="4:6" ht="15" x14ac:dyDescent="0.25">
      <c r="D345" s="65"/>
      <c r="E345" s="65"/>
      <c r="F345" s="65"/>
    </row>
    <row r="346" spans="4:6" ht="15" x14ac:dyDescent="0.25">
      <c r="D346" s="65"/>
      <c r="E346" s="65"/>
      <c r="F346" s="65"/>
    </row>
    <row r="347" spans="4:6" ht="15" x14ac:dyDescent="0.25">
      <c r="D347" s="65"/>
      <c r="E347" s="65"/>
      <c r="F347" s="65"/>
    </row>
    <row r="348" spans="4:6" ht="15" x14ac:dyDescent="0.25">
      <c r="D348" s="65"/>
      <c r="E348" s="65"/>
      <c r="F348" s="65"/>
    </row>
    <row r="349" spans="4:6" ht="15" x14ac:dyDescent="0.25">
      <c r="D349" s="65"/>
      <c r="E349" s="65"/>
      <c r="F349" s="65"/>
    </row>
    <row r="350" spans="4:6" ht="15" x14ac:dyDescent="0.25">
      <c r="D350" s="65"/>
      <c r="E350" s="65"/>
      <c r="F350" s="65"/>
    </row>
    <row r="351" spans="4:6" ht="15" x14ac:dyDescent="0.25">
      <c r="D351" s="65"/>
      <c r="E351" s="65"/>
      <c r="F351" s="65"/>
    </row>
    <row r="352" spans="4:6" ht="15" x14ac:dyDescent="0.25">
      <c r="D352" s="65"/>
      <c r="E352" s="65"/>
      <c r="F352" s="65"/>
    </row>
    <row r="353" spans="4:6" ht="15" x14ac:dyDescent="0.25">
      <c r="D353" s="65"/>
      <c r="E353" s="65"/>
      <c r="F353" s="65"/>
    </row>
    <row r="354" spans="4:6" ht="15" x14ac:dyDescent="0.25">
      <c r="D354" s="65"/>
      <c r="E354" s="65"/>
      <c r="F354" s="65"/>
    </row>
    <row r="355" spans="4:6" ht="15" x14ac:dyDescent="0.25">
      <c r="D355" s="65"/>
      <c r="E355" s="65"/>
      <c r="F355" s="65"/>
    </row>
    <row r="356" spans="4:6" ht="15" x14ac:dyDescent="0.25">
      <c r="D356" s="65"/>
      <c r="E356" s="65"/>
      <c r="F356" s="65"/>
    </row>
    <row r="357" spans="4:6" ht="15" x14ac:dyDescent="0.25">
      <c r="D357" s="65"/>
      <c r="E357" s="65"/>
      <c r="F357" s="65"/>
    </row>
    <row r="358" spans="4:6" ht="15" x14ac:dyDescent="0.25">
      <c r="D358" s="65"/>
      <c r="E358" s="65"/>
      <c r="F358" s="65"/>
    </row>
    <row r="359" spans="4:6" ht="15" x14ac:dyDescent="0.25">
      <c r="D359" s="65"/>
      <c r="E359" s="65"/>
      <c r="F359" s="65"/>
    </row>
    <row r="360" spans="4:6" ht="15" x14ac:dyDescent="0.25">
      <c r="D360" s="65"/>
      <c r="E360" s="65"/>
      <c r="F360" s="65"/>
    </row>
    <row r="361" spans="4:6" ht="15" x14ac:dyDescent="0.25">
      <c r="D361" s="65"/>
      <c r="E361" s="65"/>
      <c r="F361" s="65"/>
    </row>
    <row r="362" spans="4:6" ht="15" x14ac:dyDescent="0.25">
      <c r="D362" s="65"/>
      <c r="E362" s="65"/>
      <c r="F362" s="65"/>
    </row>
    <row r="363" spans="4:6" ht="15" x14ac:dyDescent="0.25">
      <c r="D363" s="65"/>
      <c r="E363" s="65"/>
      <c r="F363" s="65"/>
    </row>
    <row r="364" spans="4:6" ht="15" x14ac:dyDescent="0.25">
      <c r="D364" s="65"/>
      <c r="E364" s="65"/>
      <c r="F364" s="65"/>
    </row>
    <row r="365" spans="4:6" ht="15" x14ac:dyDescent="0.25">
      <c r="D365" s="65"/>
      <c r="E365" s="65"/>
      <c r="F365" s="65"/>
    </row>
    <row r="366" spans="4:6" ht="15" x14ac:dyDescent="0.25">
      <c r="D366" s="65"/>
      <c r="E366" s="65"/>
      <c r="F366" s="65"/>
    </row>
    <row r="367" spans="4:6" ht="15" x14ac:dyDescent="0.25">
      <c r="D367" s="65"/>
      <c r="E367" s="65"/>
      <c r="F367" s="65"/>
    </row>
    <row r="368" spans="4:6" ht="15" x14ac:dyDescent="0.25">
      <c r="D368" s="65"/>
      <c r="E368" s="65"/>
      <c r="F368" s="65"/>
    </row>
    <row r="369" spans="4:6" ht="15" x14ac:dyDescent="0.25">
      <c r="D369" s="65"/>
      <c r="E369" s="65"/>
      <c r="F369" s="65"/>
    </row>
    <row r="370" spans="4:6" ht="15" x14ac:dyDescent="0.25">
      <c r="D370" s="65"/>
      <c r="E370" s="65"/>
      <c r="F370" s="65"/>
    </row>
    <row r="371" spans="4:6" ht="15" x14ac:dyDescent="0.25">
      <c r="D371" s="65"/>
      <c r="E371" s="65"/>
      <c r="F371" s="65"/>
    </row>
    <row r="372" spans="4:6" ht="15" x14ac:dyDescent="0.25">
      <c r="D372" s="65"/>
      <c r="E372" s="65"/>
      <c r="F372" s="65"/>
    </row>
    <row r="373" spans="4:6" ht="15" x14ac:dyDescent="0.25">
      <c r="D373" s="65"/>
      <c r="E373" s="65"/>
      <c r="F373" s="65"/>
    </row>
    <row r="374" spans="4:6" ht="15" x14ac:dyDescent="0.25">
      <c r="D374" s="65"/>
      <c r="E374" s="65"/>
      <c r="F374" s="65"/>
    </row>
    <row r="375" spans="4:6" ht="15" x14ac:dyDescent="0.25">
      <c r="D375" s="65"/>
      <c r="E375" s="65"/>
      <c r="F375" s="65"/>
    </row>
    <row r="376" spans="4:6" ht="15" x14ac:dyDescent="0.25">
      <c r="D376" s="65"/>
      <c r="E376" s="65"/>
      <c r="F376" s="65"/>
    </row>
    <row r="377" spans="4:6" ht="15" x14ac:dyDescent="0.25">
      <c r="D377" s="65"/>
      <c r="E377" s="65"/>
      <c r="F377" s="65"/>
    </row>
    <row r="378" spans="4:6" ht="15" x14ac:dyDescent="0.25">
      <c r="D378" s="65"/>
      <c r="E378" s="65"/>
      <c r="F378" s="65"/>
    </row>
    <row r="379" spans="4:6" ht="15" x14ac:dyDescent="0.25">
      <c r="D379" s="65"/>
      <c r="E379" s="65"/>
      <c r="F379" s="65"/>
    </row>
    <row r="380" spans="4:6" ht="15" x14ac:dyDescent="0.25">
      <c r="D380" s="65"/>
      <c r="E380" s="65"/>
      <c r="F380" s="65"/>
    </row>
    <row r="381" spans="4:6" ht="15" x14ac:dyDescent="0.25">
      <c r="D381" s="65"/>
      <c r="E381" s="65"/>
      <c r="F381" s="65"/>
    </row>
    <row r="382" spans="4:6" ht="15" x14ac:dyDescent="0.25">
      <c r="D382" s="65"/>
      <c r="E382" s="65"/>
      <c r="F382" s="65"/>
    </row>
    <row r="383" spans="4:6" ht="15" x14ac:dyDescent="0.25">
      <c r="D383" s="65"/>
      <c r="E383" s="65"/>
      <c r="F383" s="65"/>
    </row>
    <row r="384" spans="4:6" ht="15" x14ac:dyDescent="0.25">
      <c r="D384" s="65"/>
      <c r="E384" s="65"/>
      <c r="F384" s="65"/>
    </row>
    <row r="385" spans="4:6" ht="15" x14ac:dyDescent="0.25">
      <c r="D385" s="65"/>
      <c r="E385" s="65"/>
      <c r="F385" s="65"/>
    </row>
    <row r="386" spans="4:6" ht="15" x14ac:dyDescent="0.25">
      <c r="D386" s="65"/>
      <c r="E386" s="65"/>
      <c r="F386" s="65"/>
    </row>
    <row r="387" spans="4:6" ht="15" x14ac:dyDescent="0.25">
      <c r="D387" s="65"/>
      <c r="E387" s="65"/>
      <c r="F387" s="65"/>
    </row>
    <row r="388" spans="4:6" ht="15" x14ac:dyDescent="0.25">
      <c r="D388" s="65"/>
      <c r="E388" s="65"/>
      <c r="F388" s="65"/>
    </row>
    <row r="389" spans="4:6" ht="15" x14ac:dyDescent="0.25">
      <c r="D389" s="65"/>
      <c r="E389" s="65"/>
      <c r="F389" s="65"/>
    </row>
    <row r="390" spans="4:6" ht="15" x14ac:dyDescent="0.25">
      <c r="D390" s="65"/>
      <c r="E390" s="65"/>
      <c r="F390" s="65"/>
    </row>
    <row r="391" spans="4:6" ht="15" x14ac:dyDescent="0.25">
      <c r="D391" s="65"/>
      <c r="E391" s="65"/>
      <c r="F391" s="65"/>
    </row>
    <row r="392" spans="4:6" ht="15" x14ac:dyDescent="0.25">
      <c r="D392" s="65"/>
      <c r="E392" s="65"/>
      <c r="F392" s="65"/>
    </row>
    <row r="393" spans="4:6" ht="15" x14ac:dyDescent="0.25">
      <c r="D393" s="65"/>
      <c r="E393" s="65"/>
      <c r="F393" s="65"/>
    </row>
    <row r="394" spans="4:6" ht="15" x14ac:dyDescent="0.25">
      <c r="D394" s="65"/>
      <c r="E394" s="65"/>
      <c r="F394" s="65"/>
    </row>
    <row r="395" spans="4:6" ht="15" x14ac:dyDescent="0.25">
      <c r="D395" s="65"/>
      <c r="E395" s="65"/>
      <c r="F395" s="65"/>
    </row>
    <row r="396" spans="4:6" ht="15" x14ac:dyDescent="0.25">
      <c r="D396" s="65"/>
      <c r="E396" s="65"/>
      <c r="F396" s="65"/>
    </row>
    <row r="397" spans="4:6" ht="15" x14ac:dyDescent="0.25">
      <c r="D397" s="65"/>
      <c r="E397" s="65"/>
      <c r="F397" s="65"/>
    </row>
    <row r="398" spans="4:6" ht="15" x14ac:dyDescent="0.25">
      <c r="D398" s="65"/>
      <c r="E398" s="65"/>
      <c r="F398" s="65"/>
    </row>
    <row r="399" spans="4:6" ht="15" x14ac:dyDescent="0.25">
      <c r="D399" s="65"/>
      <c r="E399" s="65"/>
      <c r="F399" s="65"/>
    </row>
    <row r="400" spans="4:6" ht="15" x14ac:dyDescent="0.25">
      <c r="D400" s="65"/>
      <c r="E400" s="65"/>
      <c r="F400" s="65"/>
    </row>
    <row r="401" spans="4:6" ht="15" x14ac:dyDescent="0.25">
      <c r="D401" s="65"/>
      <c r="E401" s="65"/>
      <c r="F401" s="65"/>
    </row>
    <row r="402" spans="4:6" ht="15" x14ac:dyDescent="0.25">
      <c r="D402" s="65"/>
      <c r="E402" s="65"/>
      <c r="F402" s="65"/>
    </row>
    <row r="403" spans="4:6" ht="15" x14ac:dyDescent="0.25">
      <c r="D403" s="65"/>
      <c r="E403" s="65"/>
      <c r="F403" s="65"/>
    </row>
    <row r="404" spans="4:6" ht="15" x14ac:dyDescent="0.25">
      <c r="D404" s="65"/>
      <c r="E404" s="65"/>
      <c r="F404" s="65"/>
    </row>
    <row r="405" spans="4:6" ht="15" x14ac:dyDescent="0.25">
      <c r="D405" s="65"/>
      <c r="E405" s="65"/>
      <c r="F405" s="65"/>
    </row>
    <row r="406" spans="4:6" ht="15" x14ac:dyDescent="0.25">
      <c r="D406" s="65"/>
      <c r="E406" s="65"/>
      <c r="F406" s="65"/>
    </row>
    <row r="407" spans="4:6" ht="15" x14ac:dyDescent="0.25">
      <c r="D407" s="65"/>
      <c r="E407" s="65"/>
      <c r="F407" s="65"/>
    </row>
    <row r="408" spans="4:6" ht="15" x14ac:dyDescent="0.25">
      <c r="D408" s="65"/>
      <c r="E408" s="65"/>
      <c r="F408" s="65"/>
    </row>
    <row r="409" spans="4:6" ht="15" x14ac:dyDescent="0.25">
      <c r="D409" s="65"/>
      <c r="E409" s="65"/>
      <c r="F409" s="65"/>
    </row>
    <row r="410" spans="4:6" ht="15" x14ac:dyDescent="0.25">
      <c r="D410" s="65"/>
      <c r="E410" s="65"/>
      <c r="F410" s="65"/>
    </row>
    <row r="411" spans="4:6" ht="15" x14ac:dyDescent="0.25">
      <c r="D411" s="65"/>
      <c r="E411" s="65"/>
      <c r="F411" s="65"/>
    </row>
    <row r="412" spans="4:6" ht="15" x14ac:dyDescent="0.25">
      <c r="D412" s="65"/>
      <c r="E412" s="65"/>
      <c r="F412" s="65"/>
    </row>
    <row r="413" spans="4:6" ht="15" x14ac:dyDescent="0.25">
      <c r="D413" s="65"/>
      <c r="E413" s="65"/>
      <c r="F413" s="65"/>
    </row>
    <row r="414" spans="4:6" ht="15" x14ac:dyDescent="0.25">
      <c r="D414" s="65"/>
      <c r="E414" s="65"/>
      <c r="F414" s="65"/>
    </row>
    <row r="415" spans="4:6" ht="15" x14ac:dyDescent="0.25">
      <c r="D415" s="65"/>
      <c r="E415" s="65"/>
      <c r="F415" s="65"/>
    </row>
    <row r="416" spans="4:6" ht="15" x14ac:dyDescent="0.25">
      <c r="D416" s="65"/>
      <c r="E416" s="65"/>
      <c r="F416" s="65"/>
    </row>
    <row r="417" spans="4:6" ht="15" x14ac:dyDescent="0.25">
      <c r="D417" s="65"/>
      <c r="E417" s="65"/>
      <c r="F417" s="65"/>
    </row>
    <row r="418" spans="4:6" ht="15" x14ac:dyDescent="0.25">
      <c r="D418" s="65"/>
      <c r="E418" s="65"/>
      <c r="F418" s="65"/>
    </row>
    <row r="419" spans="4:6" ht="15" x14ac:dyDescent="0.25">
      <c r="D419" s="65"/>
      <c r="E419" s="65"/>
      <c r="F419" s="65"/>
    </row>
    <row r="420" spans="4:6" ht="15" x14ac:dyDescent="0.25">
      <c r="D420" s="65"/>
      <c r="E420" s="65"/>
      <c r="F420" s="65"/>
    </row>
    <row r="421" spans="4:6" ht="15" x14ac:dyDescent="0.25">
      <c r="D421" s="65"/>
      <c r="E421" s="65"/>
      <c r="F421" s="65"/>
    </row>
    <row r="422" spans="4:6" ht="15" x14ac:dyDescent="0.25">
      <c r="D422" s="65"/>
      <c r="E422" s="65"/>
      <c r="F422" s="65"/>
    </row>
    <row r="423" spans="4:6" ht="15" x14ac:dyDescent="0.25">
      <c r="D423" s="65"/>
      <c r="E423" s="65"/>
      <c r="F423" s="65"/>
    </row>
    <row r="424" spans="4:6" ht="15" x14ac:dyDescent="0.25">
      <c r="D424" s="65"/>
      <c r="E424" s="65"/>
      <c r="F424" s="65"/>
    </row>
    <row r="425" spans="4:6" ht="15" x14ac:dyDescent="0.25">
      <c r="D425" s="65"/>
      <c r="E425" s="65"/>
      <c r="F425" s="65"/>
    </row>
    <row r="426" spans="4:6" ht="15" x14ac:dyDescent="0.25">
      <c r="D426" s="65"/>
      <c r="E426" s="65"/>
      <c r="F426" s="65"/>
    </row>
    <row r="427" spans="4:6" ht="15" x14ac:dyDescent="0.25">
      <c r="D427" s="65"/>
      <c r="E427" s="65"/>
      <c r="F427" s="65"/>
    </row>
    <row r="428" spans="4:6" ht="15" x14ac:dyDescent="0.25">
      <c r="D428" s="65"/>
      <c r="E428" s="65"/>
      <c r="F428" s="65"/>
    </row>
    <row r="429" spans="4:6" ht="15" x14ac:dyDescent="0.25">
      <c r="D429" s="65"/>
      <c r="E429" s="65"/>
      <c r="F429" s="65"/>
    </row>
    <row r="430" spans="4:6" ht="15" x14ac:dyDescent="0.25">
      <c r="D430" s="65"/>
      <c r="E430" s="65"/>
      <c r="F430" s="65"/>
    </row>
    <row r="431" spans="4:6" ht="15" x14ac:dyDescent="0.25">
      <c r="D431" s="65"/>
      <c r="E431" s="65"/>
      <c r="F431" s="65"/>
    </row>
    <row r="432" spans="4:6" ht="15" x14ac:dyDescent="0.25">
      <c r="D432" s="65"/>
      <c r="E432" s="65"/>
      <c r="F432" s="65"/>
    </row>
    <row r="433" spans="4:6" ht="15" x14ac:dyDescent="0.25">
      <c r="D433" s="65"/>
      <c r="E433" s="65"/>
      <c r="F433" s="65"/>
    </row>
    <row r="434" spans="4:6" ht="15" x14ac:dyDescent="0.25">
      <c r="D434" s="65"/>
      <c r="E434" s="65"/>
      <c r="F434" s="65"/>
    </row>
    <row r="435" spans="4:6" ht="15" x14ac:dyDescent="0.25">
      <c r="D435" s="65"/>
      <c r="E435" s="65"/>
      <c r="F435" s="65"/>
    </row>
    <row r="436" spans="4:6" ht="15" x14ac:dyDescent="0.25">
      <c r="D436" s="65"/>
      <c r="E436" s="65"/>
      <c r="F436" s="65"/>
    </row>
    <row r="437" spans="4:6" ht="15" x14ac:dyDescent="0.25">
      <c r="D437" s="65"/>
      <c r="E437" s="65"/>
      <c r="F437" s="65"/>
    </row>
    <row r="438" spans="4:6" ht="15" x14ac:dyDescent="0.25">
      <c r="D438" s="65"/>
      <c r="E438" s="65"/>
      <c r="F438" s="65"/>
    </row>
    <row r="439" spans="4:6" ht="15" x14ac:dyDescent="0.25">
      <c r="D439" s="65"/>
      <c r="E439" s="65"/>
      <c r="F439" s="65"/>
    </row>
    <row r="440" spans="4:6" ht="15" x14ac:dyDescent="0.25">
      <c r="D440" s="65"/>
      <c r="E440" s="65"/>
      <c r="F440" s="65"/>
    </row>
    <row r="441" spans="4:6" ht="15" x14ac:dyDescent="0.25">
      <c r="D441" s="65"/>
      <c r="E441" s="65"/>
      <c r="F441" s="65"/>
    </row>
    <row r="442" spans="4:6" ht="15" x14ac:dyDescent="0.25">
      <c r="D442" s="65"/>
      <c r="E442" s="65"/>
      <c r="F442" s="65"/>
    </row>
    <row r="443" spans="4:6" ht="15" x14ac:dyDescent="0.25">
      <c r="D443" s="65"/>
      <c r="E443" s="65"/>
      <c r="F443" s="65"/>
    </row>
    <row r="444" spans="4:6" ht="15" x14ac:dyDescent="0.25">
      <c r="D444" s="65"/>
      <c r="E444" s="65"/>
      <c r="F444" s="65"/>
    </row>
    <row r="445" spans="4:6" ht="15" x14ac:dyDescent="0.25">
      <c r="D445" s="65"/>
      <c r="E445" s="65"/>
      <c r="F445" s="65"/>
    </row>
    <row r="446" spans="4:6" ht="15" x14ac:dyDescent="0.25">
      <c r="D446" s="65"/>
      <c r="E446" s="65"/>
      <c r="F446" s="65"/>
    </row>
    <row r="447" spans="4:6" ht="15" x14ac:dyDescent="0.25">
      <c r="D447" s="65"/>
      <c r="E447" s="65"/>
      <c r="F447" s="65"/>
    </row>
    <row r="448" spans="4:6" ht="15" x14ac:dyDescent="0.25">
      <c r="D448" s="65"/>
      <c r="E448" s="65"/>
      <c r="F448" s="65"/>
    </row>
    <row r="449" spans="4:6" ht="15" x14ac:dyDescent="0.25">
      <c r="D449" s="65"/>
      <c r="E449" s="65"/>
      <c r="F449" s="65"/>
    </row>
    <row r="450" spans="4:6" ht="15" x14ac:dyDescent="0.25">
      <c r="D450" s="65"/>
      <c r="E450" s="65"/>
      <c r="F450" s="65"/>
    </row>
    <row r="451" spans="4:6" ht="15" x14ac:dyDescent="0.25">
      <c r="D451" s="65"/>
      <c r="E451" s="65"/>
      <c r="F451" s="65"/>
    </row>
    <row r="452" spans="4:6" ht="15" x14ac:dyDescent="0.25">
      <c r="D452" s="65"/>
      <c r="E452" s="65"/>
      <c r="F452" s="65"/>
    </row>
    <row r="453" spans="4:6" ht="15" x14ac:dyDescent="0.25">
      <c r="D453" s="65"/>
      <c r="E453" s="65"/>
      <c r="F453" s="65"/>
    </row>
    <row r="454" spans="4:6" ht="15" x14ac:dyDescent="0.25">
      <c r="D454" s="65"/>
      <c r="E454" s="65"/>
      <c r="F454" s="65"/>
    </row>
    <row r="455" spans="4:6" ht="15" x14ac:dyDescent="0.25">
      <c r="D455" s="65"/>
      <c r="E455" s="65"/>
      <c r="F455" s="65"/>
    </row>
    <row r="456" spans="4:6" ht="15" x14ac:dyDescent="0.25">
      <c r="D456" s="65"/>
      <c r="E456" s="65"/>
      <c r="F456" s="65"/>
    </row>
    <row r="457" spans="4:6" ht="15" x14ac:dyDescent="0.25">
      <c r="D457" s="65"/>
      <c r="E457" s="65"/>
      <c r="F457" s="65"/>
    </row>
    <row r="458" spans="4:6" ht="15" x14ac:dyDescent="0.25">
      <c r="D458" s="65"/>
      <c r="E458" s="65"/>
      <c r="F458" s="65"/>
    </row>
    <row r="459" spans="4:6" ht="15" x14ac:dyDescent="0.25">
      <c r="D459" s="65"/>
      <c r="E459" s="65"/>
      <c r="F459" s="65"/>
    </row>
    <row r="460" spans="4:6" ht="15" x14ac:dyDescent="0.25">
      <c r="D460" s="65"/>
      <c r="E460" s="65"/>
      <c r="F460" s="65"/>
    </row>
    <row r="461" spans="4:6" ht="15" x14ac:dyDescent="0.25">
      <c r="D461" s="65"/>
      <c r="E461" s="65"/>
      <c r="F461" s="65"/>
    </row>
    <row r="462" spans="4:6" ht="15" x14ac:dyDescent="0.25">
      <c r="D462" s="65"/>
      <c r="E462" s="65"/>
      <c r="F462" s="65"/>
    </row>
    <row r="463" spans="4:6" ht="15" x14ac:dyDescent="0.25">
      <c r="D463" s="65"/>
      <c r="E463" s="65"/>
      <c r="F463" s="65"/>
    </row>
    <row r="464" spans="4:6" ht="15" x14ac:dyDescent="0.25">
      <c r="D464" s="65"/>
      <c r="E464" s="65"/>
      <c r="F464" s="65"/>
    </row>
    <row r="465" spans="4:6" ht="15" x14ac:dyDescent="0.25">
      <c r="D465" s="65"/>
      <c r="E465" s="65"/>
      <c r="F465" s="65"/>
    </row>
    <row r="466" spans="4:6" ht="15" x14ac:dyDescent="0.25">
      <c r="D466" s="65"/>
      <c r="E466" s="65"/>
      <c r="F466" s="65"/>
    </row>
    <row r="467" spans="4:6" ht="15" x14ac:dyDescent="0.25">
      <c r="D467" s="65"/>
      <c r="E467" s="65"/>
      <c r="F467" s="65"/>
    </row>
    <row r="468" spans="4:6" ht="15" x14ac:dyDescent="0.25">
      <c r="D468" s="65"/>
      <c r="E468" s="65"/>
      <c r="F468" s="65"/>
    </row>
    <row r="469" spans="4:6" ht="15" x14ac:dyDescent="0.25">
      <c r="D469" s="65"/>
      <c r="E469" s="65"/>
      <c r="F469" s="65"/>
    </row>
    <row r="470" spans="4:6" ht="15" x14ac:dyDescent="0.25">
      <c r="D470" s="65"/>
      <c r="E470" s="65"/>
      <c r="F470" s="65"/>
    </row>
    <row r="471" spans="4:6" ht="15" x14ac:dyDescent="0.25">
      <c r="D471" s="65"/>
      <c r="E471" s="65"/>
      <c r="F471" s="65"/>
    </row>
    <row r="472" spans="4:6" ht="15" x14ac:dyDescent="0.25">
      <c r="D472" s="65"/>
      <c r="E472" s="65"/>
      <c r="F472" s="65"/>
    </row>
    <row r="473" spans="4:6" ht="15" x14ac:dyDescent="0.25">
      <c r="D473" s="65"/>
      <c r="E473" s="65"/>
      <c r="F473" s="65"/>
    </row>
    <row r="474" spans="4:6" ht="15" x14ac:dyDescent="0.25">
      <c r="D474" s="65"/>
      <c r="E474" s="65"/>
      <c r="F474" s="65"/>
    </row>
    <row r="475" spans="4:6" ht="15" x14ac:dyDescent="0.25">
      <c r="D475" s="65"/>
      <c r="E475" s="65"/>
      <c r="F475" s="65"/>
    </row>
    <row r="476" spans="4:6" ht="15" x14ac:dyDescent="0.25">
      <c r="D476" s="65"/>
      <c r="E476" s="65"/>
      <c r="F476" s="65"/>
    </row>
    <row r="477" spans="4:6" ht="15" x14ac:dyDescent="0.25">
      <c r="D477" s="65"/>
      <c r="E477" s="65"/>
      <c r="F477" s="65"/>
    </row>
    <row r="478" spans="4:6" ht="15" x14ac:dyDescent="0.25">
      <c r="D478" s="65"/>
      <c r="E478" s="65"/>
      <c r="F478" s="65"/>
    </row>
    <row r="479" spans="4:6" ht="15" x14ac:dyDescent="0.25">
      <c r="D479" s="65"/>
      <c r="E479" s="65"/>
      <c r="F479" s="65"/>
    </row>
    <row r="480" spans="4:6" ht="15" x14ac:dyDescent="0.25">
      <c r="D480" s="65"/>
      <c r="E480" s="65"/>
      <c r="F480" s="65"/>
    </row>
    <row r="481" spans="4:6" ht="15" x14ac:dyDescent="0.25">
      <c r="D481" s="65"/>
      <c r="E481" s="65"/>
      <c r="F481" s="65"/>
    </row>
    <row r="482" spans="4:6" ht="15" x14ac:dyDescent="0.25">
      <c r="D482" s="65"/>
      <c r="E482" s="65"/>
      <c r="F482" s="65"/>
    </row>
    <row r="483" spans="4:6" ht="15" x14ac:dyDescent="0.25">
      <c r="D483" s="65"/>
      <c r="E483" s="65"/>
      <c r="F483" s="65"/>
    </row>
    <row r="484" spans="4:6" ht="15" x14ac:dyDescent="0.25">
      <c r="D484" s="65"/>
      <c r="E484" s="65"/>
      <c r="F484" s="65"/>
    </row>
    <row r="485" spans="4:6" ht="15" x14ac:dyDescent="0.25">
      <c r="D485" s="65"/>
      <c r="E485" s="65"/>
      <c r="F485" s="65"/>
    </row>
    <row r="486" spans="4:6" ht="15" x14ac:dyDescent="0.25">
      <c r="D486" s="65"/>
      <c r="E486" s="65"/>
      <c r="F486" s="65"/>
    </row>
    <row r="487" spans="4:6" ht="15" x14ac:dyDescent="0.25">
      <c r="D487" s="65"/>
      <c r="E487" s="65"/>
      <c r="F487" s="65"/>
    </row>
    <row r="488" spans="4:6" ht="15" x14ac:dyDescent="0.25">
      <c r="D488" s="65"/>
      <c r="E488" s="65"/>
      <c r="F488" s="65"/>
    </row>
    <row r="489" spans="4:6" ht="15" x14ac:dyDescent="0.25">
      <c r="D489" s="65"/>
      <c r="E489" s="65"/>
      <c r="F489" s="65"/>
    </row>
    <row r="490" spans="4:6" ht="15" x14ac:dyDescent="0.25">
      <c r="D490" s="65"/>
      <c r="E490" s="65"/>
      <c r="F490" s="65"/>
    </row>
    <row r="491" spans="4:6" ht="15" x14ac:dyDescent="0.25">
      <c r="D491" s="65"/>
      <c r="E491" s="65"/>
      <c r="F491" s="65"/>
    </row>
    <row r="492" spans="4:6" ht="15" x14ac:dyDescent="0.25">
      <c r="D492" s="65"/>
      <c r="E492" s="65"/>
      <c r="F492" s="65"/>
    </row>
    <row r="493" spans="4:6" ht="15" x14ac:dyDescent="0.25">
      <c r="D493" s="65"/>
      <c r="E493" s="65"/>
      <c r="F493" s="65"/>
    </row>
    <row r="494" spans="4:6" ht="15" x14ac:dyDescent="0.25">
      <c r="D494" s="65"/>
      <c r="E494" s="65"/>
      <c r="F494" s="65"/>
    </row>
    <row r="495" spans="4:6" ht="15" x14ac:dyDescent="0.25">
      <c r="D495" s="65"/>
      <c r="E495" s="65"/>
      <c r="F495" s="65"/>
    </row>
    <row r="496" spans="4:6" ht="15" x14ac:dyDescent="0.25">
      <c r="D496" s="65"/>
      <c r="E496" s="65"/>
      <c r="F496" s="65"/>
    </row>
    <row r="497" spans="4:6" ht="15" x14ac:dyDescent="0.25">
      <c r="D497" s="65"/>
      <c r="E497" s="65"/>
      <c r="F497" s="65"/>
    </row>
    <row r="498" spans="4:6" ht="15" x14ac:dyDescent="0.25">
      <c r="D498" s="65"/>
      <c r="E498" s="65"/>
      <c r="F498" s="65"/>
    </row>
    <row r="499" spans="4:6" ht="15" x14ac:dyDescent="0.25">
      <c r="D499" s="65"/>
      <c r="E499" s="65"/>
      <c r="F499" s="65"/>
    </row>
    <row r="500" spans="4:6" ht="15" x14ac:dyDescent="0.25">
      <c r="D500" s="65"/>
      <c r="E500" s="65"/>
      <c r="F500" s="65"/>
    </row>
    <row r="501" spans="4:6" ht="15" x14ac:dyDescent="0.25">
      <c r="D501" s="65"/>
      <c r="E501" s="65"/>
      <c r="F501" s="65"/>
    </row>
    <row r="502" spans="4:6" ht="15" x14ac:dyDescent="0.25">
      <c r="D502" s="65"/>
      <c r="E502" s="65"/>
      <c r="F502" s="65"/>
    </row>
    <row r="503" spans="4:6" ht="15" x14ac:dyDescent="0.25">
      <c r="D503" s="65"/>
      <c r="E503" s="65"/>
      <c r="F503" s="65"/>
    </row>
    <row r="504" spans="4:6" ht="15" x14ac:dyDescent="0.25">
      <c r="D504" s="65"/>
      <c r="E504" s="65"/>
      <c r="F504" s="65"/>
    </row>
    <row r="505" spans="4:6" ht="15" x14ac:dyDescent="0.25">
      <c r="D505" s="65"/>
      <c r="E505" s="65"/>
      <c r="F505" s="65"/>
    </row>
    <row r="506" spans="4:6" ht="15" x14ac:dyDescent="0.25">
      <c r="D506" s="65"/>
      <c r="E506" s="65"/>
      <c r="F506" s="65"/>
    </row>
    <row r="507" spans="4:6" ht="15" x14ac:dyDescent="0.25">
      <c r="D507" s="65"/>
      <c r="E507" s="65"/>
      <c r="F507" s="65"/>
    </row>
    <row r="508" spans="4:6" ht="15" x14ac:dyDescent="0.25">
      <c r="D508" s="65"/>
      <c r="E508" s="65"/>
      <c r="F508" s="65"/>
    </row>
    <row r="509" spans="4:6" ht="15" x14ac:dyDescent="0.25">
      <c r="D509" s="65"/>
      <c r="E509" s="65"/>
      <c r="F509" s="65"/>
    </row>
    <row r="510" spans="4:6" ht="15" x14ac:dyDescent="0.25">
      <c r="D510" s="65"/>
      <c r="E510" s="65"/>
      <c r="F510" s="65"/>
    </row>
    <row r="511" spans="4:6" ht="15" x14ac:dyDescent="0.25">
      <c r="D511" s="65"/>
      <c r="E511" s="65"/>
      <c r="F511" s="65"/>
    </row>
    <row r="512" spans="4:6" ht="15" x14ac:dyDescent="0.25">
      <c r="D512" s="65"/>
      <c r="E512" s="65"/>
      <c r="F512" s="65"/>
    </row>
    <row r="513" spans="4:6" ht="15" x14ac:dyDescent="0.25">
      <c r="D513" s="65"/>
      <c r="E513" s="65"/>
      <c r="F513" s="65"/>
    </row>
    <row r="514" spans="4:6" ht="15" x14ac:dyDescent="0.25">
      <c r="D514" s="65"/>
      <c r="E514" s="65"/>
      <c r="F514" s="65"/>
    </row>
    <row r="515" spans="4:6" ht="15" x14ac:dyDescent="0.25">
      <c r="D515" s="65"/>
      <c r="E515" s="65"/>
      <c r="F515" s="65"/>
    </row>
    <row r="516" spans="4:6" ht="15" x14ac:dyDescent="0.25">
      <c r="D516" s="65"/>
      <c r="E516" s="65"/>
      <c r="F516" s="65"/>
    </row>
    <row r="517" spans="4:6" ht="15" x14ac:dyDescent="0.25">
      <c r="D517" s="65"/>
      <c r="E517" s="65"/>
      <c r="F517" s="65"/>
    </row>
    <row r="518" spans="4:6" ht="15" x14ac:dyDescent="0.25">
      <c r="D518" s="65"/>
      <c r="E518" s="65"/>
      <c r="F518" s="65"/>
    </row>
    <row r="519" spans="4:6" ht="15" x14ac:dyDescent="0.25">
      <c r="D519" s="65"/>
      <c r="E519" s="65"/>
      <c r="F519" s="65"/>
    </row>
    <row r="520" spans="4:6" ht="15" x14ac:dyDescent="0.25">
      <c r="D520" s="65"/>
      <c r="E520" s="65"/>
      <c r="F520" s="65"/>
    </row>
    <row r="521" spans="4:6" ht="15" x14ac:dyDescent="0.25">
      <c r="D521" s="65"/>
      <c r="E521" s="65"/>
      <c r="F521" s="65"/>
    </row>
    <row r="522" spans="4:6" ht="15" x14ac:dyDescent="0.25">
      <c r="D522" s="65"/>
      <c r="E522" s="65"/>
      <c r="F522" s="65"/>
    </row>
    <row r="523" spans="4:6" ht="15" x14ac:dyDescent="0.25">
      <c r="D523" s="65"/>
      <c r="E523" s="65"/>
      <c r="F523" s="65"/>
    </row>
    <row r="524" spans="4:6" ht="15" x14ac:dyDescent="0.25">
      <c r="D524" s="65"/>
      <c r="E524" s="65"/>
      <c r="F524" s="65"/>
    </row>
    <row r="525" spans="4:6" ht="15" x14ac:dyDescent="0.25">
      <c r="D525" s="65"/>
      <c r="E525" s="65"/>
      <c r="F525" s="65"/>
    </row>
    <row r="526" spans="4:6" ht="15" x14ac:dyDescent="0.25">
      <c r="D526" s="65"/>
      <c r="E526" s="65"/>
      <c r="F526" s="65"/>
    </row>
    <row r="527" spans="4:6" ht="15" x14ac:dyDescent="0.25">
      <c r="D527" s="65"/>
      <c r="E527" s="65"/>
      <c r="F527" s="65"/>
    </row>
    <row r="528" spans="4:6" ht="15" x14ac:dyDescent="0.25">
      <c r="D528" s="65"/>
      <c r="E528" s="65"/>
      <c r="F528" s="65"/>
    </row>
    <row r="529" spans="4:6" ht="15" x14ac:dyDescent="0.25">
      <c r="D529" s="65"/>
      <c r="E529" s="65"/>
      <c r="F529" s="65"/>
    </row>
    <row r="530" spans="4:6" ht="15" x14ac:dyDescent="0.25">
      <c r="D530" s="65"/>
      <c r="E530" s="65"/>
      <c r="F530" s="65"/>
    </row>
    <row r="531" spans="4:6" ht="15" x14ac:dyDescent="0.25">
      <c r="D531" s="65"/>
      <c r="E531" s="65"/>
      <c r="F531" s="65"/>
    </row>
    <row r="532" spans="4:6" ht="15" x14ac:dyDescent="0.25">
      <c r="D532" s="65"/>
      <c r="E532" s="65"/>
      <c r="F532" s="65"/>
    </row>
  </sheetData>
  <pageMargins left="0.7" right="0.7" top="0.75" bottom="0.75" header="0.3" footer="0.3"/>
  <pageSetup paperSize="9" scale="1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C1:AY527"/>
  <sheetViews>
    <sheetView showGridLines="0" showRowColHeaders="0" view="pageBreakPreview" zoomScale="80" zoomScaleNormal="80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2" width="2.625" style="38" customWidth="1"/>
    <col min="3" max="3" width="7.125" style="38" customWidth="1"/>
    <col min="4" max="4" width="14.875" style="38" customWidth="1"/>
    <col min="5" max="5" width="16.75" style="38" customWidth="1"/>
    <col min="6" max="6" width="10" style="38" customWidth="1"/>
    <col min="7" max="7" width="13.5" style="39" customWidth="1"/>
    <col min="8" max="8" width="12.75" style="40" customWidth="1"/>
    <col min="9" max="9" width="10.25" style="41" customWidth="1"/>
    <col min="10" max="11" width="10.125" style="41" bestFit="1" customWidth="1"/>
    <col min="12" max="12" width="10.125" style="41" customWidth="1"/>
    <col min="13" max="13" width="11.375" style="42" customWidth="1"/>
    <col min="14" max="14" width="10.125" style="42" customWidth="1" outlineLevel="1"/>
    <col min="15" max="15" width="11.75" style="38" customWidth="1" outlineLevel="1"/>
    <col min="16" max="16" width="11.25" style="38" customWidth="1" outlineLevel="1"/>
    <col min="17" max="17" width="9.25" style="38" customWidth="1" outlineLevel="1"/>
    <col min="18" max="18" width="12.75" style="38" customWidth="1" outlineLevel="1"/>
    <col min="19" max="19" width="7.25" style="38" customWidth="1" outlineLevel="1"/>
    <col min="20" max="21" width="10.5" style="38" customWidth="1" outlineLevel="1"/>
    <col min="22" max="22" width="1.625" style="38" customWidth="1"/>
    <col min="23" max="23" width="10.5" style="38"/>
    <col min="24" max="31" width="10.5" style="38" customWidth="1" outlineLevel="1"/>
    <col min="32" max="32" width="1.625" style="38" customWidth="1"/>
    <col min="33" max="33" width="10.5" style="38"/>
    <col min="34" max="41" width="10.5" style="38" customWidth="1" outlineLevel="1"/>
    <col min="42" max="42" width="1.625" style="38" customWidth="1"/>
    <col min="43" max="43" width="10.5" style="38"/>
    <col min="44" max="51" width="10.5" style="38" customWidth="1" outlineLevel="1"/>
    <col min="52" max="52" width="2.75" style="38" customWidth="1"/>
    <col min="53" max="16384" width="10.5" style="38"/>
  </cols>
  <sheetData>
    <row r="1" spans="3:51" x14ac:dyDescent="0.25">
      <c r="I1" s="41" t="s">
        <v>45</v>
      </c>
    </row>
    <row r="2" spans="3:51" ht="18.75" x14ac:dyDescent="0.25">
      <c r="D2" s="384" t="s">
        <v>103</v>
      </c>
    </row>
    <row r="3" spans="3:51" ht="30" customHeight="1" x14ac:dyDescent="0.25">
      <c r="G3" s="86"/>
      <c r="H3" s="87"/>
      <c r="I3" s="87"/>
    </row>
    <row r="4" spans="3:51" x14ac:dyDescent="0.25">
      <c r="D4" s="43" t="s">
        <v>42</v>
      </c>
      <c r="H4" s="41"/>
      <c r="K4" s="66"/>
    </row>
    <row r="5" spans="3:51" ht="15" thickBot="1" x14ac:dyDescent="0.3">
      <c r="D5" s="43"/>
      <c r="H5" s="41"/>
    </row>
    <row r="6" spans="3:51" ht="24.95" customHeight="1" thickTop="1" thickBot="1" x14ac:dyDescent="0.3">
      <c r="C6" s="37"/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V6" s="295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F6" s="295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P6" s="295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1" s="49" customFormat="1" ht="28.5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282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</row>
    <row r="8" spans="3:51" s="52" customFormat="1" ht="33.75" customHeight="1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0</v>
      </c>
      <c r="AS8" s="363">
        <f t="shared" si="6"/>
        <v>0</v>
      </c>
      <c r="AT8" s="363">
        <f t="shared" si="6"/>
        <v>0</v>
      </c>
      <c r="AU8" s="363">
        <f t="shared" si="6"/>
        <v>0</v>
      </c>
      <c r="AV8" s="363">
        <f>+SUM(AV9:AV29)</f>
        <v>0</v>
      </c>
      <c r="AW8" s="363">
        <f t="shared" ref="AW8:AX8" si="7">+SUM(AW9:AW29)</f>
        <v>0</v>
      </c>
      <c r="AX8" s="363">
        <f t="shared" si="7"/>
        <v>0</v>
      </c>
      <c r="AY8" s="364">
        <f>+SUM(AY9:AY29)</f>
        <v>0</v>
      </c>
    </row>
    <row r="9" spans="3:51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/>
      <c r="AS9" s="289"/>
      <c r="AT9" s="289"/>
      <c r="AU9" s="289"/>
      <c r="AV9" s="289"/>
      <c r="AW9" s="289"/>
      <c r="AX9" s="289"/>
      <c r="AY9" s="290"/>
    </row>
    <row r="10" spans="3:51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</row>
    <row r="11" spans="3:51" s="49" customFormat="1" ht="18" customHeight="1" x14ac:dyDescent="0.25">
      <c r="C11" s="56">
        <f t="shared" ref="C11:C28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</row>
    <row r="12" spans="3:51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</row>
    <row r="13" spans="3:51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</row>
    <row r="14" spans="3:51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</row>
    <row r="15" spans="3:51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</row>
    <row r="16" spans="3:51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</row>
    <row r="17" spans="3:51" s="49" customFormat="1" ht="18" customHeight="1" x14ac:dyDescent="0.25"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</row>
    <row r="18" spans="3:51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</row>
    <row r="19" spans="3:51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</row>
    <row r="20" spans="3:51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</row>
    <row r="21" spans="3:51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</row>
    <row r="22" spans="3:51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</row>
    <row r="23" spans="3:51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</row>
    <row r="24" spans="3:51" s="49" customFormat="1" ht="15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</row>
    <row r="25" spans="3:51" s="49" customFormat="1" ht="15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</row>
    <row r="26" spans="3:51" s="49" customFormat="1" ht="15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</row>
    <row r="27" spans="3:51" s="49" customFormat="1" ht="15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</row>
    <row r="28" spans="3:51" s="49" customFormat="1" ht="15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</row>
    <row r="29" spans="3:51" s="49" customFormat="1" ht="15.75" x14ac:dyDescent="0.25">
      <c r="D29" s="60"/>
      <c r="E29" s="60"/>
      <c r="F29" s="60"/>
      <c r="G29" s="50"/>
      <c r="H29" s="61"/>
      <c r="I29" s="62"/>
      <c r="J29" s="62"/>
      <c r="K29" s="62"/>
      <c r="L29" s="62"/>
      <c r="M29" s="63"/>
      <c r="N29" s="63"/>
      <c r="O29" s="63"/>
      <c r="P29" s="63"/>
      <c r="Q29" s="63"/>
    </row>
    <row r="30" spans="3:51" s="49" customFormat="1" ht="15.75" x14ac:dyDescent="0.25">
      <c r="D30" s="60"/>
      <c r="E30" s="60"/>
      <c r="F30" s="60"/>
      <c r="G30" s="50"/>
      <c r="H30" s="61"/>
      <c r="I30" s="44"/>
      <c r="J30" s="44"/>
      <c r="K30" s="44"/>
      <c r="L30" s="44"/>
      <c r="M30" s="64"/>
      <c r="N30" s="64"/>
    </row>
    <row r="31" spans="3:51" s="49" customFormat="1" ht="15.75" x14ac:dyDescent="0.25">
      <c r="D31" s="60"/>
      <c r="E31" s="60"/>
      <c r="F31" s="60"/>
      <c r="G31" s="50"/>
      <c r="H31" s="61"/>
      <c r="I31" s="44"/>
      <c r="J31" s="44"/>
      <c r="K31" s="44"/>
      <c r="L31" s="44"/>
      <c r="M31" s="64"/>
      <c r="N31" s="64"/>
    </row>
    <row r="32" spans="3:51" s="49" customFormat="1" ht="15.75" x14ac:dyDescent="0.25">
      <c r="D32" s="60"/>
      <c r="E32" s="60"/>
      <c r="F32" s="60"/>
      <c r="G32" s="50"/>
      <c r="H32" s="61"/>
      <c r="I32" s="44"/>
      <c r="J32" s="44"/>
      <c r="K32" s="44"/>
      <c r="L32" s="44"/>
      <c r="M32" s="64"/>
      <c r="N32" s="64"/>
    </row>
    <row r="33" spans="4:14" s="49" customFormat="1" ht="15.75" x14ac:dyDescent="0.25">
      <c r="D33" s="60"/>
      <c r="E33" s="60"/>
      <c r="F33" s="60"/>
      <c r="G33" s="50"/>
      <c r="H33" s="61"/>
      <c r="I33" s="44"/>
      <c r="J33" s="44"/>
      <c r="K33" s="44"/>
      <c r="L33" s="44"/>
      <c r="M33" s="64"/>
      <c r="N33" s="64"/>
    </row>
    <row r="34" spans="4:14" s="49" customFormat="1" ht="15.75" x14ac:dyDescent="0.25">
      <c r="D34" s="60"/>
      <c r="E34" s="60"/>
      <c r="F34" s="60"/>
      <c r="G34" s="50"/>
      <c r="H34" s="61"/>
      <c r="I34" s="44"/>
      <c r="J34" s="44"/>
      <c r="K34" s="44"/>
      <c r="L34" s="44"/>
      <c r="M34" s="64"/>
      <c r="N34" s="64"/>
    </row>
    <row r="35" spans="4:14" s="49" customFormat="1" ht="15.75" x14ac:dyDescent="0.25">
      <c r="D35" s="60"/>
      <c r="E35" s="60"/>
      <c r="F35" s="60"/>
      <c r="G35" s="50"/>
      <c r="H35" s="61"/>
      <c r="I35" s="44"/>
      <c r="J35" s="44"/>
      <c r="K35" s="44"/>
      <c r="L35" s="44"/>
      <c r="M35" s="64"/>
      <c r="N35" s="64"/>
    </row>
    <row r="36" spans="4:14" s="49" customFormat="1" ht="15.75" x14ac:dyDescent="0.25">
      <c r="D36" s="60"/>
      <c r="E36" s="60"/>
      <c r="F36" s="60"/>
      <c r="G36" s="50"/>
      <c r="H36" s="61"/>
      <c r="I36" s="44"/>
      <c r="J36" s="44"/>
      <c r="K36" s="44"/>
      <c r="L36" s="44"/>
      <c r="M36" s="64"/>
      <c r="N36" s="64"/>
    </row>
    <row r="37" spans="4:14" s="49" customFormat="1" ht="15.75" x14ac:dyDescent="0.25">
      <c r="D37" s="60"/>
      <c r="E37" s="60"/>
      <c r="F37" s="60"/>
      <c r="G37" s="50"/>
      <c r="H37" s="61"/>
      <c r="I37" s="44"/>
      <c r="J37" s="44"/>
      <c r="K37" s="44"/>
      <c r="L37" s="44"/>
      <c r="M37" s="64"/>
      <c r="N37" s="64"/>
    </row>
    <row r="38" spans="4:14" s="49" customFormat="1" ht="15.75" x14ac:dyDescent="0.25">
      <c r="D38" s="60"/>
      <c r="E38" s="60"/>
      <c r="F38" s="60"/>
      <c r="G38" s="50"/>
      <c r="H38" s="61"/>
      <c r="I38" s="44"/>
      <c r="J38" s="44"/>
      <c r="K38" s="44"/>
      <c r="L38" s="44"/>
      <c r="M38" s="64"/>
      <c r="N38" s="64"/>
    </row>
    <row r="39" spans="4:14" s="49" customFormat="1" ht="15.75" x14ac:dyDescent="0.25">
      <c r="D39" s="60"/>
      <c r="E39" s="60"/>
      <c r="F39" s="60"/>
      <c r="G39" s="50"/>
      <c r="H39" s="61"/>
      <c r="I39" s="44"/>
      <c r="J39" s="44"/>
      <c r="K39" s="44"/>
      <c r="L39" s="44"/>
      <c r="M39" s="64"/>
      <c r="N39" s="64"/>
    </row>
    <row r="40" spans="4:14" s="49" customFormat="1" ht="15.75" x14ac:dyDescent="0.25">
      <c r="D40" s="60"/>
      <c r="E40" s="60"/>
      <c r="F40" s="60"/>
      <c r="G40" s="50"/>
      <c r="H40" s="61"/>
      <c r="I40" s="44"/>
      <c r="J40" s="44"/>
      <c r="K40" s="44"/>
      <c r="L40" s="44"/>
      <c r="M40" s="64"/>
      <c r="N40" s="64"/>
    </row>
    <row r="41" spans="4:14" s="49" customFormat="1" ht="15.75" x14ac:dyDescent="0.25">
      <c r="D41" s="60"/>
      <c r="E41" s="60"/>
      <c r="F41" s="60"/>
      <c r="G41" s="50"/>
      <c r="H41" s="61"/>
      <c r="I41" s="44"/>
      <c r="J41" s="44"/>
      <c r="K41" s="44"/>
      <c r="L41" s="44"/>
      <c r="M41" s="64"/>
      <c r="N41" s="64"/>
    </row>
    <row r="42" spans="4:14" s="49" customFormat="1" ht="15.75" x14ac:dyDescent="0.25">
      <c r="D42" s="60"/>
      <c r="E42" s="60"/>
      <c r="F42" s="60"/>
      <c r="G42" s="50"/>
      <c r="H42" s="61"/>
      <c r="I42" s="44"/>
      <c r="J42" s="44"/>
      <c r="K42" s="44"/>
      <c r="L42" s="44"/>
      <c r="M42" s="64"/>
      <c r="N42" s="64"/>
    </row>
    <row r="43" spans="4:14" s="49" customFormat="1" ht="15.75" x14ac:dyDescent="0.25">
      <c r="D43" s="60"/>
      <c r="E43" s="60"/>
      <c r="F43" s="60"/>
      <c r="G43" s="50"/>
      <c r="H43" s="61"/>
      <c r="I43" s="44"/>
      <c r="J43" s="44"/>
      <c r="K43" s="44"/>
      <c r="L43" s="44"/>
      <c r="M43" s="64"/>
      <c r="N43" s="64"/>
    </row>
    <row r="44" spans="4:14" s="49" customFormat="1" ht="15.75" x14ac:dyDescent="0.25">
      <c r="D44" s="60"/>
      <c r="E44" s="60"/>
      <c r="F44" s="60"/>
      <c r="G44" s="50"/>
      <c r="H44" s="61"/>
      <c r="I44" s="44"/>
      <c r="J44" s="44"/>
      <c r="K44" s="44"/>
      <c r="L44" s="44"/>
      <c r="M44" s="64"/>
      <c r="N44" s="64"/>
    </row>
    <row r="45" spans="4:14" s="49" customFormat="1" ht="15.75" x14ac:dyDescent="0.25">
      <c r="D45" s="60"/>
      <c r="E45" s="60"/>
      <c r="F45" s="60"/>
      <c r="G45" s="50"/>
      <c r="H45" s="61"/>
      <c r="I45" s="44"/>
      <c r="J45" s="44"/>
      <c r="K45" s="44"/>
      <c r="L45" s="44"/>
      <c r="M45" s="64"/>
      <c r="N45" s="64"/>
    </row>
    <row r="46" spans="4:14" s="49" customFormat="1" ht="15.75" x14ac:dyDescent="0.25">
      <c r="D46" s="60"/>
      <c r="E46" s="60"/>
      <c r="F46" s="60"/>
      <c r="G46" s="50"/>
      <c r="H46" s="61"/>
      <c r="I46" s="44"/>
      <c r="J46" s="44"/>
      <c r="K46" s="44"/>
      <c r="L46" s="44"/>
      <c r="M46" s="64"/>
      <c r="N46" s="64"/>
    </row>
    <row r="47" spans="4:14" s="49" customFormat="1" ht="15.75" x14ac:dyDescent="0.25">
      <c r="D47" s="60"/>
      <c r="E47" s="60"/>
      <c r="F47" s="60"/>
      <c r="G47" s="50"/>
      <c r="H47" s="61"/>
      <c r="I47" s="44"/>
      <c r="J47" s="44"/>
      <c r="K47" s="44"/>
      <c r="L47" s="44"/>
      <c r="M47" s="64"/>
      <c r="N47" s="64"/>
    </row>
    <row r="48" spans="4:14" s="49" customFormat="1" ht="15.75" x14ac:dyDescent="0.25">
      <c r="D48" s="60"/>
      <c r="E48" s="60"/>
      <c r="F48" s="60"/>
      <c r="G48" s="50"/>
      <c r="H48" s="61"/>
      <c r="I48" s="44"/>
      <c r="J48" s="44"/>
      <c r="K48" s="44"/>
      <c r="L48" s="44"/>
      <c r="M48" s="64"/>
      <c r="N48" s="64"/>
    </row>
    <row r="49" spans="4:14" s="49" customFormat="1" ht="15.75" x14ac:dyDescent="0.25">
      <c r="D49" s="60"/>
      <c r="E49" s="60"/>
      <c r="F49" s="60"/>
      <c r="G49" s="50"/>
      <c r="H49" s="61"/>
      <c r="I49" s="44"/>
      <c r="J49" s="44"/>
      <c r="K49" s="44"/>
      <c r="L49" s="44"/>
      <c r="M49" s="64"/>
      <c r="N49" s="64"/>
    </row>
    <row r="50" spans="4:14" s="49" customFormat="1" ht="15.75" x14ac:dyDescent="0.25">
      <c r="D50" s="60"/>
      <c r="E50" s="60"/>
      <c r="F50" s="60"/>
      <c r="G50" s="50"/>
      <c r="H50" s="61"/>
      <c r="I50" s="44"/>
      <c r="J50" s="44"/>
      <c r="K50" s="44"/>
      <c r="L50" s="44"/>
      <c r="M50" s="64"/>
      <c r="N50" s="64"/>
    </row>
    <row r="51" spans="4:14" s="49" customFormat="1" ht="15.75" x14ac:dyDescent="0.25">
      <c r="D51" s="60"/>
      <c r="E51" s="60"/>
      <c r="F51" s="60"/>
      <c r="G51" s="50"/>
      <c r="H51" s="61"/>
      <c r="I51" s="44"/>
      <c r="J51" s="44"/>
      <c r="K51" s="44"/>
      <c r="L51" s="44"/>
      <c r="M51" s="64"/>
      <c r="N51" s="64"/>
    </row>
    <row r="52" spans="4:14" s="49" customFormat="1" ht="15.75" x14ac:dyDescent="0.25">
      <c r="D52" s="60"/>
      <c r="E52" s="60"/>
      <c r="F52" s="60"/>
      <c r="G52" s="50"/>
      <c r="H52" s="61"/>
      <c r="I52" s="44"/>
      <c r="J52" s="44"/>
      <c r="K52" s="44"/>
      <c r="L52" s="44"/>
      <c r="M52" s="64"/>
      <c r="N52" s="64"/>
    </row>
    <row r="53" spans="4:14" s="49" customFormat="1" ht="15.75" x14ac:dyDescent="0.25">
      <c r="D53" s="60"/>
      <c r="E53" s="60"/>
      <c r="F53" s="60"/>
      <c r="G53" s="50"/>
      <c r="H53" s="61"/>
      <c r="I53" s="44"/>
      <c r="J53" s="44"/>
      <c r="K53" s="44"/>
      <c r="L53" s="44"/>
      <c r="M53" s="64"/>
      <c r="N53" s="64"/>
    </row>
    <row r="54" spans="4:14" s="49" customFormat="1" ht="15.75" x14ac:dyDescent="0.25">
      <c r="D54" s="60"/>
      <c r="E54" s="60"/>
      <c r="F54" s="60"/>
      <c r="G54" s="50"/>
      <c r="H54" s="61"/>
      <c r="I54" s="44"/>
      <c r="J54" s="44"/>
      <c r="K54" s="44"/>
      <c r="L54" s="44"/>
      <c r="M54" s="64"/>
      <c r="N54" s="64"/>
    </row>
    <row r="55" spans="4:14" s="49" customFormat="1" ht="15.75" x14ac:dyDescent="0.25">
      <c r="D55" s="60"/>
      <c r="E55" s="60"/>
      <c r="F55" s="60"/>
      <c r="G55" s="50"/>
      <c r="H55" s="61"/>
      <c r="I55" s="44"/>
      <c r="J55" s="44"/>
      <c r="K55" s="44"/>
      <c r="L55" s="44"/>
      <c r="M55" s="64"/>
      <c r="N55" s="64"/>
    </row>
    <row r="56" spans="4:14" s="49" customFormat="1" ht="15.75" x14ac:dyDescent="0.25">
      <c r="D56" s="60"/>
      <c r="E56" s="60"/>
      <c r="F56" s="60"/>
      <c r="G56" s="50"/>
      <c r="H56" s="61"/>
      <c r="I56" s="44"/>
      <c r="J56" s="44"/>
      <c r="K56" s="44"/>
      <c r="L56" s="44"/>
      <c r="M56" s="64"/>
      <c r="N56" s="64"/>
    </row>
    <row r="57" spans="4:14" s="49" customFormat="1" ht="15.75" x14ac:dyDescent="0.25">
      <c r="D57" s="60"/>
      <c r="E57" s="60"/>
      <c r="F57" s="60"/>
      <c r="G57" s="50"/>
      <c r="H57" s="61"/>
      <c r="I57" s="44"/>
      <c r="J57" s="44"/>
      <c r="K57" s="44"/>
      <c r="L57" s="44"/>
      <c r="M57" s="64"/>
      <c r="N57" s="64"/>
    </row>
    <row r="58" spans="4:14" s="49" customFormat="1" ht="15.75" x14ac:dyDescent="0.25">
      <c r="D58" s="60"/>
      <c r="E58" s="60"/>
      <c r="F58" s="60"/>
      <c r="G58" s="50"/>
      <c r="H58" s="61"/>
      <c r="I58" s="44"/>
      <c r="J58" s="44"/>
      <c r="K58" s="44"/>
      <c r="L58" s="44"/>
      <c r="M58" s="64"/>
      <c r="N58" s="64"/>
    </row>
    <row r="59" spans="4:14" s="49" customFormat="1" ht="15.75" x14ac:dyDescent="0.25">
      <c r="D59" s="60"/>
      <c r="E59" s="60"/>
      <c r="F59" s="60"/>
      <c r="G59" s="50"/>
      <c r="H59" s="61"/>
      <c r="I59" s="44"/>
      <c r="J59" s="44"/>
      <c r="K59" s="44"/>
      <c r="L59" s="44"/>
      <c r="M59" s="64"/>
      <c r="N59" s="64"/>
    </row>
    <row r="60" spans="4:14" s="49" customFormat="1" ht="15.75" x14ac:dyDescent="0.25">
      <c r="D60" s="60"/>
      <c r="E60" s="60"/>
      <c r="F60" s="60"/>
      <c r="G60" s="50"/>
      <c r="H60" s="61"/>
      <c r="I60" s="44"/>
      <c r="J60" s="44"/>
      <c r="K60" s="44"/>
      <c r="L60" s="44"/>
      <c r="M60" s="64"/>
      <c r="N60" s="64"/>
    </row>
    <row r="61" spans="4:14" s="49" customFormat="1" ht="15.75" x14ac:dyDescent="0.25">
      <c r="D61" s="60"/>
      <c r="E61" s="60"/>
      <c r="F61" s="60"/>
      <c r="G61" s="50"/>
      <c r="H61" s="61"/>
      <c r="I61" s="44"/>
      <c r="J61" s="44"/>
      <c r="K61" s="44"/>
      <c r="L61" s="44"/>
      <c r="M61" s="64"/>
      <c r="N61" s="64"/>
    </row>
    <row r="62" spans="4:14" s="49" customFormat="1" ht="15.75" x14ac:dyDescent="0.25">
      <c r="D62" s="60"/>
      <c r="E62" s="60"/>
      <c r="F62" s="60"/>
      <c r="G62" s="50"/>
      <c r="H62" s="61"/>
      <c r="I62" s="44"/>
      <c r="J62" s="44"/>
      <c r="K62" s="44"/>
      <c r="L62" s="44"/>
      <c r="M62" s="64"/>
      <c r="N62" s="64"/>
    </row>
    <row r="63" spans="4:14" s="49" customFormat="1" ht="15.75" x14ac:dyDescent="0.25">
      <c r="D63" s="60"/>
      <c r="E63" s="60"/>
      <c r="F63" s="60"/>
      <c r="G63" s="50"/>
      <c r="H63" s="61"/>
      <c r="I63" s="44"/>
      <c r="J63" s="44"/>
      <c r="K63" s="44"/>
      <c r="L63" s="44"/>
      <c r="M63" s="64"/>
      <c r="N63" s="64"/>
    </row>
    <row r="64" spans="4:14" s="49" customFormat="1" ht="15.75" x14ac:dyDescent="0.25">
      <c r="D64" s="60"/>
      <c r="E64" s="60"/>
      <c r="F64" s="60"/>
      <c r="G64" s="50"/>
      <c r="H64" s="61"/>
      <c r="I64" s="44"/>
      <c r="J64" s="44"/>
      <c r="K64" s="44"/>
      <c r="L64" s="44"/>
      <c r="M64" s="64"/>
      <c r="N64" s="64"/>
    </row>
    <row r="65" spans="4:18" s="49" customFormat="1" ht="15.75" x14ac:dyDescent="0.25">
      <c r="D65" s="60"/>
      <c r="E65" s="60"/>
      <c r="F65" s="60"/>
      <c r="G65" s="50"/>
      <c r="H65" s="61"/>
      <c r="I65" s="44"/>
      <c r="J65" s="44"/>
      <c r="K65" s="44"/>
      <c r="L65" s="44"/>
      <c r="M65" s="64"/>
      <c r="N65" s="64"/>
    </row>
    <row r="66" spans="4:18" s="49" customFormat="1" ht="15.75" x14ac:dyDescent="0.25">
      <c r="D66" s="60"/>
      <c r="E66" s="60"/>
      <c r="F66" s="60"/>
      <c r="G66" s="50"/>
      <c r="H66" s="61"/>
      <c r="I66" s="44"/>
      <c r="J66" s="44"/>
      <c r="K66" s="44"/>
      <c r="L66" s="44"/>
      <c r="M66" s="64"/>
      <c r="N66" s="64"/>
    </row>
    <row r="67" spans="4:18" s="49" customFormat="1" ht="15.75" x14ac:dyDescent="0.25">
      <c r="D67" s="60"/>
      <c r="E67" s="60"/>
      <c r="F67" s="60"/>
      <c r="G67" s="50"/>
      <c r="H67" s="61"/>
      <c r="I67" s="44"/>
      <c r="J67" s="44"/>
      <c r="K67" s="44"/>
      <c r="L67" s="44"/>
      <c r="M67" s="64"/>
      <c r="N67" s="64"/>
    </row>
    <row r="68" spans="4:18" s="49" customFormat="1" ht="15.75" x14ac:dyDescent="0.25">
      <c r="D68" s="60"/>
      <c r="E68" s="60"/>
      <c r="F68" s="60"/>
      <c r="G68" s="50"/>
      <c r="H68" s="61"/>
      <c r="I68" s="44"/>
      <c r="J68" s="44"/>
      <c r="K68" s="44"/>
      <c r="L68" s="44"/>
      <c r="M68" s="64"/>
      <c r="N68" s="64"/>
    </row>
    <row r="69" spans="4:18" s="49" customFormat="1" ht="15.75" x14ac:dyDescent="0.25">
      <c r="D69" s="60"/>
      <c r="E69" s="60"/>
      <c r="F69" s="60"/>
      <c r="G69" s="50"/>
      <c r="H69" s="61"/>
      <c r="I69" s="44"/>
      <c r="J69" s="44"/>
      <c r="K69" s="44"/>
      <c r="L69" s="44"/>
      <c r="M69" s="64"/>
      <c r="N69" s="64"/>
    </row>
    <row r="70" spans="4:18" s="49" customFormat="1" ht="15.75" x14ac:dyDescent="0.25">
      <c r="D70" s="60"/>
      <c r="E70" s="60"/>
      <c r="F70" s="60"/>
      <c r="G70" s="50"/>
      <c r="H70" s="61"/>
      <c r="I70" s="44"/>
      <c r="J70" s="44"/>
      <c r="K70" s="44"/>
      <c r="L70" s="44"/>
      <c r="M70" s="64"/>
      <c r="N70" s="64"/>
    </row>
    <row r="71" spans="4:18" s="49" customFormat="1" ht="15.75" x14ac:dyDescent="0.25">
      <c r="D71" s="60"/>
      <c r="E71" s="60"/>
      <c r="F71" s="60"/>
      <c r="G71" s="50"/>
      <c r="H71" s="61"/>
      <c r="I71" s="44"/>
      <c r="J71" s="44"/>
      <c r="K71" s="44"/>
      <c r="L71" s="44"/>
      <c r="M71" s="64"/>
      <c r="N71" s="64"/>
    </row>
    <row r="72" spans="4:18" s="49" customFormat="1" ht="15.75" x14ac:dyDescent="0.25">
      <c r="D72" s="60"/>
      <c r="E72" s="60"/>
      <c r="F72" s="60"/>
      <c r="G72" s="50"/>
      <c r="H72" s="61"/>
      <c r="I72" s="44"/>
      <c r="J72" s="44"/>
      <c r="K72" s="44"/>
      <c r="L72" s="44"/>
      <c r="M72" s="64"/>
      <c r="N72" s="64"/>
    </row>
    <row r="73" spans="4:18" s="49" customFormat="1" ht="15.75" x14ac:dyDescent="0.25">
      <c r="D73" s="60"/>
      <c r="E73" s="60"/>
      <c r="F73" s="60"/>
      <c r="G73" s="50"/>
      <c r="H73" s="61"/>
      <c r="I73" s="44"/>
      <c r="J73" s="44"/>
      <c r="K73" s="44"/>
      <c r="L73" s="44"/>
      <c r="M73" s="64"/>
      <c r="N73" s="64"/>
    </row>
    <row r="74" spans="4:18" ht="15" x14ac:dyDescent="0.25">
      <c r="D74" s="65"/>
      <c r="E74" s="65"/>
      <c r="F74" s="65"/>
      <c r="R74" s="49"/>
    </row>
    <row r="75" spans="4:18" ht="15" x14ac:dyDescent="0.25">
      <c r="D75" s="65"/>
      <c r="E75" s="65"/>
      <c r="F75" s="65"/>
      <c r="R75" s="49"/>
    </row>
    <row r="76" spans="4:18" ht="15" x14ac:dyDescent="0.25">
      <c r="D76" s="65"/>
      <c r="E76" s="65"/>
      <c r="F76" s="65"/>
      <c r="R76" s="49"/>
    </row>
    <row r="77" spans="4:18" ht="15" x14ac:dyDescent="0.25">
      <c r="D77" s="65"/>
      <c r="E77" s="65"/>
      <c r="F77" s="65"/>
      <c r="R77" s="49"/>
    </row>
    <row r="78" spans="4:18" ht="15" x14ac:dyDescent="0.25">
      <c r="D78" s="65"/>
      <c r="E78" s="65"/>
      <c r="F78" s="65"/>
      <c r="R78" s="49"/>
    </row>
    <row r="79" spans="4:18" ht="15" x14ac:dyDescent="0.25">
      <c r="D79" s="65"/>
      <c r="E79" s="65"/>
      <c r="F79" s="65"/>
      <c r="R79" s="49"/>
    </row>
    <row r="80" spans="4:18" ht="15" x14ac:dyDescent="0.25">
      <c r="D80" s="65"/>
      <c r="E80" s="65"/>
      <c r="F80" s="65"/>
      <c r="R80" s="49"/>
    </row>
    <row r="81" spans="4:18" ht="15" x14ac:dyDescent="0.25">
      <c r="D81" s="65"/>
      <c r="E81" s="65"/>
      <c r="F81" s="65"/>
      <c r="R81" s="49"/>
    </row>
    <row r="82" spans="4:18" ht="15" x14ac:dyDescent="0.25">
      <c r="D82" s="65"/>
      <c r="E82" s="65"/>
      <c r="F82" s="65"/>
      <c r="R82" s="49"/>
    </row>
    <row r="83" spans="4:18" ht="15" x14ac:dyDescent="0.25">
      <c r="D83" s="65"/>
      <c r="E83" s="65"/>
      <c r="F83" s="65"/>
      <c r="R83" s="49"/>
    </row>
    <row r="84" spans="4:18" ht="15" x14ac:dyDescent="0.25">
      <c r="D84" s="65"/>
      <c r="E84" s="65"/>
      <c r="F84" s="65"/>
      <c r="R84" s="49"/>
    </row>
    <row r="85" spans="4:18" ht="15" x14ac:dyDescent="0.25">
      <c r="D85" s="65"/>
      <c r="E85" s="65"/>
      <c r="F85" s="65"/>
      <c r="R85" s="49"/>
    </row>
    <row r="86" spans="4:18" ht="15" x14ac:dyDescent="0.25">
      <c r="D86" s="65"/>
      <c r="E86" s="65"/>
      <c r="F86" s="65"/>
      <c r="R86" s="49"/>
    </row>
    <row r="87" spans="4:18" ht="15" x14ac:dyDescent="0.25">
      <c r="D87" s="65"/>
      <c r="E87" s="65"/>
      <c r="F87" s="65"/>
      <c r="R87" s="49"/>
    </row>
    <row r="88" spans="4:18" ht="15" x14ac:dyDescent="0.25">
      <c r="D88" s="65"/>
      <c r="E88" s="65"/>
      <c r="F88" s="65"/>
      <c r="R88" s="49"/>
    </row>
    <row r="89" spans="4:18" ht="15" x14ac:dyDescent="0.25">
      <c r="D89" s="65"/>
      <c r="E89" s="65"/>
      <c r="F89" s="65"/>
      <c r="R89" s="49"/>
    </row>
    <row r="90" spans="4:18" ht="15" x14ac:dyDescent="0.25">
      <c r="D90" s="65"/>
      <c r="E90" s="65"/>
      <c r="F90" s="65"/>
      <c r="R90" s="49"/>
    </row>
    <row r="91" spans="4:18" ht="15" x14ac:dyDescent="0.25">
      <c r="D91" s="65"/>
      <c r="E91" s="65"/>
      <c r="F91" s="65"/>
      <c r="R91" s="49"/>
    </row>
    <row r="92" spans="4:18" ht="15" x14ac:dyDescent="0.25">
      <c r="D92" s="65"/>
      <c r="E92" s="65"/>
      <c r="F92" s="65"/>
      <c r="R92" s="49"/>
    </row>
    <row r="93" spans="4:18" ht="15" x14ac:dyDescent="0.25">
      <c r="D93" s="65"/>
      <c r="E93" s="65"/>
      <c r="F93" s="65"/>
      <c r="R93" s="49"/>
    </row>
    <row r="94" spans="4:18" ht="15" x14ac:dyDescent="0.25">
      <c r="D94" s="65"/>
      <c r="E94" s="65"/>
      <c r="F94" s="65"/>
      <c r="R94" s="49"/>
    </row>
    <row r="95" spans="4:18" ht="15" x14ac:dyDescent="0.25">
      <c r="D95" s="65"/>
      <c r="E95" s="65"/>
      <c r="F95" s="65"/>
      <c r="R95" s="49"/>
    </row>
    <row r="96" spans="4:18" ht="15" x14ac:dyDescent="0.25">
      <c r="D96" s="65"/>
      <c r="E96" s="65"/>
      <c r="F96" s="65"/>
      <c r="R96" s="49"/>
    </row>
    <row r="97" spans="4:18" ht="15" x14ac:dyDescent="0.25">
      <c r="D97" s="65"/>
      <c r="E97" s="65"/>
      <c r="F97" s="65"/>
      <c r="R97" s="49"/>
    </row>
    <row r="98" spans="4:18" ht="15" x14ac:dyDescent="0.25">
      <c r="D98" s="65"/>
      <c r="E98" s="65"/>
      <c r="F98" s="65"/>
      <c r="R98" s="49"/>
    </row>
    <row r="99" spans="4:18" ht="15" x14ac:dyDescent="0.25">
      <c r="D99" s="65"/>
      <c r="E99" s="65"/>
      <c r="F99" s="65"/>
      <c r="R99" s="49"/>
    </row>
    <row r="100" spans="4:18" ht="15" x14ac:dyDescent="0.25">
      <c r="D100" s="65"/>
      <c r="E100" s="65"/>
      <c r="F100" s="65"/>
      <c r="R100" s="49"/>
    </row>
    <row r="101" spans="4:18" ht="15" x14ac:dyDescent="0.25">
      <c r="D101" s="65"/>
      <c r="E101" s="65"/>
      <c r="F101" s="65"/>
      <c r="R101" s="49"/>
    </row>
    <row r="102" spans="4:18" ht="15" x14ac:dyDescent="0.25">
      <c r="D102" s="65"/>
      <c r="E102" s="65"/>
      <c r="F102" s="65"/>
      <c r="R102" s="49"/>
    </row>
    <row r="103" spans="4:18" ht="15" x14ac:dyDescent="0.25">
      <c r="D103" s="65"/>
      <c r="E103" s="65"/>
      <c r="F103" s="65"/>
      <c r="R103" s="49"/>
    </row>
    <row r="104" spans="4:18" ht="15" x14ac:dyDescent="0.25">
      <c r="D104" s="65"/>
      <c r="E104" s="65"/>
      <c r="F104" s="65"/>
      <c r="R104" s="49"/>
    </row>
    <row r="105" spans="4:18" ht="15" x14ac:dyDescent="0.25">
      <c r="D105" s="65"/>
      <c r="E105" s="65"/>
      <c r="F105" s="65"/>
      <c r="R105" s="49"/>
    </row>
    <row r="106" spans="4:18" ht="15" x14ac:dyDescent="0.25">
      <c r="D106" s="65"/>
      <c r="E106" s="65"/>
      <c r="F106" s="65"/>
      <c r="R106" s="49"/>
    </row>
    <row r="107" spans="4:18" ht="15" x14ac:dyDescent="0.25">
      <c r="D107" s="65"/>
      <c r="E107" s="65"/>
      <c r="F107" s="65"/>
      <c r="R107" s="49"/>
    </row>
    <row r="108" spans="4:18" ht="15" x14ac:dyDescent="0.25">
      <c r="D108" s="65"/>
      <c r="E108" s="65"/>
      <c r="F108" s="65"/>
      <c r="R108" s="49"/>
    </row>
    <row r="109" spans="4:18" ht="15" x14ac:dyDescent="0.25">
      <c r="D109" s="65"/>
      <c r="E109" s="65"/>
      <c r="F109" s="65"/>
      <c r="R109" s="49"/>
    </row>
    <row r="110" spans="4:18" ht="15" x14ac:dyDescent="0.25">
      <c r="D110" s="65"/>
      <c r="E110" s="65"/>
      <c r="F110" s="65"/>
      <c r="R110" s="49"/>
    </row>
    <row r="111" spans="4:18" ht="15" x14ac:dyDescent="0.25">
      <c r="D111" s="65"/>
      <c r="E111" s="65"/>
      <c r="F111" s="65"/>
      <c r="R111" s="49"/>
    </row>
    <row r="112" spans="4:18" ht="15" x14ac:dyDescent="0.25">
      <c r="D112" s="65"/>
      <c r="E112" s="65"/>
      <c r="F112" s="65"/>
      <c r="R112" s="49"/>
    </row>
    <row r="113" spans="4:18" ht="15" x14ac:dyDescent="0.25">
      <c r="D113" s="65"/>
      <c r="E113" s="65"/>
      <c r="F113" s="65"/>
      <c r="R113" s="49"/>
    </row>
    <row r="114" spans="4:18" ht="15" x14ac:dyDescent="0.25">
      <c r="D114" s="65"/>
      <c r="E114" s="65"/>
      <c r="F114" s="65"/>
      <c r="R114" s="49"/>
    </row>
    <row r="115" spans="4:18" ht="15" x14ac:dyDescent="0.25">
      <c r="D115" s="65"/>
      <c r="E115" s="65"/>
      <c r="F115" s="65"/>
      <c r="R115" s="49"/>
    </row>
    <row r="116" spans="4:18" ht="15" x14ac:dyDescent="0.25">
      <c r="D116" s="65"/>
      <c r="E116" s="65"/>
      <c r="F116" s="65"/>
      <c r="R116" s="49"/>
    </row>
    <row r="117" spans="4:18" ht="15" x14ac:dyDescent="0.25">
      <c r="D117" s="65"/>
      <c r="E117" s="65"/>
      <c r="F117" s="65"/>
      <c r="R117" s="49"/>
    </row>
    <row r="118" spans="4:18" ht="15" x14ac:dyDescent="0.25">
      <c r="D118" s="65"/>
      <c r="E118" s="65"/>
      <c r="F118" s="65"/>
      <c r="R118" s="49"/>
    </row>
    <row r="119" spans="4:18" ht="15" x14ac:dyDescent="0.25">
      <c r="D119" s="65"/>
      <c r="E119" s="65"/>
      <c r="F119" s="65"/>
      <c r="R119" s="49"/>
    </row>
    <row r="120" spans="4:18" ht="15" x14ac:dyDescent="0.25">
      <c r="D120" s="65"/>
      <c r="E120" s="65"/>
      <c r="F120" s="65"/>
      <c r="R120" s="49"/>
    </row>
    <row r="121" spans="4:18" ht="15" x14ac:dyDescent="0.25">
      <c r="D121" s="65"/>
      <c r="E121" s="65"/>
      <c r="F121" s="65"/>
      <c r="R121" s="49"/>
    </row>
    <row r="122" spans="4:18" ht="15" x14ac:dyDescent="0.25">
      <c r="D122" s="65"/>
      <c r="E122" s="65"/>
      <c r="F122" s="65"/>
      <c r="R122" s="49"/>
    </row>
    <row r="123" spans="4:18" ht="15" x14ac:dyDescent="0.25">
      <c r="D123" s="65"/>
      <c r="E123" s="65"/>
      <c r="F123" s="65"/>
      <c r="R123" s="49"/>
    </row>
    <row r="124" spans="4:18" ht="15" x14ac:dyDescent="0.25">
      <c r="D124" s="65"/>
      <c r="E124" s="65"/>
      <c r="F124" s="65"/>
      <c r="R124" s="49"/>
    </row>
    <row r="125" spans="4:18" ht="15" x14ac:dyDescent="0.25">
      <c r="D125" s="65"/>
      <c r="E125" s="65"/>
      <c r="F125" s="65"/>
      <c r="R125" s="49"/>
    </row>
    <row r="126" spans="4:18" ht="15" x14ac:dyDescent="0.25">
      <c r="D126" s="65"/>
      <c r="E126" s="65"/>
      <c r="F126" s="65"/>
      <c r="R126" s="49"/>
    </row>
    <row r="127" spans="4:18" ht="15" x14ac:dyDescent="0.25">
      <c r="D127" s="65"/>
      <c r="E127" s="65"/>
      <c r="F127" s="65"/>
      <c r="R127" s="49"/>
    </row>
    <row r="128" spans="4:18" ht="15" x14ac:dyDescent="0.25">
      <c r="D128" s="65"/>
      <c r="E128" s="65"/>
      <c r="F128" s="65"/>
      <c r="R128" s="49"/>
    </row>
    <row r="129" spans="4:18" ht="15" x14ac:dyDescent="0.25">
      <c r="D129" s="65"/>
      <c r="E129" s="65"/>
      <c r="F129" s="65"/>
      <c r="R129" s="49"/>
    </row>
    <row r="130" spans="4:18" ht="15" x14ac:dyDescent="0.25">
      <c r="D130" s="65"/>
      <c r="E130" s="65"/>
      <c r="F130" s="65"/>
      <c r="R130" s="49"/>
    </row>
    <row r="131" spans="4:18" ht="15" x14ac:dyDescent="0.25">
      <c r="D131" s="65"/>
      <c r="E131" s="65"/>
      <c r="F131" s="65"/>
      <c r="R131" s="49"/>
    </row>
    <row r="132" spans="4:18" ht="15" x14ac:dyDescent="0.25">
      <c r="D132" s="65"/>
      <c r="E132" s="65"/>
      <c r="F132" s="65"/>
      <c r="R132" s="49"/>
    </row>
    <row r="133" spans="4:18" ht="15" x14ac:dyDescent="0.25">
      <c r="D133" s="65"/>
      <c r="E133" s="65"/>
      <c r="F133" s="65"/>
      <c r="R133" s="49"/>
    </row>
    <row r="134" spans="4:18" ht="15" x14ac:dyDescent="0.25">
      <c r="D134" s="65"/>
      <c r="E134" s="65"/>
      <c r="F134" s="65"/>
      <c r="R134" s="49"/>
    </row>
    <row r="135" spans="4:18" ht="15" x14ac:dyDescent="0.25">
      <c r="D135" s="65"/>
      <c r="E135" s="65"/>
      <c r="F135" s="65"/>
      <c r="R135" s="49"/>
    </row>
    <row r="136" spans="4:18" ht="15" x14ac:dyDescent="0.25">
      <c r="D136" s="65"/>
      <c r="E136" s="65"/>
      <c r="F136" s="65"/>
      <c r="R136" s="49"/>
    </row>
    <row r="137" spans="4:18" ht="15" x14ac:dyDescent="0.25">
      <c r="D137" s="65"/>
      <c r="E137" s="65"/>
      <c r="F137" s="65"/>
      <c r="R137" s="49"/>
    </row>
    <row r="138" spans="4:18" ht="15" x14ac:dyDescent="0.25">
      <c r="D138" s="65"/>
      <c r="E138" s="65"/>
      <c r="F138" s="65"/>
      <c r="R138" s="49"/>
    </row>
    <row r="139" spans="4:18" ht="15" x14ac:dyDescent="0.25">
      <c r="D139" s="65"/>
      <c r="E139" s="65"/>
      <c r="F139" s="65"/>
      <c r="R139" s="49"/>
    </row>
    <row r="140" spans="4:18" ht="15" x14ac:dyDescent="0.25">
      <c r="D140" s="65"/>
      <c r="E140" s="65"/>
      <c r="F140" s="65"/>
      <c r="R140" s="49"/>
    </row>
    <row r="141" spans="4:18" ht="15" x14ac:dyDescent="0.25">
      <c r="D141" s="65"/>
      <c r="E141" s="65"/>
      <c r="F141" s="65"/>
      <c r="R141" s="49"/>
    </row>
    <row r="142" spans="4:18" ht="15" x14ac:dyDescent="0.25">
      <c r="D142" s="65"/>
      <c r="E142" s="65"/>
      <c r="F142" s="65"/>
      <c r="R142" s="49"/>
    </row>
    <row r="143" spans="4:18" ht="15" x14ac:dyDescent="0.25">
      <c r="D143" s="65"/>
      <c r="E143" s="65"/>
      <c r="F143" s="65"/>
      <c r="R143" s="49"/>
    </row>
    <row r="144" spans="4:18" ht="15" x14ac:dyDescent="0.25">
      <c r="D144" s="65"/>
      <c r="E144" s="65"/>
      <c r="F144" s="65"/>
      <c r="R144" s="49"/>
    </row>
    <row r="145" spans="4:18" ht="15" x14ac:dyDescent="0.25">
      <c r="D145" s="65"/>
      <c r="E145" s="65"/>
      <c r="F145" s="65"/>
      <c r="R145" s="49"/>
    </row>
    <row r="146" spans="4:18" ht="15" x14ac:dyDescent="0.25">
      <c r="D146" s="65"/>
      <c r="E146" s="65"/>
      <c r="F146" s="65"/>
      <c r="R146" s="49"/>
    </row>
    <row r="147" spans="4:18" ht="15" x14ac:dyDescent="0.25">
      <c r="D147" s="65"/>
      <c r="E147" s="65"/>
      <c r="F147" s="65"/>
      <c r="R147" s="49"/>
    </row>
    <row r="148" spans="4:18" ht="15" x14ac:dyDescent="0.25">
      <c r="D148" s="65"/>
      <c r="E148" s="65"/>
      <c r="F148" s="65"/>
      <c r="R148" s="49"/>
    </row>
    <row r="149" spans="4:18" ht="15" x14ac:dyDescent="0.25">
      <c r="D149" s="65"/>
      <c r="E149" s="65"/>
      <c r="F149" s="65"/>
      <c r="R149" s="49"/>
    </row>
    <row r="150" spans="4:18" ht="15" x14ac:dyDescent="0.25">
      <c r="D150" s="65"/>
      <c r="E150" s="65"/>
      <c r="F150" s="65"/>
      <c r="R150" s="49"/>
    </row>
    <row r="151" spans="4:18" ht="15" x14ac:dyDescent="0.25">
      <c r="D151" s="65"/>
      <c r="E151" s="65"/>
      <c r="F151" s="65"/>
    </row>
    <row r="152" spans="4:18" ht="15" x14ac:dyDescent="0.25">
      <c r="D152" s="65"/>
      <c r="E152" s="65"/>
      <c r="F152" s="65"/>
    </row>
    <row r="153" spans="4:18" ht="15" x14ac:dyDescent="0.25">
      <c r="D153" s="65"/>
      <c r="E153" s="65"/>
      <c r="F153" s="65"/>
    </row>
    <row r="154" spans="4:18" ht="15" x14ac:dyDescent="0.25">
      <c r="D154" s="65"/>
      <c r="E154" s="65"/>
      <c r="F154" s="65"/>
    </row>
    <row r="155" spans="4:18" ht="15" x14ac:dyDescent="0.25">
      <c r="D155" s="65"/>
      <c r="E155" s="65"/>
      <c r="F155" s="65"/>
    </row>
    <row r="156" spans="4:18" ht="15" x14ac:dyDescent="0.25">
      <c r="D156" s="65"/>
      <c r="E156" s="65"/>
      <c r="F156" s="65"/>
    </row>
    <row r="157" spans="4:18" ht="15" x14ac:dyDescent="0.25">
      <c r="D157" s="65"/>
      <c r="E157" s="65"/>
      <c r="F157" s="65"/>
    </row>
    <row r="158" spans="4:18" ht="15" x14ac:dyDescent="0.25">
      <c r="D158" s="65"/>
      <c r="E158" s="65"/>
      <c r="F158" s="65"/>
    </row>
    <row r="159" spans="4:18" ht="15" x14ac:dyDescent="0.25">
      <c r="D159" s="65"/>
      <c r="E159" s="65"/>
      <c r="F159" s="65"/>
    </row>
    <row r="160" spans="4:18" ht="15" x14ac:dyDescent="0.25">
      <c r="D160" s="65"/>
      <c r="E160" s="65"/>
      <c r="F160" s="65"/>
      <c r="R160" s="39"/>
    </row>
    <row r="161" spans="4:18" ht="15" x14ac:dyDescent="0.25">
      <c r="D161" s="65"/>
      <c r="E161" s="65"/>
      <c r="F161" s="65"/>
      <c r="R161" s="39"/>
    </row>
    <row r="162" spans="4:18" ht="15" x14ac:dyDescent="0.25">
      <c r="D162" s="65"/>
      <c r="E162" s="65"/>
      <c r="F162" s="65"/>
      <c r="R162" s="39"/>
    </row>
    <row r="163" spans="4:18" ht="15" x14ac:dyDescent="0.25">
      <c r="D163" s="65"/>
      <c r="E163" s="65"/>
      <c r="F163" s="65"/>
      <c r="R163" s="39"/>
    </row>
    <row r="164" spans="4:18" ht="15" x14ac:dyDescent="0.25">
      <c r="D164" s="65"/>
      <c r="E164" s="65"/>
      <c r="F164" s="65"/>
      <c r="R164" s="39"/>
    </row>
    <row r="165" spans="4:18" ht="15" x14ac:dyDescent="0.25">
      <c r="D165" s="65"/>
      <c r="E165" s="65"/>
      <c r="F165" s="65"/>
      <c r="R165" s="39"/>
    </row>
    <row r="166" spans="4:18" ht="15" x14ac:dyDescent="0.25">
      <c r="D166" s="65"/>
      <c r="E166" s="65"/>
      <c r="F166" s="65"/>
      <c r="R166" s="39"/>
    </row>
    <row r="167" spans="4:18" ht="15" x14ac:dyDescent="0.25">
      <c r="D167" s="65"/>
      <c r="E167" s="65"/>
      <c r="F167" s="65"/>
      <c r="R167" s="39"/>
    </row>
    <row r="168" spans="4:18" ht="15" x14ac:dyDescent="0.25">
      <c r="D168" s="65"/>
      <c r="E168" s="65"/>
      <c r="F168" s="65"/>
      <c r="R168" s="39"/>
    </row>
    <row r="169" spans="4:18" ht="15" x14ac:dyDescent="0.25">
      <c r="D169" s="65"/>
      <c r="E169" s="65"/>
      <c r="F169" s="65"/>
      <c r="R169" s="39"/>
    </row>
    <row r="170" spans="4:18" ht="15" x14ac:dyDescent="0.25">
      <c r="D170" s="65"/>
      <c r="E170" s="65"/>
      <c r="F170" s="65"/>
      <c r="R170" s="39"/>
    </row>
    <row r="171" spans="4:18" ht="15" x14ac:dyDescent="0.25">
      <c r="D171" s="65"/>
      <c r="E171" s="65"/>
      <c r="F171" s="65"/>
      <c r="R171" s="39"/>
    </row>
    <row r="172" spans="4:18" ht="15" x14ac:dyDescent="0.25">
      <c r="D172" s="65"/>
      <c r="E172" s="65"/>
      <c r="F172" s="65"/>
      <c r="R172" s="39"/>
    </row>
    <row r="173" spans="4:18" ht="15" x14ac:dyDescent="0.25">
      <c r="D173" s="65"/>
      <c r="E173" s="65"/>
      <c r="F173" s="65"/>
      <c r="R173" s="39"/>
    </row>
    <row r="174" spans="4:18" ht="15" x14ac:dyDescent="0.25">
      <c r="D174" s="65"/>
      <c r="E174" s="65"/>
      <c r="F174" s="65"/>
      <c r="R174" s="39"/>
    </row>
    <row r="175" spans="4:18" ht="15" x14ac:dyDescent="0.25">
      <c r="D175" s="65"/>
      <c r="E175" s="65"/>
      <c r="F175" s="65"/>
      <c r="R175" s="39"/>
    </row>
    <row r="176" spans="4:18" ht="15" x14ac:dyDescent="0.25">
      <c r="D176" s="65"/>
      <c r="E176" s="65"/>
      <c r="F176" s="65"/>
      <c r="R176" s="39"/>
    </row>
    <row r="177" spans="4:18" ht="15" x14ac:dyDescent="0.25">
      <c r="D177" s="65"/>
      <c r="E177" s="65"/>
      <c r="F177" s="65"/>
      <c r="R177" s="39"/>
    </row>
    <row r="178" spans="4:18" ht="15" x14ac:dyDescent="0.25">
      <c r="D178" s="65"/>
      <c r="E178" s="65"/>
      <c r="F178" s="65"/>
      <c r="R178" s="39"/>
    </row>
    <row r="179" spans="4:18" ht="15" x14ac:dyDescent="0.25">
      <c r="D179" s="65"/>
      <c r="E179" s="65"/>
      <c r="F179" s="65"/>
      <c r="R179" s="39"/>
    </row>
    <row r="180" spans="4:18" ht="15" x14ac:dyDescent="0.25">
      <c r="D180" s="65"/>
      <c r="E180" s="65"/>
      <c r="F180" s="65"/>
      <c r="R180" s="39"/>
    </row>
    <row r="181" spans="4:18" ht="15" x14ac:dyDescent="0.25">
      <c r="D181" s="65"/>
      <c r="E181" s="65"/>
      <c r="F181" s="65"/>
      <c r="R181" s="39"/>
    </row>
    <row r="182" spans="4:18" ht="15" x14ac:dyDescent="0.25">
      <c r="D182" s="65"/>
      <c r="E182" s="65"/>
      <c r="F182" s="65"/>
      <c r="R182" s="39"/>
    </row>
    <row r="183" spans="4:18" ht="15" x14ac:dyDescent="0.25">
      <c r="D183" s="65"/>
      <c r="E183" s="65"/>
      <c r="F183" s="65"/>
      <c r="R183" s="39"/>
    </row>
    <row r="184" spans="4:18" ht="15" x14ac:dyDescent="0.25">
      <c r="D184" s="65"/>
      <c r="E184" s="65"/>
      <c r="F184" s="65"/>
      <c r="R184" s="39"/>
    </row>
    <row r="185" spans="4:18" ht="15" x14ac:dyDescent="0.25">
      <c r="D185" s="65"/>
      <c r="E185" s="65"/>
      <c r="F185" s="65"/>
      <c r="R185" s="39"/>
    </row>
    <row r="186" spans="4:18" ht="15" x14ac:dyDescent="0.25">
      <c r="D186" s="65"/>
      <c r="E186" s="65"/>
      <c r="F186" s="65"/>
      <c r="R186" s="39"/>
    </row>
    <row r="187" spans="4:18" ht="15" x14ac:dyDescent="0.25">
      <c r="D187" s="65"/>
      <c r="E187" s="65"/>
      <c r="F187" s="65"/>
      <c r="R187" s="39"/>
    </row>
    <row r="188" spans="4:18" ht="15" x14ac:dyDescent="0.25">
      <c r="D188" s="65"/>
      <c r="E188" s="65"/>
      <c r="F188" s="65"/>
      <c r="R188" s="39"/>
    </row>
    <row r="189" spans="4:18" ht="15" x14ac:dyDescent="0.25">
      <c r="D189" s="65"/>
      <c r="E189" s="65"/>
      <c r="F189" s="65"/>
      <c r="R189" s="39"/>
    </row>
    <row r="190" spans="4:18" ht="15" x14ac:dyDescent="0.25">
      <c r="D190" s="65"/>
      <c r="E190" s="65"/>
      <c r="F190" s="65"/>
      <c r="R190" s="39"/>
    </row>
    <row r="191" spans="4:18" ht="15" x14ac:dyDescent="0.25">
      <c r="D191" s="65"/>
      <c r="E191" s="65"/>
      <c r="F191" s="65"/>
      <c r="R191" s="39"/>
    </row>
    <row r="192" spans="4:18" ht="15" x14ac:dyDescent="0.25">
      <c r="D192" s="65"/>
      <c r="E192" s="65"/>
      <c r="F192" s="65"/>
      <c r="R192" s="39"/>
    </row>
    <row r="193" spans="4:18" ht="15" x14ac:dyDescent="0.25">
      <c r="D193" s="65"/>
      <c r="E193" s="65"/>
      <c r="F193" s="65"/>
      <c r="R193" s="39"/>
    </row>
    <row r="194" spans="4:18" ht="15" x14ac:dyDescent="0.25">
      <c r="D194" s="65"/>
      <c r="E194" s="65"/>
      <c r="F194" s="65"/>
      <c r="R194" s="39"/>
    </row>
    <row r="195" spans="4:18" ht="15" x14ac:dyDescent="0.25">
      <c r="D195" s="65"/>
      <c r="E195" s="65"/>
      <c r="F195" s="65"/>
      <c r="R195" s="39"/>
    </row>
    <row r="196" spans="4:18" ht="15" x14ac:dyDescent="0.25">
      <c r="D196" s="65"/>
      <c r="E196" s="65"/>
      <c r="F196" s="65"/>
      <c r="R196" s="39"/>
    </row>
    <row r="197" spans="4:18" ht="15" x14ac:dyDescent="0.25">
      <c r="D197" s="65"/>
      <c r="E197" s="65"/>
      <c r="F197" s="65"/>
      <c r="R197" s="39"/>
    </row>
    <row r="198" spans="4:18" ht="15" x14ac:dyDescent="0.25">
      <c r="D198" s="65"/>
      <c r="E198" s="65"/>
      <c r="F198" s="65"/>
      <c r="R198" s="39"/>
    </row>
    <row r="199" spans="4:18" ht="15" x14ac:dyDescent="0.25">
      <c r="D199" s="65"/>
      <c r="E199" s="65"/>
      <c r="F199" s="65"/>
      <c r="R199" s="39"/>
    </row>
    <row r="200" spans="4:18" ht="15" x14ac:dyDescent="0.25">
      <c r="D200" s="65"/>
      <c r="E200" s="65"/>
      <c r="F200" s="65"/>
      <c r="R200" s="39"/>
    </row>
    <row r="201" spans="4:18" ht="15" x14ac:dyDescent="0.25">
      <c r="D201" s="65"/>
      <c r="E201" s="65"/>
      <c r="F201" s="65"/>
      <c r="R201" s="39"/>
    </row>
    <row r="202" spans="4:18" ht="15" x14ac:dyDescent="0.25">
      <c r="D202" s="65"/>
      <c r="E202" s="65"/>
      <c r="F202" s="65"/>
      <c r="R202" s="39"/>
    </row>
    <row r="203" spans="4:18" ht="15" x14ac:dyDescent="0.25">
      <c r="D203" s="65"/>
      <c r="E203" s="65"/>
      <c r="F203" s="65"/>
      <c r="R203" s="39"/>
    </row>
    <row r="204" spans="4:18" ht="15" x14ac:dyDescent="0.25">
      <c r="D204" s="65"/>
      <c r="E204" s="65"/>
      <c r="F204" s="65"/>
      <c r="R204" s="39"/>
    </row>
    <row r="205" spans="4:18" ht="15" x14ac:dyDescent="0.25">
      <c r="D205" s="65"/>
      <c r="E205" s="65"/>
      <c r="F205" s="65"/>
      <c r="R205" s="39"/>
    </row>
    <row r="206" spans="4:18" ht="15" x14ac:dyDescent="0.25">
      <c r="D206" s="65"/>
      <c r="E206" s="65"/>
      <c r="F206" s="65"/>
      <c r="R206" s="39"/>
    </row>
    <row r="207" spans="4:18" ht="15" x14ac:dyDescent="0.25">
      <c r="D207" s="65"/>
      <c r="E207" s="65"/>
      <c r="F207" s="65"/>
      <c r="R207" s="39"/>
    </row>
    <row r="208" spans="4:18" ht="15" x14ac:dyDescent="0.25">
      <c r="D208" s="65"/>
      <c r="E208" s="65"/>
      <c r="F208" s="65"/>
      <c r="R208" s="39"/>
    </row>
    <row r="209" spans="4:18" ht="15" x14ac:dyDescent="0.25">
      <c r="D209" s="65"/>
      <c r="E209" s="65"/>
      <c r="F209" s="65"/>
      <c r="R209" s="39"/>
    </row>
    <row r="210" spans="4:18" ht="15" x14ac:dyDescent="0.25">
      <c r="D210" s="65"/>
      <c r="E210" s="65"/>
      <c r="F210" s="65"/>
      <c r="R210" s="39"/>
    </row>
    <row r="211" spans="4:18" ht="15" x14ac:dyDescent="0.25">
      <c r="D211" s="65"/>
      <c r="E211" s="65"/>
      <c r="F211" s="65"/>
      <c r="R211" s="39"/>
    </row>
    <row r="212" spans="4:18" ht="15" x14ac:dyDescent="0.25">
      <c r="D212" s="65"/>
      <c r="E212" s="65"/>
      <c r="F212" s="65"/>
      <c r="R212" s="39"/>
    </row>
    <row r="213" spans="4:18" ht="15" x14ac:dyDescent="0.25">
      <c r="D213" s="65"/>
      <c r="E213" s="65"/>
      <c r="F213" s="65"/>
      <c r="R213" s="39"/>
    </row>
    <row r="214" spans="4:18" ht="15" x14ac:dyDescent="0.25">
      <c r="D214" s="65"/>
      <c r="E214" s="65"/>
      <c r="F214" s="65"/>
      <c r="R214" s="39"/>
    </row>
    <row r="215" spans="4:18" ht="15" x14ac:dyDescent="0.25">
      <c r="D215" s="65"/>
      <c r="E215" s="65"/>
      <c r="F215" s="65"/>
      <c r="R215" s="39"/>
    </row>
    <row r="216" spans="4:18" ht="15" x14ac:dyDescent="0.25">
      <c r="D216" s="65"/>
      <c r="E216" s="65"/>
      <c r="F216" s="65"/>
      <c r="R216" s="39"/>
    </row>
    <row r="217" spans="4:18" ht="15" x14ac:dyDescent="0.25">
      <c r="D217" s="65"/>
      <c r="E217" s="65"/>
      <c r="F217" s="65"/>
      <c r="R217" s="39"/>
    </row>
    <row r="218" spans="4:18" ht="15" x14ac:dyDescent="0.25">
      <c r="D218" s="65"/>
      <c r="E218" s="65"/>
      <c r="F218" s="65"/>
      <c r="R218" s="39"/>
    </row>
    <row r="219" spans="4:18" ht="15" x14ac:dyDescent="0.25">
      <c r="D219" s="65"/>
      <c r="E219" s="65"/>
      <c r="F219" s="65"/>
      <c r="R219" s="39"/>
    </row>
    <row r="220" spans="4:18" ht="15" x14ac:dyDescent="0.25">
      <c r="D220" s="65"/>
      <c r="E220" s="65"/>
      <c r="F220" s="65"/>
      <c r="R220" s="39"/>
    </row>
    <row r="221" spans="4:18" ht="15" x14ac:dyDescent="0.25">
      <c r="D221" s="65"/>
      <c r="E221" s="65"/>
      <c r="F221" s="65"/>
      <c r="R221" s="39"/>
    </row>
    <row r="222" spans="4:18" ht="15" x14ac:dyDescent="0.25">
      <c r="D222" s="65"/>
      <c r="E222" s="65"/>
      <c r="F222" s="65"/>
      <c r="R222" s="39"/>
    </row>
    <row r="223" spans="4:18" ht="15" x14ac:dyDescent="0.25">
      <c r="D223" s="65"/>
      <c r="E223" s="65"/>
      <c r="F223" s="65"/>
      <c r="R223" s="39"/>
    </row>
    <row r="224" spans="4:18" ht="15" x14ac:dyDescent="0.25">
      <c r="D224" s="65"/>
      <c r="E224" s="65"/>
      <c r="F224" s="65"/>
      <c r="R224" s="39"/>
    </row>
    <row r="225" spans="4:18" ht="15" x14ac:dyDescent="0.25">
      <c r="D225" s="65"/>
      <c r="E225" s="65"/>
      <c r="F225" s="65"/>
      <c r="R225" s="39"/>
    </row>
    <row r="226" spans="4:18" ht="15" x14ac:dyDescent="0.25">
      <c r="D226" s="65"/>
      <c r="E226" s="65"/>
      <c r="F226" s="65"/>
      <c r="R226" s="39"/>
    </row>
    <row r="227" spans="4:18" ht="15" x14ac:dyDescent="0.25">
      <c r="D227" s="65"/>
      <c r="E227" s="65"/>
      <c r="F227" s="65"/>
      <c r="R227" s="39"/>
    </row>
    <row r="228" spans="4:18" ht="15" x14ac:dyDescent="0.25">
      <c r="D228" s="65"/>
      <c r="E228" s="65"/>
      <c r="F228" s="65"/>
      <c r="R228" s="39"/>
    </row>
    <row r="229" spans="4:18" ht="15" x14ac:dyDescent="0.25">
      <c r="D229" s="65"/>
      <c r="E229" s="65"/>
      <c r="F229" s="65"/>
      <c r="R229" s="39"/>
    </row>
    <row r="230" spans="4:18" ht="15" x14ac:dyDescent="0.25">
      <c r="D230" s="65"/>
      <c r="E230" s="65"/>
      <c r="F230" s="65"/>
      <c r="R230" s="39"/>
    </row>
    <row r="231" spans="4:18" ht="15" x14ac:dyDescent="0.25">
      <c r="D231" s="65"/>
      <c r="E231" s="65"/>
      <c r="F231" s="65"/>
      <c r="R231" s="39"/>
    </row>
    <row r="232" spans="4:18" ht="15" x14ac:dyDescent="0.25">
      <c r="D232" s="65"/>
      <c r="E232" s="65"/>
      <c r="F232" s="65"/>
      <c r="R232" s="39"/>
    </row>
    <row r="233" spans="4:18" ht="15" x14ac:dyDescent="0.25">
      <c r="D233" s="65"/>
      <c r="E233" s="65"/>
      <c r="F233" s="65"/>
      <c r="R233" s="39"/>
    </row>
    <row r="234" spans="4:18" ht="15" x14ac:dyDescent="0.25">
      <c r="D234" s="65"/>
      <c r="E234" s="65"/>
      <c r="F234" s="65"/>
      <c r="R234" s="39"/>
    </row>
    <row r="235" spans="4:18" ht="15" x14ac:dyDescent="0.25">
      <c r="D235" s="65"/>
      <c r="E235" s="65"/>
      <c r="F235" s="65"/>
      <c r="R235" s="39"/>
    </row>
    <row r="236" spans="4:18" ht="15" x14ac:dyDescent="0.25">
      <c r="D236" s="65"/>
      <c r="E236" s="65"/>
      <c r="F236" s="65"/>
      <c r="R236" s="39"/>
    </row>
    <row r="237" spans="4:18" ht="15" x14ac:dyDescent="0.25">
      <c r="D237" s="65"/>
      <c r="E237" s="65"/>
      <c r="F237" s="65"/>
      <c r="R237" s="39"/>
    </row>
    <row r="238" spans="4:18" ht="15" x14ac:dyDescent="0.25">
      <c r="D238" s="65"/>
      <c r="E238" s="65"/>
      <c r="F238" s="65"/>
      <c r="R238" s="39"/>
    </row>
    <row r="239" spans="4:18" ht="15" x14ac:dyDescent="0.25">
      <c r="D239" s="65"/>
      <c r="E239" s="65"/>
      <c r="F239" s="65"/>
      <c r="R239" s="39"/>
    </row>
    <row r="240" spans="4:18" ht="15" x14ac:dyDescent="0.25">
      <c r="D240" s="65"/>
      <c r="E240" s="65"/>
      <c r="F240" s="65"/>
      <c r="R240" s="39"/>
    </row>
    <row r="241" spans="4:18" ht="15" x14ac:dyDescent="0.25">
      <c r="D241" s="65"/>
      <c r="E241" s="65"/>
      <c r="F241" s="65"/>
      <c r="R241" s="39"/>
    </row>
    <row r="242" spans="4:18" ht="15" x14ac:dyDescent="0.25">
      <c r="D242" s="65"/>
      <c r="E242" s="65"/>
      <c r="F242" s="65"/>
      <c r="R242" s="39"/>
    </row>
    <row r="243" spans="4:18" ht="15" x14ac:dyDescent="0.25">
      <c r="D243" s="65"/>
      <c r="E243" s="65"/>
      <c r="F243" s="65"/>
      <c r="R243" s="39"/>
    </row>
    <row r="244" spans="4:18" ht="15" x14ac:dyDescent="0.25">
      <c r="D244" s="65"/>
      <c r="E244" s="65"/>
      <c r="F244" s="65"/>
      <c r="R244" s="39"/>
    </row>
    <row r="245" spans="4:18" ht="15" x14ac:dyDescent="0.25">
      <c r="D245" s="65"/>
      <c r="E245" s="65"/>
      <c r="F245" s="65"/>
      <c r="R245" s="39"/>
    </row>
    <row r="246" spans="4:18" ht="15" x14ac:dyDescent="0.25">
      <c r="D246" s="65"/>
      <c r="E246" s="65"/>
      <c r="F246" s="65"/>
      <c r="R246" s="39"/>
    </row>
    <row r="247" spans="4:18" ht="15" x14ac:dyDescent="0.25">
      <c r="D247" s="65"/>
      <c r="E247" s="65"/>
      <c r="F247" s="65"/>
      <c r="R247" s="39"/>
    </row>
    <row r="248" spans="4:18" ht="15" x14ac:dyDescent="0.25">
      <c r="D248" s="65"/>
      <c r="E248" s="65"/>
      <c r="F248" s="65"/>
      <c r="R248" s="39"/>
    </row>
    <row r="249" spans="4:18" ht="15" x14ac:dyDescent="0.25">
      <c r="D249" s="65"/>
      <c r="E249" s="65"/>
      <c r="F249" s="65"/>
      <c r="R249" s="39"/>
    </row>
    <row r="250" spans="4:18" ht="15" x14ac:dyDescent="0.25">
      <c r="D250" s="65"/>
      <c r="E250" s="65"/>
      <c r="F250" s="65"/>
      <c r="R250" s="39"/>
    </row>
    <row r="251" spans="4:18" ht="15" x14ac:dyDescent="0.25">
      <c r="D251" s="65"/>
      <c r="E251" s="65"/>
      <c r="F251" s="65"/>
      <c r="R251" s="39"/>
    </row>
    <row r="252" spans="4:18" ht="15" x14ac:dyDescent="0.25">
      <c r="D252" s="65"/>
      <c r="E252" s="65"/>
      <c r="F252" s="65"/>
      <c r="R252" s="39"/>
    </row>
    <row r="253" spans="4:18" ht="15" x14ac:dyDescent="0.25">
      <c r="D253" s="65"/>
      <c r="E253" s="65"/>
      <c r="F253" s="65"/>
      <c r="R253" s="39"/>
    </row>
    <row r="254" spans="4:18" ht="15" x14ac:dyDescent="0.25">
      <c r="D254" s="65"/>
      <c r="E254" s="65"/>
      <c r="F254" s="65"/>
      <c r="R254" s="39"/>
    </row>
    <row r="255" spans="4:18" ht="15" x14ac:dyDescent="0.25">
      <c r="D255" s="65"/>
      <c r="E255" s="65"/>
      <c r="F255" s="65"/>
      <c r="R255" s="39"/>
    </row>
    <row r="256" spans="4:18" ht="15" x14ac:dyDescent="0.25">
      <c r="D256" s="65"/>
      <c r="E256" s="65"/>
      <c r="F256" s="65"/>
      <c r="R256" s="39"/>
    </row>
    <row r="257" spans="4:18" ht="15" x14ac:dyDescent="0.25">
      <c r="D257" s="65"/>
      <c r="E257" s="65"/>
      <c r="F257" s="65"/>
      <c r="R257" s="39"/>
    </row>
    <row r="258" spans="4:18" ht="15" x14ac:dyDescent="0.25">
      <c r="D258" s="65"/>
      <c r="E258" s="65"/>
      <c r="F258" s="65"/>
      <c r="R258" s="39"/>
    </row>
    <row r="259" spans="4:18" ht="15" x14ac:dyDescent="0.25">
      <c r="D259" s="65"/>
      <c r="E259" s="65"/>
      <c r="F259" s="65"/>
      <c r="R259" s="39"/>
    </row>
    <row r="260" spans="4:18" ht="15" x14ac:dyDescent="0.25">
      <c r="D260" s="65"/>
      <c r="E260" s="65"/>
      <c r="F260" s="65"/>
      <c r="R260" s="39"/>
    </row>
    <row r="261" spans="4:18" ht="15" x14ac:dyDescent="0.25">
      <c r="D261" s="65"/>
      <c r="E261" s="65"/>
      <c r="F261" s="65"/>
      <c r="R261" s="39"/>
    </row>
    <row r="262" spans="4:18" ht="15" x14ac:dyDescent="0.25">
      <c r="D262" s="65"/>
      <c r="E262" s="65"/>
      <c r="F262" s="65"/>
      <c r="R262" s="39"/>
    </row>
    <row r="263" spans="4:18" ht="15" x14ac:dyDescent="0.25">
      <c r="D263" s="65"/>
      <c r="E263" s="65"/>
      <c r="F263" s="65"/>
      <c r="R263" s="39"/>
    </row>
    <row r="264" spans="4:18" ht="15" x14ac:dyDescent="0.25">
      <c r="D264" s="65"/>
      <c r="E264" s="65"/>
      <c r="F264" s="65"/>
      <c r="R264" s="39"/>
    </row>
    <row r="265" spans="4:18" ht="15" x14ac:dyDescent="0.25">
      <c r="D265" s="65"/>
      <c r="E265" s="65"/>
      <c r="F265" s="65"/>
      <c r="R265" s="39"/>
    </row>
    <row r="266" spans="4:18" ht="15" x14ac:dyDescent="0.25">
      <c r="D266" s="65"/>
      <c r="E266" s="65"/>
      <c r="F266" s="65"/>
      <c r="R266" s="39"/>
    </row>
    <row r="267" spans="4:18" ht="15" x14ac:dyDescent="0.25">
      <c r="D267" s="65"/>
      <c r="E267" s="65"/>
      <c r="F267" s="65"/>
      <c r="R267" s="39"/>
    </row>
    <row r="268" spans="4:18" ht="15" x14ac:dyDescent="0.25">
      <c r="D268" s="65"/>
      <c r="E268" s="65"/>
      <c r="F268" s="65"/>
      <c r="R268" s="39"/>
    </row>
    <row r="269" spans="4:18" ht="15" x14ac:dyDescent="0.25">
      <c r="D269" s="65"/>
      <c r="E269" s="65"/>
      <c r="F269" s="65"/>
      <c r="R269" s="39"/>
    </row>
    <row r="270" spans="4:18" ht="15" x14ac:dyDescent="0.25">
      <c r="D270" s="65"/>
      <c r="E270" s="65"/>
      <c r="F270" s="65"/>
      <c r="R270" s="39"/>
    </row>
    <row r="271" spans="4:18" ht="15" x14ac:dyDescent="0.25">
      <c r="D271" s="65"/>
      <c r="E271" s="65"/>
      <c r="F271" s="65"/>
      <c r="R271" s="39"/>
    </row>
    <row r="272" spans="4:18" ht="15" x14ac:dyDescent="0.25">
      <c r="D272" s="65"/>
      <c r="E272" s="65"/>
      <c r="F272" s="65"/>
      <c r="R272" s="39"/>
    </row>
    <row r="273" spans="4:18" ht="15" x14ac:dyDescent="0.25">
      <c r="D273" s="65"/>
      <c r="E273" s="65"/>
      <c r="F273" s="65"/>
      <c r="R273" s="39"/>
    </row>
    <row r="274" spans="4:18" ht="15" x14ac:dyDescent="0.25">
      <c r="D274" s="65"/>
      <c r="E274" s="65"/>
      <c r="F274" s="65"/>
      <c r="R274" s="39"/>
    </row>
    <row r="275" spans="4:18" ht="15" x14ac:dyDescent="0.25">
      <c r="D275" s="65"/>
      <c r="E275" s="65"/>
      <c r="F275" s="65"/>
      <c r="R275" s="39"/>
    </row>
    <row r="276" spans="4:18" ht="15" x14ac:dyDescent="0.25">
      <c r="D276" s="65"/>
      <c r="E276" s="65"/>
      <c r="F276" s="65"/>
      <c r="R276" s="39"/>
    </row>
    <row r="277" spans="4:18" ht="15" x14ac:dyDescent="0.25">
      <c r="D277" s="65"/>
      <c r="E277" s="65"/>
      <c r="F277" s="65"/>
      <c r="R277" s="39"/>
    </row>
    <row r="278" spans="4:18" ht="15" x14ac:dyDescent="0.25">
      <c r="D278" s="65"/>
      <c r="E278" s="65"/>
      <c r="F278" s="65"/>
      <c r="R278" s="39"/>
    </row>
    <row r="279" spans="4:18" ht="15" x14ac:dyDescent="0.25">
      <c r="D279" s="65"/>
      <c r="E279" s="65"/>
      <c r="F279" s="65"/>
      <c r="R279" s="39"/>
    </row>
    <row r="280" spans="4:18" ht="15" x14ac:dyDescent="0.25">
      <c r="D280" s="65"/>
      <c r="E280" s="65"/>
      <c r="F280" s="65"/>
      <c r="R280" s="39"/>
    </row>
    <row r="281" spans="4:18" ht="15" x14ac:dyDescent="0.25">
      <c r="D281" s="65"/>
      <c r="E281" s="65"/>
      <c r="F281" s="65"/>
      <c r="R281" s="39"/>
    </row>
    <row r="282" spans="4:18" ht="15" x14ac:dyDescent="0.25">
      <c r="D282" s="65"/>
      <c r="E282" s="65"/>
      <c r="F282" s="65"/>
      <c r="R282" s="39"/>
    </row>
    <row r="283" spans="4:18" ht="15" x14ac:dyDescent="0.25">
      <c r="D283" s="65"/>
      <c r="E283" s="65"/>
      <c r="F283" s="65"/>
      <c r="R283" s="39"/>
    </row>
    <row r="284" spans="4:18" ht="15" x14ac:dyDescent="0.25">
      <c r="D284" s="65"/>
      <c r="E284" s="65"/>
      <c r="F284" s="65"/>
      <c r="R284" s="39"/>
    </row>
    <row r="285" spans="4:18" ht="15" x14ac:dyDescent="0.25">
      <c r="D285" s="65"/>
      <c r="E285" s="65"/>
      <c r="F285" s="65"/>
      <c r="R285" s="39"/>
    </row>
    <row r="286" spans="4:18" ht="15" x14ac:dyDescent="0.25">
      <c r="D286" s="65"/>
      <c r="E286" s="65"/>
      <c r="F286" s="65"/>
      <c r="R286" s="39"/>
    </row>
    <row r="287" spans="4:18" ht="15" x14ac:dyDescent="0.25">
      <c r="D287" s="65"/>
      <c r="E287" s="65"/>
      <c r="F287" s="65"/>
      <c r="R287" s="39"/>
    </row>
    <row r="288" spans="4:18" ht="15" x14ac:dyDescent="0.25">
      <c r="D288" s="65"/>
      <c r="E288" s="65"/>
      <c r="F288" s="65"/>
      <c r="R288" s="39"/>
    </row>
    <row r="289" spans="4:18" ht="15" x14ac:dyDescent="0.25">
      <c r="D289" s="65"/>
      <c r="E289" s="65"/>
      <c r="F289" s="65"/>
      <c r="R289" s="39"/>
    </row>
    <row r="290" spans="4:18" ht="15" x14ac:dyDescent="0.25">
      <c r="D290" s="65"/>
      <c r="E290" s="65"/>
      <c r="F290" s="65"/>
      <c r="R290" s="39"/>
    </row>
    <row r="291" spans="4:18" ht="15" x14ac:dyDescent="0.25">
      <c r="D291" s="65"/>
      <c r="E291" s="65"/>
      <c r="F291" s="65"/>
      <c r="R291" s="39"/>
    </row>
    <row r="292" spans="4:18" ht="15" x14ac:dyDescent="0.25">
      <c r="D292" s="65"/>
      <c r="E292" s="65"/>
      <c r="F292" s="65"/>
      <c r="R292" s="39"/>
    </row>
    <row r="293" spans="4:18" ht="15" x14ac:dyDescent="0.25">
      <c r="D293" s="65"/>
      <c r="E293" s="65"/>
      <c r="F293" s="65"/>
      <c r="R293" s="39"/>
    </row>
    <row r="294" spans="4:18" ht="15" x14ac:dyDescent="0.25">
      <c r="D294" s="65"/>
      <c r="E294" s="65"/>
      <c r="F294" s="65"/>
      <c r="R294" s="39"/>
    </row>
    <row r="295" spans="4:18" ht="15" x14ac:dyDescent="0.25">
      <c r="D295" s="65"/>
      <c r="E295" s="65"/>
      <c r="F295" s="65"/>
      <c r="R295" s="39"/>
    </row>
    <row r="296" spans="4:18" ht="15" x14ac:dyDescent="0.25">
      <c r="D296" s="65"/>
      <c r="E296" s="65"/>
      <c r="F296" s="65"/>
      <c r="R296" s="39"/>
    </row>
    <row r="297" spans="4:18" ht="15" x14ac:dyDescent="0.25">
      <c r="D297" s="65"/>
      <c r="E297" s="65"/>
      <c r="F297" s="65"/>
      <c r="R297" s="39"/>
    </row>
    <row r="298" spans="4:18" ht="15" x14ac:dyDescent="0.25">
      <c r="D298" s="65"/>
      <c r="E298" s="65"/>
      <c r="F298" s="65"/>
      <c r="R298" s="39"/>
    </row>
    <row r="299" spans="4:18" ht="15" x14ac:dyDescent="0.25">
      <c r="D299" s="65"/>
      <c r="E299" s="65"/>
      <c r="F299" s="65"/>
      <c r="R299" s="39"/>
    </row>
    <row r="300" spans="4:18" ht="15" x14ac:dyDescent="0.25">
      <c r="D300" s="65"/>
      <c r="E300" s="65"/>
      <c r="F300" s="65"/>
      <c r="R300" s="39"/>
    </row>
    <row r="301" spans="4:18" ht="15" x14ac:dyDescent="0.25">
      <c r="D301" s="65"/>
      <c r="E301" s="65"/>
      <c r="F301" s="65"/>
      <c r="R301" s="39"/>
    </row>
    <row r="302" spans="4:18" ht="15" x14ac:dyDescent="0.25">
      <c r="D302" s="65"/>
      <c r="E302" s="65"/>
      <c r="F302" s="65"/>
      <c r="R302" s="39"/>
    </row>
    <row r="303" spans="4:18" ht="15" x14ac:dyDescent="0.25">
      <c r="D303" s="65"/>
      <c r="E303" s="65"/>
      <c r="F303" s="65"/>
      <c r="R303" s="39"/>
    </row>
    <row r="304" spans="4:18" ht="15" x14ac:dyDescent="0.25">
      <c r="D304" s="65"/>
      <c r="E304" s="65"/>
      <c r="F304" s="65"/>
      <c r="R304" s="39"/>
    </row>
    <row r="305" spans="4:18" ht="15" x14ac:dyDescent="0.25">
      <c r="D305" s="65"/>
      <c r="E305" s="65"/>
      <c r="F305" s="65"/>
      <c r="R305" s="39"/>
    </row>
    <row r="306" spans="4:18" ht="15" x14ac:dyDescent="0.25">
      <c r="D306" s="65"/>
      <c r="E306" s="65"/>
      <c r="F306" s="65"/>
      <c r="R306" s="39"/>
    </row>
    <row r="307" spans="4:18" ht="15" x14ac:dyDescent="0.25">
      <c r="D307" s="65"/>
      <c r="E307" s="65"/>
      <c r="F307" s="65"/>
      <c r="R307" s="39"/>
    </row>
    <row r="308" spans="4:18" ht="15" x14ac:dyDescent="0.25">
      <c r="D308" s="65"/>
      <c r="E308" s="65"/>
      <c r="F308" s="65"/>
      <c r="R308" s="39"/>
    </row>
    <row r="309" spans="4:18" ht="15" x14ac:dyDescent="0.25">
      <c r="D309" s="65"/>
      <c r="E309" s="65"/>
      <c r="F309" s="65"/>
      <c r="R309" s="39"/>
    </row>
    <row r="310" spans="4:18" ht="15" x14ac:dyDescent="0.25">
      <c r="D310" s="65"/>
      <c r="E310" s="65"/>
      <c r="F310" s="65"/>
      <c r="R310" s="39"/>
    </row>
    <row r="311" spans="4:18" ht="15" x14ac:dyDescent="0.25">
      <c r="D311" s="65"/>
      <c r="E311" s="65"/>
      <c r="F311" s="65"/>
      <c r="R311" s="39"/>
    </row>
    <row r="312" spans="4:18" ht="15" x14ac:dyDescent="0.25">
      <c r="D312" s="65"/>
      <c r="E312" s="65"/>
      <c r="F312" s="65"/>
      <c r="R312" s="39"/>
    </row>
    <row r="313" spans="4:18" ht="15" x14ac:dyDescent="0.25">
      <c r="D313" s="65"/>
      <c r="E313" s="65"/>
      <c r="F313" s="65"/>
      <c r="R313" s="39"/>
    </row>
    <row r="314" spans="4:18" ht="15" x14ac:dyDescent="0.25">
      <c r="D314" s="65"/>
      <c r="E314" s="65"/>
      <c r="F314" s="65"/>
      <c r="R314" s="39"/>
    </row>
    <row r="315" spans="4:18" ht="15" x14ac:dyDescent="0.25">
      <c r="D315" s="65"/>
      <c r="E315" s="65"/>
      <c r="F315" s="65"/>
      <c r="R315" s="39"/>
    </row>
    <row r="316" spans="4:18" ht="15" x14ac:dyDescent="0.25">
      <c r="D316" s="65"/>
      <c r="E316" s="65"/>
      <c r="F316" s="65"/>
      <c r="R316" s="39"/>
    </row>
    <row r="317" spans="4:18" ht="15" x14ac:dyDescent="0.25">
      <c r="D317" s="65"/>
      <c r="E317" s="65"/>
      <c r="F317" s="65"/>
      <c r="R317" s="39"/>
    </row>
    <row r="318" spans="4:18" ht="15" x14ac:dyDescent="0.25">
      <c r="D318" s="65"/>
      <c r="E318" s="65"/>
      <c r="F318" s="65"/>
      <c r="R318" s="39"/>
    </row>
    <row r="319" spans="4:18" ht="15" x14ac:dyDescent="0.25">
      <c r="D319" s="65"/>
      <c r="E319" s="65"/>
      <c r="F319" s="65"/>
      <c r="R319" s="39"/>
    </row>
    <row r="320" spans="4:18" ht="15" x14ac:dyDescent="0.25">
      <c r="D320" s="65"/>
      <c r="E320" s="65"/>
      <c r="F320" s="65"/>
      <c r="R320" s="39"/>
    </row>
    <row r="321" spans="4:18" ht="15" x14ac:dyDescent="0.25">
      <c r="D321" s="65"/>
      <c r="E321" s="65"/>
      <c r="F321" s="65"/>
      <c r="R321" s="39"/>
    </row>
    <row r="322" spans="4:18" ht="15" x14ac:dyDescent="0.25">
      <c r="D322" s="65"/>
      <c r="E322" s="65"/>
      <c r="F322" s="65"/>
      <c r="R322" s="39"/>
    </row>
    <row r="323" spans="4:18" ht="15" x14ac:dyDescent="0.25">
      <c r="D323" s="65"/>
      <c r="E323" s="65"/>
      <c r="F323" s="65"/>
      <c r="R323" s="39"/>
    </row>
    <row r="324" spans="4:18" ht="15" x14ac:dyDescent="0.25">
      <c r="D324" s="65"/>
      <c r="E324" s="65"/>
      <c r="F324" s="65"/>
      <c r="R324" s="39"/>
    </row>
    <row r="325" spans="4:18" ht="15" x14ac:dyDescent="0.25">
      <c r="D325" s="65"/>
      <c r="E325" s="65"/>
      <c r="F325" s="65"/>
      <c r="R325" s="39"/>
    </row>
    <row r="326" spans="4:18" ht="15" x14ac:dyDescent="0.25">
      <c r="D326" s="65"/>
      <c r="E326" s="65"/>
      <c r="F326" s="65"/>
      <c r="R326" s="39"/>
    </row>
    <row r="327" spans="4:18" ht="15" x14ac:dyDescent="0.25">
      <c r="D327" s="65"/>
      <c r="E327" s="65"/>
      <c r="F327" s="65"/>
      <c r="R327" s="39"/>
    </row>
    <row r="328" spans="4:18" ht="15" x14ac:dyDescent="0.25">
      <c r="D328" s="65"/>
      <c r="E328" s="65"/>
      <c r="F328" s="65"/>
      <c r="R328" s="39"/>
    </row>
    <row r="329" spans="4:18" ht="15" x14ac:dyDescent="0.25">
      <c r="D329" s="65"/>
      <c r="E329" s="65"/>
      <c r="F329" s="65"/>
      <c r="R329" s="39"/>
    </row>
    <row r="330" spans="4:18" ht="15" x14ac:dyDescent="0.25">
      <c r="D330" s="65"/>
      <c r="E330" s="65"/>
      <c r="F330" s="65"/>
      <c r="R330" s="39"/>
    </row>
    <row r="331" spans="4:18" ht="15" x14ac:dyDescent="0.25">
      <c r="D331" s="65"/>
      <c r="E331" s="65"/>
      <c r="F331" s="65"/>
      <c r="R331" s="39"/>
    </row>
    <row r="332" spans="4:18" ht="15" x14ac:dyDescent="0.25">
      <c r="D332" s="65"/>
      <c r="E332" s="65"/>
      <c r="F332" s="65"/>
      <c r="R332" s="39"/>
    </row>
    <row r="333" spans="4:18" ht="15" x14ac:dyDescent="0.25">
      <c r="D333" s="65"/>
      <c r="E333" s="65"/>
      <c r="F333" s="65"/>
      <c r="R333" s="39"/>
    </row>
    <row r="334" spans="4:18" ht="15" x14ac:dyDescent="0.25">
      <c r="D334" s="65"/>
      <c r="E334" s="65"/>
      <c r="F334" s="65"/>
      <c r="R334" s="39"/>
    </row>
    <row r="335" spans="4:18" ht="15" x14ac:dyDescent="0.25">
      <c r="D335" s="65"/>
      <c r="E335" s="65"/>
      <c r="F335" s="65"/>
      <c r="R335" s="39"/>
    </row>
    <row r="336" spans="4:18" ht="15" x14ac:dyDescent="0.25">
      <c r="D336" s="65"/>
      <c r="E336" s="65"/>
      <c r="F336" s="65"/>
      <c r="R336" s="39"/>
    </row>
    <row r="337" spans="4:18" ht="15" x14ac:dyDescent="0.25">
      <c r="D337" s="65"/>
      <c r="E337" s="65"/>
      <c r="F337" s="65"/>
      <c r="R337" s="39"/>
    </row>
    <row r="338" spans="4:18" ht="15" x14ac:dyDescent="0.25">
      <c r="D338" s="65"/>
      <c r="E338" s="65"/>
      <c r="F338" s="65"/>
      <c r="R338" s="39"/>
    </row>
    <row r="339" spans="4:18" ht="15" x14ac:dyDescent="0.25">
      <c r="D339" s="65"/>
      <c r="E339" s="65"/>
      <c r="F339" s="65"/>
      <c r="R339" s="39"/>
    </row>
    <row r="340" spans="4:18" ht="15" x14ac:dyDescent="0.25">
      <c r="D340" s="65"/>
      <c r="E340" s="65"/>
      <c r="F340" s="65"/>
      <c r="R340" s="39"/>
    </row>
    <row r="341" spans="4:18" ht="15" x14ac:dyDescent="0.25">
      <c r="D341" s="65"/>
      <c r="E341" s="65"/>
      <c r="F341" s="65"/>
      <c r="R341" s="39"/>
    </row>
    <row r="342" spans="4:18" ht="15" x14ac:dyDescent="0.25">
      <c r="D342" s="65"/>
      <c r="E342" s="65"/>
      <c r="F342" s="65"/>
      <c r="R342" s="39"/>
    </row>
    <row r="343" spans="4:18" ht="15" x14ac:dyDescent="0.25">
      <c r="D343" s="65"/>
      <c r="E343" s="65"/>
      <c r="F343" s="65"/>
      <c r="R343" s="39"/>
    </row>
    <row r="344" spans="4:18" ht="15" x14ac:dyDescent="0.25">
      <c r="D344" s="65"/>
      <c r="E344" s="65"/>
      <c r="F344" s="65"/>
      <c r="R344" s="39"/>
    </row>
    <row r="345" spans="4:18" ht="15" x14ac:dyDescent="0.25">
      <c r="D345" s="65"/>
      <c r="E345" s="65"/>
      <c r="F345" s="65"/>
      <c r="R345" s="39"/>
    </row>
    <row r="346" spans="4:18" ht="15" x14ac:dyDescent="0.25">
      <c r="D346" s="65"/>
      <c r="E346" s="65"/>
      <c r="F346" s="65"/>
      <c r="R346" s="39"/>
    </row>
    <row r="347" spans="4:18" ht="15" x14ac:dyDescent="0.25">
      <c r="D347" s="65"/>
      <c r="E347" s="65"/>
      <c r="F347" s="65"/>
      <c r="R347" s="39"/>
    </row>
    <row r="348" spans="4:18" ht="15" x14ac:dyDescent="0.25">
      <c r="D348" s="65"/>
      <c r="E348" s="65"/>
      <c r="F348" s="65"/>
      <c r="R348" s="39"/>
    </row>
    <row r="349" spans="4:18" ht="15" x14ac:dyDescent="0.25">
      <c r="D349" s="65"/>
      <c r="E349" s="65"/>
      <c r="F349" s="65"/>
      <c r="R349" s="39"/>
    </row>
    <row r="350" spans="4:18" ht="15" x14ac:dyDescent="0.25">
      <c r="D350" s="65"/>
      <c r="E350" s="65"/>
      <c r="F350" s="65"/>
      <c r="R350" s="39"/>
    </row>
    <row r="351" spans="4:18" ht="15" x14ac:dyDescent="0.25">
      <c r="D351" s="65"/>
      <c r="E351" s="65"/>
      <c r="F351" s="65"/>
      <c r="R351" s="39"/>
    </row>
    <row r="352" spans="4:18" ht="15" x14ac:dyDescent="0.25">
      <c r="D352" s="65"/>
      <c r="E352" s="65"/>
      <c r="F352" s="65"/>
      <c r="R352" s="39"/>
    </row>
    <row r="353" spans="4:18" ht="15" x14ac:dyDescent="0.25">
      <c r="D353" s="65"/>
      <c r="E353" s="65"/>
      <c r="F353" s="65"/>
      <c r="R353" s="39"/>
    </row>
    <row r="354" spans="4:18" ht="15" x14ac:dyDescent="0.25">
      <c r="D354" s="65"/>
      <c r="E354" s="65"/>
      <c r="F354" s="65"/>
      <c r="R354" s="39"/>
    </row>
    <row r="355" spans="4:18" ht="15" x14ac:dyDescent="0.25">
      <c r="D355" s="65"/>
      <c r="E355" s="65"/>
      <c r="F355" s="65"/>
      <c r="R355" s="39"/>
    </row>
    <row r="356" spans="4:18" ht="15" x14ac:dyDescent="0.25">
      <c r="D356" s="65"/>
      <c r="E356" s="65"/>
      <c r="F356" s="65"/>
      <c r="R356" s="39"/>
    </row>
    <row r="357" spans="4:18" ht="15" x14ac:dyDescent="0.25">
      <c r="D357" s="65"/>
      <c r="E357" s="65"/>
      <c r="F357" s="65"/>
      <c r="R357" s="39"/>
    </row>
    <row r="358" spans="4:18" ht="15" x14ac:dyDescent="0.25">
      <c r="D358" s="65"/>
      <c r="E358" s="65"/>
      <c r="F358" s="65"/>
      <c r="R358" s="39"/>
    </row>
    <row r="359" spans="4:18" ht="15" x14ac:dyDescent="0.25">
      <c r="D359" s="65"/>
      <c r="E359" s="65"/>
      <c r="F359" s="65"/>
      <c r="R359" s="39"/>
    </row>
    <row r="360" spans="4:18" ht="15" x14ac:dyDescent="0.25">
      <c r="D360" s="65"/>
      <c r="E360" s="65"/>
      <c r="F360" s="65"/>
      <c r="R360" s="39"/>
    </row>
    <row r="361" spans="4:18" ht="15" x14ac:dyDescent="0.25">
      <c r="D361" s="65"/>
      <c r="E361" s="65"/>
      <c r="F361" s="65"/>
      <c r="R361" s="39"/>
    </row>
    <row r="362" spans="4:18" ht="15" x14ac:dyDescent="0.25">
      <c r="D362" s="65"/>
      <c r="E362" s="65"/>
      <c r="F362" s="65"/>
      <c r="R362" s="39"/>
    </row>
    <row r="363" spans="4:18" ht="15" x14ac:dyDescent="0.25">
      <c r="D363" s="65"/>
      <c r="E363" s="65"/>
      <c r="F363" s="65"/>
      <c r="R363" s="39"/>
    </row>
    <row r="364" spans="4:18" ht="15" x14ac:dyDescent="0.25">
      <c r="D364" s="65"/>
      <c r="E364" s="65"/>
      <c r="F364" s="65"/>
      <c r="R364" s="39"/>
    </row>
    <row r="365" spans="4:18" ht="15" x14ac:dyDescent="0.25">
      <c r="D365" s="65"/>
      <c r="E365" s="65"/>
      <c r="F365" s="65"/>
      <c r="R365" s="39"/>
    </row>
    <row r="366" spans="4:18" ht="15" x14ac:dyDescent="0.25">
      <c r="D366" s="65"/>
      <c r="E366" s="65"/>
      <c r="F366" s="65"/>
      <c r="R366" s="39"/>
    </row>
    <row r="367" spans="4:18" ht="15" x14ac:dyDescent="0.25">
      <c r="D367" s="65"/>
      <c r="E367" s="65"/>
      <c r="F367" s="65"/>
      <c r="R367" s="39"/>
    </row>
    <row r="368" spans="4:18" ht="15" x14ac:dyDescent="0.25">
      <c r="D368" s="65"/>
      <c r="E368" s="65"/>
      <c r="F368" s="65"/>
      <c r="R368" s="39"/>
    </row>
    <row r="369" spans="4:18" ht="15" x14ac:dyDescent="0.25">
      <c r="D369" s="65"/>
      <c r="E369" s="65"/>
      <c r="F369" s="65"/>
      <c r="R369" s="39"/>
    </row>
    <row r="370" spans="4:18" ht="15" x14ac:dyDescent="0.25">
      <c r="D370" s="65"/>
      <c r="E370" s="65"/>
      <c r="F370" s="65"/>
      <c r="R370" s="39"/>
    </row>
    <row r="371" spans="4:18" ht="15" x14ac:dyDescent="0.25">
      <c r="D371" s="65"/>
      <c r="E371" s="65"/>
      <c r="F371" s="65"/>
      <c r="R371" s="39"/>
    </row>
    <row r="372" spans="4:18" ht="15" x14ac:dyDescent="0.25">
      <c r="D372" s="65"/>
      <c r="E372" s="65"/>
      <c r="F372" s="65"/>
      <c r="R372" s="39"/>
    </row>
    <row r="373" spans="4:18" ht="15" x14ac:dyDescent="0.25">
      <c r="D373" s="65"/>
      <c r="E373" s="65"/>
      <c r="F373" s="65"/>
      <c r="R373" s="39"/>
    </row>
    <row r="374" spans="4:18" ht="15" x14ac:dyDescent="0.25">
      <c r="D374" s="65"/>
      <c r="E374" s="65"/>
      <c r="F374" s="65"/>
      <c r="R374" s="39"/>
    </row>
    <row r="375" spans="4:18" ht="15" x14ac:dyDescent="0.25">
      <c r="D375" s="65"/>
      <c r="E375" s="65"/>
      <c r="F375" s="65"/>
      <c r="R375" s="39"/>
    </row>
    <row r="376" spans="4:18" ht="15" x14ac:dyDescent="0.25">
      <c r="D376" s="65"/>
      <c r="E376" s="65"/>
      <c r="F376" s="65"/>
      <c r="R376" s="39"/>
    </row>
    <row r="377" spans="4:18" ht="15" x14ac:dyDescent="0.25">
      <c r="D377" s="65"/>
      <c r="E377" s="65"/>
      <c r="F377" s="65"/>
      <c r="R377" s="39"/>
    </row>
    <row r="378" spans="4:18" ht="15" x14ac:dyDescent="0.25">
      <c r="D378" s="65"/>
      <c r="E378" s="65"/>
      <c r="F378" s="65"/>
      <c r="R378" s="39"/>
    </row>
    <row r="379" spans="4:18" ht="15" x14ac:dyDescent="0.25">
      <c r="D379" s="65"/>
      <c r="E379" s="65"/>
      <c r="F379" s="65"/>
      <c r="R379" s="39"/>
    </row>
    <row r="380" spans="4:18" ht="15" x14ac:dyDescent="0.25">
      <c r="D380" s="65"/>
      <c r="E380" s="65"/>
      <c r="F380" s="65"/>
      <c r="R380" s="39"/>
    </row>
    <row r="381" spans="4:18" ht="15" x14ac:dyDescent="0.25">
      <c r="D381" s="65"/>
      <c r="E381" s="65"/>
      <c r="F381" s="65"/>
      <c r="R381" s="39"/>
    </row>
    <row r="382" spans="4:18" ht="15" x14ac:dyDescent="0.25">
      <c r="D382" s="65"/>
      <c r="E382" s="65"/>
      <c r="F382" s="65"/>
      <c r="R382" s="39"/>
    </row>
    <row r="383" spans="4:18" ht="15" x14ac:dyDescent="0.25">
      <c r="D383" s="65"/>
      <c r="E383" s="65"/>
      <c r="F383" s="65"/>
      <c r="R383" s="39"/>
    </row>
    <row r="384" spans="4:18" ht="15" x14ac:dyDescent="0.25">
      <c r="D384" s="65"/>
      <c r="E384" s="65"/>
      <c r="F384" s="65"/>
      <c r="R384" s="39"/>
    </row>
    <row r="385" spans="4:18" ht="15" x14ac:dyDescent="0.25">
      <c r="D385" s="65"/>
      <c r="E385" s="65"/>
      <c r="F385" s="65"/>
      <c r="R385" s="39"/>
    </row>
    <row r="386" spans="4:18" ht="15" x14ac:dyDescent="0.25">
      <c r="D386" s="65"/>
      <c r="E386" s="65"/>
      <c r="F386" s="65"/>
      <c r="R386" s="39"/>
    </row>
    <row r="387" spans="4:18" ht="15" x14ac:dyDescent="0.25">
      <c r="D387" s="65"/>
      <c r="E387" s="65"/>
      <c r="F387" s="65"/>
      <c r="R387" s="39"/>
    </row>
    <row r="388" spans="4:18" ht="15" x14ac:dyDescent="0.25">
      <c r="D388" s="65"/>
      <c r="E388" s="65"/>
      <c r="F388" s="65"/>
      <c r="R388" s="39"/>
    </row>
    <row r="389" spans="4:18" ht="15" x14ac:dyDescent="0.25">
      <c r="D389" s="65"/>
      <c r="E389" s="65"/>
      <c r="F389" s="65"/>
      <c r="R389" s="39"/>
    </row>
    <row r="390" spans="4:18" ht="15" x14ac:dyDescent="0.25">
      <c r="D390" s="65"/>
      <c r="E390" s="65"/>
      <c r="F390" s="65"/>
      <c r="R390" s="39"/>
    </row>
    <row r="391" spans="4:18" ht="15" x14ac:dyDescent="0.25">
      <c r="D391" s="65"/>
      <c r="E391" s="65"/>
      <c r="F391" s="65"/>
      <c r="R391" s="39"/>
    </row>
    <row r="392" spans="4:18" ht="15" x14ac:dyDescent="0.25">
      <c r="D392" s="65"/>
      <c r="E392" s="65"/>
      <c r="F392" s="65"/>
      <c r="R392" s="39"/>
    </row>
    <row r="393" spans="4:18" ht="15" x14ac:dyDescent="0.25">
      <c r="D393" s="65"/>
      <c r="E393" s="65"/>
      <c r="F393" s="65"/>
      <c r="R393" s="39"/>
    </row>
    <row r="394" spans="4:18" ht="15" x14ac:dyDescent="0.25">
      <c r="D394" s="65"/>
      <c r="E394" s="65"/>
      <c r="F394" s="65"/>
      <c r="R394" s="39"/>
    </row>
    <row r="395" spans="4:18" ht="15" x14ac:dyDescent="0.25">
      <c r="D395" s="65"/>
      <c r="E395" s="65"/>
      <c r="F395" s="65"/>
      <c r="R395" s="39"/>
    </row>
    <row r="396" spans="4:18" ht="15" x14ac:dyDescent="0.25">
      <c r="D396" s="65"/>
      <c r="E396" s="65"/>
      <c r="F396" s="65"/>
      <c r="R396" s="39"/>
    </row>
    <row r="397" spans="4:18" ht="15" x14ac:dyDescent="0.25">
      <c r="D397" s="65"/>
      <c r="E397" s="65"/>
      <c r="F397" s="65"/>
      <c r="R397" s="39"/>
    </row>
    <row r="398" spans="4:18" ht="15" x14ac:dyDescent="0.25">
      <c r="D398" s="65"/>
      <c r="E398" s="65"/>
      <c r="F398" s="65"/>
      <c r="R398" s="39"/>
    </row>
    <row r="399" spans="4:18" ht="15" x14ac:dyDescent="0.25">
      <c r="D399" s="65"/>
      <c r="E399" s="65"/>
      <c r="F399" s="65"/>
      <c r="R399" s="39"/>
    </row>
    <row r="400" spans="4:18" ht="15" x14ac:dyDescent="0.25">
      <c r="D400" s="65"/>
      <c r="E400" s="65"/>
      <c r="F400" s="65"/>
      <c r="R400" s="39"/>
    </row>
    <row r="401" spans="4:18" ht="15" x14ac:dyDescent="0.25">
      <c r="D401" s="65"/>
      <c r="E401" s="65"/>
      <c r="F401" s="65"/>
      <c r="R401" s="39"/>
    </row>
    <row r="402" spans="4:18" ht="15" x14ac:dyDescent="0.25">
      <c r="D402" s="65"/>
      <c r="E402" s="65"/>
      <c r="F402" s="65"/>
      <c r="R402" s="39"/>
    </row>
    <row r="403" spans="4:18" ht="15" x14ac:dyDescent="0.25">
      <c r="D403" s="65"/>
      <c r="E403" s="65"/>
      <c r="F403" s="65"/>
      <c r="R403" s="39"/>
    </row>
    <row r="404" spans="4:18" ht="15" x14ac:dyDescent="0.25">
      <c r="D404" s="65"/>
      <c r="E404" s="65"/>
      <c r="F404" s="65"/>
      <c r="R404" s="39"/>
    </row>
    <row r="405" spans="4:18" ht="15" x14ac:dyDescent="0.25">
      <c r="D405" s="65"/>
      <c r="E405" s="65"/>
      <c r="F405" s="65"/>
      <c r="R405" s="39"/>
    </row>
    <row r="406" spans="4:18" ht="15" x14ac:dyDescent="0.25">
      <c r="D406" s="65"/>
      <c r="E406" s="65"/>
      <c r="F406" s="65"/>
      <c r="R406" s="39"/>
    </row>
    <row r="407" spans="4:18" ht="15" x14ac:dyDescent="0.25">
      <c r="D407" s="65"/>
      <c r="E407" s="65"/>
      <c r="F407" s="65"/>
      <c r="R407" s="39"/>
    </row>
    <row r="408" spans="4:18" ht="15" x14ac:dyDescent="0.25">
      <c r="D408" s="65"/>
      <c r="E408" s="65"/>
      <c r="F408" s="65"/>
      <c r="R408" s="39"/>
    </row>
    <row r="409" spans="4:18" ht="15" x14ac:dyDescent="0.25">
      <c r="D409" s="65"/>
      <c r="E409" s="65"/>
      <c r="F409" s="65"/>
      <c r="R409" s="39"/>
    </row>
    <row r="410" spans="4:18" ht="15" x14ac:dyDescent="0.25">
      <c r="D410" s="65"/>
      <c r="E410" s="65"/>
      <c r="F410" s="65"/>
      <c r="R410" s="39"/>
    </row>
    <row r="411" spans="4:18" ht="15" x14ac:dyDescent="0.25">
      <c r="D411" s="65"/>
      <c r="E411" s="65"/>
      <c r="F411" s="65"/>
      <c r="R411" s="39"/>
    </row>
    <row r="412" spans="4:18" ht="15" x14ac:dyDescent="0.25">
      <c r="D412" s="65"/>
      <c r="E412" s="65"/>
      <c r="F412" s="65"/>
      <c r="R412" s="39"/>
    </row>
    <row r="413" spans="4:18" ht="15" x14ac:dyDescent="0.25">
      <c r="D413" s="65"/>
      <c r="E413" s="65"/>
      <c r="F413" s="65"/>
      <c r="R413" s="39"/>
    </row>
    <row r="414" spans="4:18" ht="15" x14ac:dyDescent="0.25">
      <c r="D414" s="65"/>
      <c r="E414" s="65"/>
      <c r="F414" s="65"/>
      <c r="R414" s="39"/>
    </row>
    <row r="415" spans="4:18" ht="15" x14ac:dyDescent="0.25">
      <c r="D415" s="65"/>
      <c r="E415" s="65"/>
      <c r="F415" s="65"/>
      <c r="R415" s="39"/>
    </row>
    <row r="416" spans="4:18" ht="15" x14ac:dyDescent="0.25">
      <c r="D416" s="65"/>
      <c r="E416" s="65"/>
      <c r="F416" s="65"/>
      <c r="R416" s="39"/>
    </row>
    <row r="417" spans="4:18" ht="15" x14ac:dyDescent="0.25">
      <c r="D417" s="65"/>
      <c r="E417" s="65"/>
      <c r="F417" s="65"/>
      <c r="R417" s="39"/>
    </row>
    <row r="418" spans="4:18" ht="15" x14ac:dyDescent="0.25">
      <c r="D418" s="65"/>
      <c r="E418" s="65"/>
      <c r="F418" s="65"/>
      <c r="R418" s="39"/>
    </row>
    <row r="419" spans="4:18" ht="15" x14ac:dyDescent="0.25">
      <c r="D419" s="65"/>
      <c r="E419" s="65"/>
      <c r="F419" s="65"/>
      <c r="R419" s="39"/>
    </row>
    <row r="420" spans="4:18" ht="15" x14ac:dyDescent="0.25">
      <c r="D420" s="65"/>
      <c r="E420" s="65"/>
      <c r="F420" s="65"/>
      <c r="R420" s="39"/>
    </row>
    <row r="421" spans="4:18" ht="15" x14ac:dyDescent="0.25">
      <c r="D421" s="65"/>
      <c r="E421" s="65"/>
      <c r="F421" s="65"/>
      <c r="R421" s="39"/>
    </row>
    <row r="422" spans="4:18" ht="15" x14ac:dyDescent="0.25">
      <c r="D422" s="65"/>
      <c r="E422" s="65"/>
      <c r="F422" s="65"/>
      <c r="R422" s="39"/>
    </row>
    <row r="423" spans="4:18" ht="15" x14ac:dyDescent="0.25">
      <c r="D423" s="65"/>
      <c r="E423" s="65"/>
      <c r="F423" s="65"/>
      <c r="R423" s="39"/>
    </row>
    <row r="424" spans="4:18" ht="15" x14ac:dyDescent="0.25">
      <c r="D424" s="65"/>
      <c r="E424" s="65"/>
      <c r="F424" s="65"/>
      <c r="R424" s="39"/>
    </row>
    <row r="425" spans="4:18" ht="15" x14ac:dyDescent="0.25">
      <c r="D425" s="65"/>
      <c r="E425" s="65"/>
      <c r="F425" s="65"/>
      <c r="R425" s="39"/>
    </row>
    <row r="426" spans="4:18" ht="15" x14ac:dyDescent="0.25">
      <c r="D426" s="65"/>
      <c r="E426" s="65"/>
      <c r="F426" s="65"/>
      <c r="R426" s="39"/>
    </row>
    <row r="427" spans="4:18" ht="15" x14ac:dyDescent="0.25">
      <c r="D427" s="65"/>
      <c r="E427" s="65"/>
      <c r="F427" s="65"/>
      <c r="R427" s="39"/>
    </row>
    <row r="428" spans="4:18" ht="15" x14ac:dyDescent="0.25">
      <c r="D428" s="65"/>
      <c r="E428" s="65"/>
      <c r="F428" s="65"/>
      <c r="R428" s="39"/>
    </row>
    <row r="429" spans="4:18" ht="15" x14ac:dyDescent="0.25">
      <c r="D429" s="65"/>
      <c r="E429" s="65"/>
      <c r="F429" s="65"/>
      <c r="R429" s="39"/>
    </row>
    <row r="430" spans="4:18" ht="15" x14ac:dyDescent="0.25">
      <c r="D430" s="65"/>
      <c r="E430" s="65"/>
      <c r="F430" s="65"/>
      <c r="R430" s="39"/>
    </row>
    <row r="431" spans="4:18" ht="15" x14ac:dyDescent="0.25">
      <c r="D431" s="65"/>
      <c r="E431" s="65"/>
      <c r="F431" s="65"/>
      <c r="R431" s="39"/>
    </row>
    <row r="432" spans="4:18" ht="15" x14ac:dyDescent="0.25">
      <c r="D432" s="65"/>
      <c r="E432" s="65"/>
      <c r="F432" s="65"/>
      <c r="R432" s="39"/>
    </row>
    <row r="433" spans="4:18" ht="15" x14ac:dyDescent="0.25">
      <c r="D433" s="65"/>
      <c r="E433" s="65"/>
      <c r="F433" s="65"/>
      <c r="R433" s="39"/>
    </row>
    <row r="434" spans="4:18" ht="15" x14ac:dyDescent="0.25">
      <c r="D434" s="65"/>
      <c r="E434" s="65"/>
      <c r="F434" s="65"/>
      <c r="R434" s="39"/>
    </row>
    <row r="435" spans="4:18" ht="15" x14ac:dyDescent="0.25">
      <c r="D435" s="65"/>
      <c r="E435" s="65"/>
      <c r="F435" s="65"/>
      <c r="R435" s="39"/>
    </row>
    <row r="436" spans="4:18" ht="15" x14ac:dyDescent="0.25">
      <c r="D436" s="65"/>
      <c r="E436" s="65"/>
      <c r="F436" s="65"/>
      <c r="R436" s="39"/>
    </row>
    <row r="437" spans="4:18" ht="15" x14ac:dyDescent="0.25">
      <c r="D437" s="65"/>
      <c r="E437" s="65"/>
      <c r="F437" s="65"/>
      <c r="R437" s="39"/>
    </row>
    <row r="438" spans="4:18" ht="15" x14ac:dyDescent="0.25">
      <c r="D438" s="65"/>
      <c r="E438" s="65"/>
      <c r="F438" s="65"/>
      <c r="R438" s="39"/>
    </row>
    <row r="439" spans="4:18" ht="15" x14ac:dyDescent="0.25">
      <c r="D439" s="65"/>
      <c r="E439" s="65"/>
      <c r="F439" s="65"/>
      <c r="R439" s="39"/>
    </row>
    <row r="440" spans="4:18" ht="15" x14ac:dyDescent="0.25">
      <c r="D440" s="65"/>
      <c r="E440" s="65"/>
      <c r="F440" s="65"/>
      <c r="R440" s="39"/>
    </row>
    <row r="441" spans="4:18" ht="15" x14ac:dyDescent="0.25">
      <c r="D441" s="65"/>
      <c r="E441" s="65"/>
      <c r="F441" s="65"/>
      <c r="R441" s="39"/>
    </row>
    <row r="442" spans="4:18" ht="15" x14ac:dyDescent="0.25">
      <c r="D442" s="65"/>
      <c r="E442" s="65"/>
      <c r="F442" s="65"/>
      <c r="R442" s="39"/>
    </row>
    <row r="443" spans="4:18" ht="15" x14ac:dyDescent="0.25">
      <c r="D443" s="65"/>
      <c r="E443" s="65"/>
      <c r="F443" s="65"/>
      <c r="R443" s="39"/>
    </row>
    <row r="444" spans="4:18" ht="15" x14ac:dyDescent="0.25">
      <c r="D444" s="65"/>
      <c r="E444" s="65"/>
      <c r="F444" s="65"/>
      <c r="R444" s="39"/>
    </row>
    <row r="445" spans="4:18" ht="15" x14ac:dyDescent="0.25">
      <c r="D445" s="65"/>
      <c r="E445" s="65"/>
      <c r="F445" s="65"/>
      <c r="R445" s="39"/>
    </row>
    <row r="446" spans="4:18" ht="15" x14ac:dyDescent="0.25">
      <c r="D446" s="65"/>
      <c r="E446" s="65"/>
      <c r="F446" s="65"/>
      <c r="R446" s="39"/>
    </row>
    <row r="447" spans="4:18" ht="15" x14ac:dyDescent="0.25">
      <c r="D447" s="65"/>
      <c r="E447" s="65"/>
      <c r="F447" s="65"/>
      <c r="R447" s="39"/>
    </row>
    <row r="448" spans="4:18" ht="15" x14ac:dyDescent="0.25">
      <c r="D448" s="65"/>
      <c r="E448" s="65"/>
      <c r="F448" s="65"/>
      <c r="R448" s="39"/>
    </row>
    <row r="449" spans="4:18" ht="15" x14ac:dyDescent="0.25">
      <c r="D449" s="65"/>
      <c r="E449" s="65"/>
      <c r="F449" s="65"/>
      <c r="R449" s="39"/>
    </row>
    <row r="450" spans="4:18" ht="15" x14ac:dyDescent="0.25">
      <c r="D450" s="65"/>
      <c r="E450" s="65"/>
      <c r="F450" s="65"/>
      <c r="R450" s="39"/>
    </row>
    <row r="451" spans="4:18" x14ac:dyDescent="0.25">
      <c r="R451" s="39"/>
    </row>
    <row r="452" spans="4:18" x14ac:dyDescent="0.25">
      <c r="R452" s="39"/>
    </row>
    <row r="453" spans="4:18" x14ac:dyDescent="0.25">
      <c r="R453" s="39"/>
    </row>
    <row r="454" spans="4:18" x14ac:dyDescent="0.25">
      <c r="R454" s="39"/>
    </row>
    <row r="455" spans="4:18" x14ac:dyDescent="0.25">
      <c r="R455" s="39"/>
    </row>
    <row r="456" spans="4:18" x14ac:dyDescent="0.25">
      <c r="R456" s="39"/>
    </row>
    <row r="457" spans="4:18" x14ac:dyDescent="0.25">
      <c r="R457" s="39"/>
    </row>
    <row r="458" spans="4:18" x14ac:dyDescent="0.25">
      <c r="R458" s="39"/>
    </row>
    <row r="459" spans="4:18" x14ac:dyDescent="0.25">
      <c r="R459" s="39"/>
    </row>
    <row r="460" spans="4:18" x14ac:dyDescent="0.25">
      <c r="R460" s="39"/>
    </row>
    <row r="461" spans="4:18" x14ac:dyDescent="0.25">
      <c r="R461" s="39"/>
    </row>
    <row r="462" spans="4:18" x14ac:dyDescent="0.25">
      <c r="R462" s="39"/>
    </row>
    <row r="463" spans="4:18" x14ac:dyDescent="0.25">
      <c r="R463" s="39"/>
    </row>
    <row r="464" spans="4:18" x14ac:dyDescent="0.25">
      <c r="R464" s="39"/>
    </row>
    <row r="465" spans="18:18" x14ac:dyDescent="0.25">
      <c r="R465" s="39"/>
    </row>
    <row r="466" spans="18:18" x14ac:dyDescent="0.25">
      <c r="R466" s="39"/>
    </row>
    <row r="467" spans="18:18" x14ac:dyDescent="0.25">
      <c r="R467" s="39"/>
    </row>
    <row r="468" spans="18:18" x14ac:dyDescent="0.25">
      <c r="R468" s="39"/>
    </row>
    <row r="469" spans="18:18" x14ac:dyDescent="0.25">
      <c r="R469" s="39"/>
    </row>
    <row r="470" spans="18:18" x14ac:dyDescent="0.25">
      <c r="R470" s="39"/>
    </row>
    <row r="471" spans="18:18" x14ac:dyDescent="0.25">
      <c r="R471" s="39"/>
    </row>
    <row r="472" spans="18:18" x14ac:dyDescent="0.25">
      <c r="R472" s="39"/>
    </row>
    <row r="473" spans="18:18" x14ac:dyDescent="0.25">
      <c r="R473" s="39"/>
    </row>
    <row r="474" spans="18:18" x14ac:dyDescent="0.25">
      <c r="R474" s="39"/>
    </row>
    <row r="475" spans="18:18" x14ac:dyDescent="0.25">
      <c r="R475" s="39"/>
    </row>
    <row r="476" spans="18:18" x14ac:dyDescent="0.25">
      <c r="R476" s="39"/>
    </row>
    <row r="477" spans="18:18" x14ac:dyDescent="0.25">
      <c r="R477" s="39"/>
    </row>
    <row r="478" spans="18:18" x14ac:dyDescent="0.25">
      <c r="R478" s="39"/>
    </row>
    <row r="479" spans="18:18" x14ac:dyDescent="0.25">
      <c r="R479" s="39"/>
    </row>
    <row r="480" spans="18:18" x14ac:dyDescent="0.25">
      <c r="R480" s="39"/>
    </row>
    <row r="481" spans="18:18" x14ac:dyDescent="0.25">
      <c r="R481" s="39"/>
    </row>
    <row r="482" spans="18:18" x14ac:dyDescent="0.25">
      <c r="R482" s="39"/>
    </row>
    <row r="483" spans="18:18" x14ac:dyDescent="0.25">
      <c r="R483" s="39"/>
    </row>
    <row r="484" spans="18:18" x14ac:dyDescent="0.25">
      <c r="R484" s="39"/>
    </row>
    <row r="485" spans="18:18" x14ac:dyDescent="0.25">
      <c r="R485" s="39"/>
    </row>
    <row r="486" spans="18:18" x14ac:dyDescent="0.25">
      <c r="R486" s="39"/>
    </row>
    <row r="487" spans="18:18" x14ac:dyDescent="0.25">
      <c r="R487" s="39"/>
    </row>
    <row r="488" spans="18:18" x14ac:dyDescent="0.25">
      <c r="R488" s="39"/>
    </row>
    <row r="489" spans="18:18" x14ac:dyDescent="0.25">
      <c r="R489" s="39"/>
    </row>
    <row r="490" spans="18:18" x14ac:dyDescent="0.25">
      <c r="R490" s="39"/>
    </row>
    <row r="491" spans="18:18" x14ac:dyDescent="0.25">
      <c r="R491" s="39"/>
    </row>
    <row r="492" spans="18:18" x14ac:dyDescent="0.25">
      <c r="R492" s="39"/>
    </row>
    <row r="493" spans="18:18" x14ac:dyDescent="0.25">
      <c r="R493" s="39"/>
    </row>
    <row r="494" spans="18:18" x14ac:dyDescent="0.25">
      <c r="R494" s="39"/>
    </row>
    <row r="495" spans="18:18" x14ac:dyDescent="0.25">
      <c r="R495" s="39"/>
    </row>
    <row r="496" spans="18:18" x14ac:dyDescent="0.25">
      <c r="R496" s="39"/>
    </row>
    <row r="497" spans="18:18" x14ac:dyDescent="0.25">
      <c r="R497" s="39"/>
    </row>
    <row r="498" spans="18:18" x14ac:dyDescent="0.25">
      <c r="R498" s="39"/>
    </row>
    <row r="499" spans="18:18" x14ac:dyDescent="0.25">
      <c r="R499" s="39"/>
    </row>
    <row r="500" spans="18:18" x14ac:dyDescent="0.25">
      <c r="R500" s="39"/>
    </row>
    <row r="501" spans="18:18" x14ac:dyDescent="0.25">
      <c r="R501" s="39"/>
    </row>
    <row r="502" spans="18:18" x14ac:dyDescent="0.25">
      <c r="R502" s="39"/>
    </row>
    <row r="503" spans="18:18" x14ac:dyDescent="0.25">
      <c r="R503" s="39"/>
    </row>
    <row r="504" spans="18:18" x14ac:dyDescent="0.25">
      <c r="R504" s="39"/>
    </row>
    <row r="505" spans="18:18" x14ac:dyDescent="0.25">
      <c r="R505" s="39"/>
    </row>
    <row r="506" spans="18:18" x14ac:dyDescent="0.25">
      <c r="R506" s="39"/>
    </row>
    <row r="507" spans="18:18" x14ac:dyDescent="0.25">
      <c r="R507" s="39"/>
    </row>
    <row r="508" spans="18:18" x14ac:dyDescent="0.25">
      <c r="R508" s="39"/>
    </row>
    <row r="509" spans="18:18" x14ac:dyDescent="0.25">
      <c r="R509" s="39"/>
    </row>
    <row r="510" spans="18:18" x14ac:dyDescent="0.25">
      <c r="R510" s="39"/>
    </row>
    <row r="511" spans="18:18" x14ac:dyDescent="0.25">
      <c r="R511" s="39"/>
    </row>
    <row r="512" spans="18:18" x14ac:dyDescent="0.25">
      <c r="R512" s="39"/>
    </row>
    <row r="513" spans="18:18" x14ac:dyDescent="0.25">
      <c r="R513" s="39"/>
    </row>
    <row r="514" spans="18:18" x14ac:dyDescent="0.25">
      <c r="R514" s="39"/>
    </row>
    <row r="515" spans="18:18" x14ac:dyDescent="0.25">
      <c r="R515" s="39"/>
    </row>
    <row r="516" spans="18:18" x14ac:dyDescent="0.25">
      <c r="R516" s="39"/>
    </row>
    <row r="517" spans="18:18" x14ac:dyDescent="0.25">
      <c r="R517" s="39"/>
    </row>
    <row r="518" spans="18:18" x14ac:dyDescent="0.25">
      <c r="R518" s="39"/>
    </row>
    <row r="519" spans="18:18" x14ac:dyDescent="0.25">
      <c r="R519" s="39"/>
    </row>
    <row r="520" spans="18:18" x14ac:dyDescent="0.25">
      <c r="R520" s="39"/>
    </row>
    <row r="521" spans="18:18" x14ac:dyDescent="0.25">
      <c r="R521" s="39"/>
    </row>
    <row r="522" spans="18:18" x14ac:dyDescent="0.25">
      <c r="R522" s="39"/>
    </row>
    <row r="523" spans="18:18" x14ac:dyDescent="0.25">
      <c r="R523" s="39"/>
    </row>
    <row r="524" spans="18:18" x14ac:dyDescent="0.25">
      <c r="R524" s="39"/>
    </row>
    <row r="525" spans="18:18" x14ac:dyDescent="0.25">
      <c r="R525" s="39"/>
    </row>
    <row r="526" spans="18:18" x14ac:dyDescent="0.25">
      <c r="R526" s="39"/>
    </row>
    <row r="527" spans="18:18" x14ac:dyDescent="0.25">
      <c r="R527" s="39"/>
    </row>
  </sheetData>
  <pageMargins left="0.7" right="0.7" top="0.75" bottom="0.75" header="0.3" footer="0.3"/>
  <pageSetup paperSize="9" scale="1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C2:AY528"/>
  <sheetViews>
    <sheetView showGridLines="0" showRowColHeaders="0" view="pageBreakPreview" zoomScale="80" zoomScaleNormal="80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2" width="2.125" style="38" customWidth="1"/>
    <col min="3" max="3" width="6.625" style="37" customWidth="1"/>
    <col min="4" max="4" width="15.25" style="38" customWidth="1"/>
    <col min="5" max="5" width="9.75" style="38" customWidth="1"/>
    <col min="6" max="6" width="9" style="38" customWidth="1"/>
    <col min="7" max="7" width="13.25" style="39" bestFit="1" customWidth="1"/>
    <col min="8" max="8" width="11.75" style="40" customWidth="1"/>
    <col min="9" max="12" width="10.125" style="41" customWidth="1"/>
    <col min="13" max="13" width="10.125" style="42" customWidth="1"/>
    <col min="14" max="14" width="10.125" style="42" customWidth="1" outlineLevel="1"/>
    <col min="15" max="17" width="10.125" style="38" customWidth="1" outlineLevel="1"/>
    <col min="18" max="18" width="12.75" style="38" customWidth="1" outlineLevel="1"/>
    <col min="19" max="19" width="4.75" style="38" customWidth="1" outlineLevel="1"/>
    <col min="20" max="21" width="10.5" style="38" customWidth="1" outlineLevel="1"/>
    <col min="22" max="22" width="1.625" style="38" customWidth="1"/>
    <col min="23" max="23" width="10.5" style="38"/>
    <col min="24" max="31" width="10.5" style="38" customWidth="1" outlineLevel="1"/>
    <col min="32" max="32" width="1.625" style="38" customWidth="1"/>
    <col min="33" max="33" width="10.5" style="38"/>
    <col min="34" max="41" width="10.5" style="38" customWidth="1" outlineLevel="1"/>
    <col min="42" max="42" width="1.625" style="38" customWidth="1"/>
    <col min="43" max="43" width="10.5" style="38"/>
    <col min="44" max="51" width="10.5" style="38" customWidth="1" outlineLevel="1"/>
    <col min="52" max="52" width="4.375" style="38" customWidth="1"/>
    <col min="53" max="16384" width="10.5" style="38"/>
  </cols>
  <sheetData>
    <row r="2" spans="3:51" ht="18.75" x14ac:dyDescent="0.25">
      <c r="D2" s="384" t="s">
        <v>103</v>
      </c>
    </row>
    <row r="3" spans="3:51" ht="15.4" customHeight="1" x14ac:dyDescent="0.25">
      <c r="H3" s="41"/>
    </row>
    <row r="4" spans="3:51" ht="15.4" customHeight="1" x14ac:dyDescent="0.25">
      <c r="D4" s="43" t="s">
        <v>42</v>
      </c>
      <c r="H4" s="41"/>
    </row>
    <row r="5" spans="3:51" ht="15.4" customHeight="1" thickBot="1" x14ac:dyDescent="0.3">
      <c r="D5" s="43"/>
      <c r="H5" s="41"/>
    </row>
    <row r="6" spans="3:51" ht="17.25" thickTop="1" thickBot="1" x14ac:dyDescent="0.3"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V6" s="295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F6" s="295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P6" s="295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1" s="49" customFormat="1" ht="39.75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282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</row>
    <row r="8" spans="3:51" s="52" customFormat="1" ht="33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0</v>
      </c>
      <c r="AS8" s="363">
        <f t="shared" si="6"/>
        <v>0</v>
      </c>
      <c r="AT8" s="363">
        <f t="shared" si="6"/>
        <v>0</v>
      </c>
      <c r="AU8" s="363">
        <f t="shared" si="6"/>
        <v>0</v>
      </c>
      <c r="AV8" s="363">
        <f>+SUM(AV9:AV29)</f>
        <v>0</v>
      </c>
      <c r="AW8" s="363">
        <f t="shared" ref="AW8:AX8" si="7">+SUM(AW9:AW29)</f>
        <v>0</v>
      </c>
      <c r="AX8" s="363">
        <f t="shared" si="7"/>
        <v>0</v>
      </c>
      <c r="AY8" s="364">
        <f>+SUM(AY9:AY29)</f>
        <v>0</v>
      </c>
    </row>
    <row r="9" spans="3:51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/>
      <c r="AS9" s="289"/>
      <c r="AT9" s="289"/>
      <c r="AU9" s="289"/>
      <c r="AV9" s="289"/>
      <c r="AW9" s="289"/>
      <c r="AX9" s="289"/>
      <c r="AY9" s="290"/>
    </row>
    <row r="10" spans="3:51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</row>
    <row r="11" spans="3:51" s="49" customFormat="1" ht="18" customHeight="1" x14ac:dyDescent="0.25">
      <c r="C11" s="56">
        <f t="shared" ref="C11:C28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</row>
    <row r="12" spans="3:51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</row>
    <row r="13" spans="3:51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</row>
    <row r="14" spans="3:51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</row>
    <row r="15" spans="3:51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</row>
    <row r="16" spans="3:51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</row>
    <row r="17" spans="3:51" s="49" customFormat="1" ht="18" customHeight="1" x14ac:dyDescent="0.25"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</row>
    <row r="18" spans="3:51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</row>
    <row r="19" spans="3:51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</row>
    <row r="20" spans="3:51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</row>
    <row r="21" spans="3:51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</row>
    <row r="22" spans="3:51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</row>
    <row r="23" spans="3:51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</row>
    <row r="24" spans="3:51" s="49" customFormat="1" ht="18" customHeight="1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</row>
    <row r="25" spans="3:51" s="49" customFormat="1" ht="15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</row>
    <row r="26" spans="3:51" s="49" customFormat="1" ht="15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</row>
    <row r="27" spans="3:51" s="49" customFormat="1" ht="15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</row>
    <row r="28" spans="3:51" s="49" customFormat="1" ht="15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</row>
    <row r="29" spans="3:51" s="49" customFormat="1" ht="15.75" x14ac:dyDescent="0.25">
      <c r="C29" s="48"/>
      <c r="D29" s="60"/>
      <c r="E29" s="60"/>
      <c r="F29" s="60"/>
      <c r="G29" s="50"/>
      <c r="H29" s="61"/>
      <c r="I29" s="62"/>
      <c r="J29" s="62"/>
      <c r="K29" s="62"/>
      <c r="L29" s="62"/>
      <c r="M29" s="63"/>
      <c r="N29" s="63"/>
      <c r="O29" s="63"/>
      <c r="P29" s="63"/>
      <c r="Q29" s="63"/>
    </row>
    <row r="30" spans="3:51" s="49" customFormat="1" ht="15.75" x14ac:dyDescent="0.25">
      <c r="C30" s="48"/>
      <c r="D30" s="60"/>
      <c r="E30" s="60"/>
      <c r="F30" s="60"/>
      <c r="G30" s="50"/>
      <c r="H30" s="61"/>
      <c r="I30" s="62"/>
      <c r="J30" s="62"/>
      <c r="K30" s="62"/>
      <c r="L30" s="62"/>
      <c r="M30" s="63"/>
      <c r="N30" s="63"/>
      <c r="O30" s="63"/>
      <c r="P30" s="63"/>
      <c r="Q30" s="63"/>
    </row>
    <row r="31" spans="3:51" s="49" customFormat="1" ht="15.75" x14ac:dyDescent="0.25">
      <c r="C31" s="48"/>
      <c r="D31" s="60"/>
      <c r="E31" s="60"/>
      <c r="F31" s="60"/>
      <c r="G31" s="50"/>
      <c r="H31" s="61"/>
      <c r="I31" s="62"/>
      <c r="J31" s="62"/>
      <c r="K31" s="62"/>
      <c r="L31" s="62"/>
      <c r="M31" s="63"/>
      <c r="N31" s="63"/>
      <c r="O31" s="63"/>
      <c r="P31" s="63"/>
      <c r="Q31" s="63"/>
    </row>
    <row r="32" spans="3:51" s="49" customFormat="1" ht="15.75" x14ac:dyDescent="0.25">
      <c r="C32" s="48"/>
      <c r="D32" s="60"/>
      <c r="E32" s="60"/>
      <c r="F32" s="60"/>
      <c r="G32" s="50"/>
      <c r="H32" s="61"/>
      <c r="I32" s="62"/>
      <c r="J32" s="62"/>
      <c r="K32" s="62"/>
      <c r="L32" s="62"/>
      <c r="M32" s="63"/>
      <c r="N32" s="63"/>
      <c r="O32" s="63"/>
      <c r="P32" s="63"/>
      <c r="Q32" s="63"/>
    </row>
    <row r="33" spans="3:17" s="49" customFormat="1" ht="15.75" x14ac:dyDescent="0.25">
      <c r="C33" s="48"/>
      <c r="D33" s="60"/>
      <c r="E33" s="60"/>
      <c r="F33" s="60"/>
      <c r="G33" s="50"/>
      <c r="H33" s="61"/>
      <c r="I33" s="62"/>
      <c r="J33" s="62"/>
      <c r="K33" s="62"/>
      <c r="L33" s="62"/>
      <c r="M33" s="63"/>
      <c r="N33" s="63"/>
      <c r="O33" s="63"/>
      <c r="P33" s="63"/>
      <c r="Q33" s="63"/>
    </row>
    <row r="34" spans="3:17" s="49" customFormat="1" ht="15.75" x14ac:dyDescent="0.25">
      <c r="C34" s="48"/>
      <c r="D34" s="60"/>
      <c r="E34" s="60"/>
      <c r="F34" s="60"/>
      <c r="G34" s="50"/>
      <c r="H34" s="61"/>
      <c r="I34" s="62"/>
      <c r="J34" s="62"/>
      <c r="K34" s="62"/>
      <c r="L34" s="62"/>
      <c r="M34" s="63"/>
      <c r="N34" s="63"/>
      <c r="O34" s="63"/>
      <c r="P34" s="63"/>
      <c r="Q34" s="63"/>
    </row>
    <row r="35" spans="3:17" s="49" customFormat="1" ht="15.75" x14ac:dyDescent="0.25">
      <c r="C35" s="48"/>
      <c r="D35" s="60"/>
      <c r="E35" s="60"/>
      <c r="F35" s="60"/>
      <c r="G35" s="50"/>
      <c r="H35" s="61"/>
      <c r="I35" s="62"/>
      <c r="J35" s="62"/>
      <c r="K35" s="62"/>
      <c r="L35" s="62"/>
      <c r="M35" s="63"/>
      <c r="N35" s="63"/>
      <c r="O35" s="63"/>
      <c r="P35" s="63"/>
      <c r="Q35" s="63"/>
    </row>
    <row r="36" spans="3:17" s="49" customFormat="1" ht="15.75" x14ac:dyDescent="0.25">
      <c r="C36" s="48"/>
      <c r="D36" s="60"/>
      <c r="E36" s="60"/>
      <c r="F36" s="60"/>
      <c r="G36" s="50"/>
      <c r="H36" s="61"/>
      <c r="I36" s="62"/>
      <c r="J36" s="62"/>
      <c r="K36" s="62"/>
      <c r="L36" s="62"/>
      <c r="M36" s="63"/>
      <c r="N36" s="63"/>
      <c r="O36" s="63"/>
      <c r="P36" s="63"/>
      <c r="Q36" s="63"/>
    </row>
    <row r="37" spans="3:17" s="49" customFormat="1" ht="15.75" x14ac:dyDescent="0.25">
      <c r="C37" s="48"/>
      <c r="D37" s="60"/>
      <c r="E37" s="60"/>
      <c r="F37" s="60"/>
      <c r="G37" s="50"/>
      <c r="H37" s="61"/>
      <c r="I37" s="62"/>
      <c r="J37" s="62"/>
      <c r="K37" s="62"/>
      <c r="L37" s="62"/>
      <c r="M37" s="63"/>
      <c r="N37" s="63"/>
      <c r="O37" s="63"/>
      <c r="P37" s="63"/>
      <c r="Q37" s="63"/>
    </row>
    <row r="38" spans="3:17" s="49" customFormat="1" ht="15.75" x14ac:dyDescent="0.25">
      <c r="C38" s="48"/>
      <c r="D38" s="60"/>
      <c r="E38" s="60"/>
      <c r="F38" s="60"/>
      <c r="G38" s="50"/>
      <c r="H38" s="61"/>
      <c r="I38" s="62"/>
      <c r="J38" s="62"/>
      <c r="K38" s="62"/>
      <c r="L38" s="62"/>
      <c r="M38" s="63"/>
      <c r="N38" s="63"/>
      <c r="O38" s="63"/>
      <c r="P38" s="63"/>
      <c r="Q38" s="63"/>
    </row>
    <row r="39" spans="3:17" s="49" customFormat="1" ht="15.75" x14ac:dyDescent="0.25">
      <c r="C39" s="48"/>
      <c r="D39" s="60"/>
      <c r="E39" s="60"/>
      <c r="F39" s="60"/>
      <c r="G39" s="50"/>
      <c r="H39" s="61"/>
      <c r="I39" s="62"/>
      <c r="J39" s="62"/>
      <c r="K39" s="62"/>
      <c r="L39" s="62"/>
      <c r="M39" s="63"/>
      <c r="N39" s="63"/>
      <c r="O39" s="63"/>
      <c r="P39" s="63"/>
      <c r="Q39" s="63"/>
    </row>
    <row r="40" spans="3:17" s="49" customFormat="1" ht="15.75" x14ac:dyDescent="0.25">
      <c r="C40" s="48"/>
      <c r="D40" s="60"/>
      <c r="E40" s="60"/>
      <c r="F40" s="60"/>
      <c r="G40" s="50"/>
      <c r="H40" s="61"/>
      <c r="I40" s="62"/>
      <c r="J40" s="62"/>
      <c r="K40" s="62"/>
      <c r="L40" s="62"/>
      <c r="M40" s="63"/>
      <c r="N40" s="63"/>
      <c r="O40" s="63"/>
      <c r="P40" s="63"/>
      <c r="Q40" s="63"/>
    </row>
    <row r="41" spans="3:17" s="49" customFormat="1" ht="15.75" x14ac:dyDescent="0.25">
      <c r="C41" s="48"/>
      <c r="D41" s="60"/>
      <c r="E41" s="60"/>
      <c r="F41" s="60"/>
      <c r="G41" s="50"/>
      <c r="H41" s="61"/>
      <c r="I41" s="62"/>
      <c r="J41" s="62"/>
      <c r="K41" s="62"/>
      <c r="L41" s="62"/>
      <c r="M41" s="63"/>
      <c r="N41" s="63"/>
      <c r="O41" s="63"/>
      <c r="P41" s="63"/>
      <c r="Q41" s="63"/>
    </row>
    <row r="42" spans="3:17" s="49" customFormat="1" ht="15.75" x14ac:dyDescent="0.25">
      <c r="C42" s="48"/>
      <c r="D42" s="60"/>
      <c r="E42" s="60"/>
      <c r="F42" s="60"/>
      <c r="G42" s="50"/>
      <c r="H42" s="61"/>
      <c r="I42" s="62"/>
      <c r="J42" s="62"/>
      <c r="K42" s="62"/>
      <c r="L42" s="62"/>
      <c r="M42" s="63"/>
      <c r="N42" s="63"/>
      <c r="O42" s="63"/>
      <c r="P42" s="63"/>
      <c r="Q42" s="63"/>
    </row>
    <row r="43" spans="3:17" s="49" customFormat="1" ht="15.75" x14ac:dyDescent="0.25">
      <c r="C43" s="48"/>
      <c r="D43" s="60"/>
      <c r="E43" s="60"/>
      <c r="F43" s="60"/>
      <c r="G43" s="50"/>
      <c r="H43" s="61"/>
      <c r="I43" s="62"/>
      <c r="J43" s="62"/>
      <c r="K43" s="62"/>
      <c r="L43" s="62"/>
      <c r="M43" s="63"/>
      <c r="N43" s="63"/>
      <c r="O43" s="63"/>
      <c r="P43" s="63"/>
      <c r="Q43" s="63"/>
    </row>
    <row r="44" spans="3:17" s="49" customFormat="1" ht="15.75" x14ac:dyDescent="0.25">
      <c r="C44" s="48"/>
      <c r="D44" s="60"/>
      <c r="E44" s="60"/>
      <c r="F44" s="60"/>
      <c r="G44" s="50"/>
      <c r="H44" s="61"/>
      <c r="I44" s="62"/>
      <c r="J44" s="62"/>
      <c r="K44" s="62"/>
      <c r="L44" s="62"/>
      <c r="M44" s="63"/>
      <c r="N44" s="63"/>
      <c r="O44" s="63"/>
      <c r="P44" s="63"/>
      <c r="Q44" s="63"/>
    </row>
    <row r="45" spans="3:17" s="49" customFormat="1" ht="15.75" x14ac:dyDescent="0.25">
      <c r="C45" s="48"/>
      <c r="D45" s="60"/>
      <c r="E45" s="60"/>
      <c r="F45" s="60"/>
      <c r="G45" s="50"/>
      <c r="H45" s="61"/>
      <c r="I45" s="62"/>
      <c r="J45" s="62"/>
      <c r="K45" s="62"/>
      <c r="L45" s="62"/>
      <c r="M45" s="63"/>
      <c r="N45" s="63"/>
      <c r="O45" s="63"/>
      <c r="P45" s="63"/>
      <c r="Q45" s="63"/>
    </row>
    <row r="46" spans="3:17" s="49" customFormat="1" ht="15.75" x14ac:dyDescent="0.25">
      <c r="C46" s="48"/>
      <c r="D46" s="60"/>
      <c r="E46" s="60"/>
      <c r="F46" s="60"/>
      <c r="G46" s="50"/>
      <c r="H46" s="61"/>
      <c r="I46" s="62"/>
      <c r="J46" s="62"/>
      <c r="K46" s="62"/>
      <c r="L46" s="62"/>
      <c r="M46" s="63"/>
      <c r="N46" s="63"/>
      <c r="O46" s="63"/>
      <c r="P46" s="63"/>
      <c r="Q46" s="63"/>
    </row>
    <row r="47" spans="3:17" s="49" customFormat="1" ht="15.75" x14ac:dyDescent="0.25">
      <c r="C47" s="48"/>
      <c r="D47" s="60"/>
      <c r="E47" s="60"/>
      <c r="F47" s="60"/>
      <c r="G47" s="50"/>
      <c r="H47" s="61"/>
      <c r="I47" s="62"/>
      <c r="J47" s="62"/>
      <c r="K47" s="62"/>
      <c r="L47" s="62"/>
      <c r="M47" s="63"/>
      <c r="N47" s="63"/>
      <c r="O47" s="63"/>
      <c r="P47" s="63"/>
      <c r="Q47" s="63"/>
    </row>
    <row r="48" spans="3:17" s="49" customFormat="1" ht="15.75" x14ac:dyDescent="0.25">
      <c r="C48" s="48"/>
      <c r="D48" s="60"/>
      <c r="E48" s="60"/>
      <c r="F48" s="60"/>
      <c r="G48" s="50"/>
      <c r="H48" s="61"/>
      <c r="I48" s="62"/>
      <c r="J48" s="62"/>
      <c r="K48" s="62"/>
      <c r="L48" s="62"/>
      <c r="M48" s="63"/>
      <c r="N48" s="63"/>
      <c r="O48" s="63"/>
      <c r="P48" s="63"/>
      <c r="Q48" s="63"/>
    </row>
    <row r="49" spans="3:17" s="49" customFormat="1" ht="15.75" x14ac:dyDescent="0.25">
      <c r="C49" s="48"/>
      <c r="D49" s="60"/>
      <c r="E49" s="60"/>
      <c r="F49" s="60"/>
      <c r="G49" s="50"/>
      <c r="H49" s="61"/>
      <c r="I49" s="62"/>
      <c r="J49" s="62"/>
      <c r="K49" s="62"/>
      <c r="L49" s="62"/>
      <c r="M49" s="63"/>
      <c r="N49" s="63"/>
      <c r="O49" s="63"/>
      <c r="P49" s="63"/>
      <c r="Q49" s="63"/>
    </row>
    <row r="50" spans="3:17" s="49" customFormat="1" ht="15.75" x14ac:dyDescent="0.25">
      <c r="C50" s="48"/>
      <c r="D50" s="60"/>
      <c r="E50" s="60"/>
      <c r="F50" s="60"/>
      <c r="G50" s="50"/>
      <c r="H50" s="61"/>
      <c r="I50" s="62"/>
      <c r="J50" s="62"/>
      <c r="K50" s="62"/>
      <c r="L50" s="62"/>
      <c r="M50" s="63"/>
      <c r="N50" s="63"/>
      <c r="O50" s="63"/>
      <c r="P50" s="63"/>
      <c r="Q50" s="63"/>
    </row>
    <row r="51" spans="3:17" s="49" customFormat="1" ht="15.75" x14ac:dyDescent="0.25">
      <c r="C51" s="48"/>
      <c r="D51" s="60"/>
      <c r="E51" s="60"/>
      <c r="F51" s="60"/>
      <c r="G51" s="50"/>
      <c r="H51" s="61"/>
      <c r="I51" s="62"/>
      <c r="J51" s="62"/>
      <c r="K51" s="62"/>
      <c r="L51" s="62"/>
      <c r="M51" s="63"/>
      <c r="N51" s="63"/>
      <c r="O51" s="63"/>
      <c r="P51" s="63"/>
      <c r="Q51" s="63"/>
    </row>
    <row r="52" spans="3:17" s="49" customFormat="1" ht="15.75" x14ac:dyDescent="0.25">
      <c r="C52" s="48"/>
      <c r="D52" s="60"/>
      <c r="E52" s="60"/>
      <c r="F52" s="60"/>
      <c r="G52" s="50"/>
      <c r="H52" s="61"/>
      <c r="I52" s="62"/>
      <c r="J52" s="62"/>
      <c r="K52" s="62"/>
      <c r="L52" s="62"/>
      <c r="M52" s="63"/>
      <c r="N52" s="63"/>
      <c r="O52" s="63"/>
      <c r="P52" s="63"/>
      <c r="Q52" s="63"/>
    </row>
    <row r="53" spans="3:17" s="49" customFormat="1" ht="15.75" x14ac:dyDescent="0.25">
      <c r="C53" s="48"/>
      <c r="D53" s="60"/>
      <c r="E53" s="60"/>
      <c r="F53" s="60"/>
      <c r="G53" s="50"/>
      <c r="H53" s="61"/>
      <c r="I53" s="62"/>
      <c r="J53" s="62"/>
      <c r="K53" s="62"/>
      <c r="L53" s="62"/>
      <c r="M53" s="63"/>
      <c r="N53" s="63"/>
      <c r="O53" s="63"/>
      <c r="P53" s="63"/>
      <c r="Q53" s="63"/>
    </row>
    <row r="54" spans="3:17" s="49" customFormat="1" ht="15.75" x14ac:dyDescent="0.25">
      <c r="C54" s="48"/>
      <c r="D54" s="60"/>
      <c r="E54" s="60"/>
      <c r="F54" s="60"/>
      <c r="G54" s="50"/>
      <c r="H54" s="61"/>
      <c r="I54" s="62"/>
      <c r="J54" s="62"/>
      <c r="K54" s="62"/>
      <c r="L54" s="62"/>
      <c r="M54" s="63"/>
      <c r="N54" s="63"/>
      <c r="O54" s="63"/>
      <c r="P54" s="63"/>
      <c r="Q54" s="63"/>
    </row>
    <row r="55" spans="3:17" s="49" customFormat="1" ht="15.75" x14ac:dyDescent="0.25">
      <c r="C55" s="48"/>
      <c r="D55" s="60"/>
      <c r="E55" s="60"/>
      <c r="F55" s="60"/>
      <c r="G55" s="50"/>
      <c r="H55" s="61"/>
      <c r="I55" s="62"/>
      <c r="J55" s="62"/>
      <c r="K55" s="62"/>
      <c r="L55" s="62"/>
      <c r="M55" s="63"/>
      <c r="N55" s="63"/>
      <c r="O55" s="63"/>
      <c r="P55" s="63"/>
      <c r="Q55" s="63"/>
    </row>
    <row r="56" spans="3:17" s="49" customFormat="1" ht="15.75" x14ac:dyDescent="0.25">
      <c r="C56" s="48"/>
      <c r="D56" s="60"/>
      <c r="E56" s="60"/>
      <c r="F56" s="60"/>
      <c r="G56" s="50"/>
      <c r="H56" s="61"/>
      <c r="I56" s="62"/>
      <c r="J56" s="62"/>
      <c r="K56" s="62"/>
      <c r="L56" s="62"/>
      <c r="M56" s="63"/>
      <c r="N56" s="63"/>
      <c r="O56" s="63"/>
      <c r="P56" s="63"/>
      <c r="Q56" s="63"/>
    </row>
    <row r="57" spans="3:17" s="49" customFormat="1" ht="15.75" x14ac:dyDescent="0.25">
      <c r="C57" s="48"/>
      <c r="D57" s="60"/>
      <c r="E57" s="60"/>
      <c r="F57" s="60"/>
      <c r="G57" s="50"/>
      <c r="H57" s="61"/>
      <c r="I57" s="62"/>
      <c r="J57" s="62"/>
      <c r="K57" s="62"/>
      <c r="L57" s="62"/>
      <c r="M57" s="63"/>
      <c r="N57" s="63"/>
      <c r="O57" s="63"/>
      <c r="P57" s="63"/>
      <c r="Q57" s="63"/>
    </row>
    <row r="58" spans="3:17" s="49" customFormat="1" ht="15.75" x14ac:dyDescent="0.25">
      <c r="C58" s="48"/>
      <c r="D58" s="60"/>
      <c r="E58" s="60"/>
      <c r="F58" s="60"/>
      <c r="G58" s="50"/>
      <c r="H58" s="61"/>
      <c r="I58" s="62"/>
      <c r="J58" s="62"/>
      <c r="K58" s="62"/>
      <c r="L58" s="62"/>
      <c r="M58" s="63"/>
      <c r="N58" s="63"/>
      <c r="O58" s="63"/>
      <c r="P58" s="63"/>
      <c r="Q58" s="63"/>
    </row>
    <row r="59" spans="3:17" s="49" customFormat="1" ht="15.75" x14ac:dyDescent="0.25">
      <c r="C59" s="48"/>
      <c r="D59" s="60"/>
      <c r="E59" s="60"/>
      <c r="F59" s="60"/>
      <c r="G59" s="50"/>
      <c r="H59" s="61"/>
      <c r="I59" s="62"/>
      <c r="J59" s="62"/>
      <c r="K59" s="62"/>
      <c r="L59" s="62"/>
      <c r="M59" s="63"/>
      <c r="N59" s="63"/>
      <c r="O59" s="63"/>
      <c r="P59" s="63"/>
      <c r="Q59" s="63"/>
    </row>
    <row r="60" spans="3:17" s="49" customFormat="1" ht="15.75" x14ac:dyDescent="0.25">
      <c r="C60" s="48"/>
      <c r="D60" s="60"/>
      <c r="E60" s="60"/>
      <c r="F60" s="60"/>
      <c r="G60" s="50"/>
      <c r="H60" s="61"/>
      <c r="I60" s="62"/>
      <c r="J60" s="62"/>
      <c r="K60" s="62"/>
      <c r="L60" s="62"/>
      <c r="M60" s="63"/>
      <c r="N60" s="63"/>
      <c r="O60" s="63"/>
      <c r="P60" s="63"/>
      <c r="Q60" s="63"/>
    </row>
    <row r="61" spans="3:17" s="49" customFormat="1" ht="15.75" x14ac:dyDescent="0.25">
      <c r="C61" s="48"/>
      <c r="D61" s="60"/>
      <c r="E61" s="60"/>
      <c r="F61" s="60"/>
      <c r="G61" s="50"/>
      <c r="H61" s="61"/>
      <c r="I61" s="62"/>
      <c r="J61" s="62"/>
      <c r="K61" s="62"/>
      <c r="L61" s="62"/>
      <c r="M61" s="63"/>
      <c r="N61" s="63"/>
      <c r="O61" s="63"/>
      <c r="P61" s="63"/>
      <c r="Q61" s="63"/>
    </row>
    <row r="62" spans="3:17" s="49" customFormat="1" ht="15.75" x14ac:dyDescent="0.25">
      <c r="C62" s="48"/>
      <c r="D62" s="60"/>
      <c r="E62" s="60"/>
      <c r="F62" s="60"/>
      <c r="G62" s="50"/>
      <c r="H62" s="61"/>
      <c r="I62" s="62"/>
      <c r="J62" s="62"/>
      <c r="K62" s="62"/>
      <c r="L62" s="62"/>
      <c r="M62" s="63"/>
      <c r="N62" s="63"/>
      <c r="O62" s="63"/>
      <c r="P62" s="63"/>
      <c r="Q62" s="63"/>
    </row>
    <row r="63" spans="3:17" s="49" customFormat="1" ht="15.75" x14ac:dyDescent="0.25">
      <c r="C63" s="48"/>
      <c r="D63" s="60"/>
      <c r="E63" s="60"/>
      <c r="F63" s="60"/>
      <c r="G63" s="50"/>
      <c r="H63" s="61"/>
      <c r="I63" s="62"/>
      <c r="J63" s="62"/>
      <c r="K63" s="62"/>
      <c r="L63" s="62"/>
      <c r="M63" s="63"/>
      <c r="N63" s="63"/>
      <c r="O63" s="63"/>
      <c r="P63" s="63"/>
      <c r="Q63" s="63"/>
    </row>
    <row r="64" spans="3:17" s="49" customFormat="1" ht="15.75" x14ac:dyDescent="0.25">
      <c r="C64" s="48"/>
      <c r="D64" s="60"/>
      <c r="E64" s="60"/>
      <c r="F64" s="60"/>
      <c r="G64" s="50"/>
      <c r="H64" s="61"/>
      <c r="I64" s="62"/>
      <c r="J64" s="62"/>
      <c r="K64" s="62"/>
      <c r="L64" s="62"/>
      <c r="M64" s="63"/>
      <c r="N64" s="63"/>
      <c r="O64" s="63"/>
      <c r="P64" s="63"/>
      <c r="Q64" s="63"/>
    </row>
    <row r="65" spans="3:17" s="49" customFormat="1" ht="15.75" x14ac:dyDescent="0.25">
      <c r="C65" s="48"/>
      <c r="D65" s="60"/>
      <c r="E65" s="60"/>
      <c r="F65" s="60"/>
      <c r="G65" s="50"/>
      <c r="H65" s="61"/>
      <c r="I65" s="62"/>
      <c r="J65" s="62"/>
      <c r="K65" s="62"/>
      <c r="L65" s="62"/>
      <c r="M65" s="63"/>
      <c r="N65" s="63"/>
      <c r="O65" s="63"/>
      <c r="P65" s="63"/>
      <c r="Q65" s="63"/>
    </row>
    <row r="66" spans="3:17" s="49" customFormat="1" ht="15.75" x14ac:dyDescent="0.25">
      <c r="C66" s="48"/>
      <c r="D66" s="60"/>
      <c r="E66" s="60"/>
      <c r="F66" s="60"/>
      <c r="G66" s="50"/>
      <c r="H66" s="61"/>
      <c r="I66" s="62"/>
      <c r="J66" s="62"/>
      <c r="K66" s="62"/>
      <c r="L66" s="62"/>
      <c r="M66" s="63"/>
      <c r="N66" s="63"/>
      <c r="O66" s="63"/>
      <c r="P66" s="63"/>
      <c r="Q66" s="63"/>
    </row>
    <row r="67" spans="3:17" s="49" customFormat="1" ht="15.75" x14ac:dyDescent="0.25">
      <c r="C67" s="48"/>
      <c r="D67" s="60"/>
      <c r="E67" s="60"/>
      <c r="F67" s="60"/>
      <c r="G67" s="50"/>
      <c r="H67" s="61"/>
      <c r="I67" s="62"/>
      <c r="J67" s="62"/>
      <c r="K67" s="62"/>
      <c r="L67" s="62"/>
      <c r="M67" s="63"/>
      <c r="N67" s="63"/>
      <c r="O67" s="63"/>
      <c r="P67" s="63"/>
      <c r="Q67" s="63"/>
    </row>
    <row r="68" spans="3:17" s="49" customFormat="1" ht="15.75" x14ac:dyDescent="0.25">
      <c r="C68" s="48"/>
      <c r="D68" s="60"/>
      <c r="E68" s="60"/>
      <c r="F68" s="60"/>
      <c r="G68" s="50"/>
      <c r="H68" s="61"/>
      <c r="I68" s="62"/>
      <c r="J68" s="62"/>
      <c r="K68" s="62"/>
      <c r="L68" s="62"/>
      <c r="M68" s="63"/>
      <c r="N68" s="63"/>
      <c r="O68" s="63"/>
      <c r="P68" s="63"/>
      <c r="Q68" s="63"/>
    </row>
    <row r="69" spans="3:17" s="49" customFormat="1" ht="15.75" x14ac:dyDescent="0.25">
      <c r="C69" s="48"/>
      <c r="D69" s="60"/>
      <c r="E69" s="60"/>
      <c r="F69" s="60"/>
      <c r="G69" s="50"/>
      <c r="H69" s="61"/>
      <c r="I69" s="62"/>
      <c r="J69" s="62"/>
      <c r="K69" s="62"/>
      <c r="L69" s="62"/>
      <c r="M69" s="63"/>
      <c r="N69" s="63"/>
      <c r="O69" s="63"/>
      <c r="P69" s="63"/>
      <c r="Q69" s="63"/>
    </row>
    <row r="70" spans="3:17" s="49" customFormat="1" ht="15.75" x14ac:dyDescent="0.25">
      <c r="C70" s="48"/>
      <c r="D70" s="60"/>
      <c r="E70" s="60"/>
      <c r="F70" s="60"/>
      <c r="G70" s="50"/>
      <c r="H70" s="61"/>
      <c r="I70" s="62"/>
      <c r="J70" s="62"/>
      <c r="K70" s="62"/>
      <c r="L70" s="62"/>
      <c r="M70" s="63"/>
      <c r="N70" s="63"/>
      <c r="O70" s="63"/>
      <c r="P70" s="63"/>
      <c r="Q70" s="63"/>
    </row>
    <row r="71" spans="3:17" s="49" customFormat="1" ht="15.75" x14ac:dyDescent="0.25">
      <c r="C71" s="48"/>
      <c r="D71" s="60"/>
      <c r="E71" s="60"/>
      <c r="F71" s="60"/>
      <c r="G71" s="50"/>
      <c r="H71" s="61"/>
      <c r="I71" s="62"/>
      <c r="J71" s="62"/>
      <c r="K71" s="62"/>
      <c r="L71" s="62"/>
      <c r="M71" s="63"/>
      <c r="N71" s="63"/>
      <c r="O71" s="63"/>
      <c r="P71" s="63"/>
      <c r="Q71" s="63"/>
    </row>
    <row r="72" spans="3:17" s="49" customFormat="1" ht="15.75" x14ac:dyDescent="0.25">
      <c r="C72" s="48"/>
      <c r="D72" s="60"/>
      <c r="E72" s="60"/>
      <c r="F72" s="60"/>
      <c r="G72" s="50"/>
      <c r="H72" s="61"/>
      <c r="I72" s="62"/>
      <c r="J72" s="62"/>
      <c r="K72" s="62"/>
      <c r="L72" s="62"/>
      <c r="M72" s="63"/>
      <c r="N72" s="63"/>
      <c r="O72" s="63"/>
      <c r="P72" s="63"/>
      <c r="Q72" s="63"/>
    </row>
    <row r="73" spans="3:17" s="49" customFormat="1" ht="15.75" x14ac:dyDescent="0.25">
      <c r="C73" s="48"/>
      <c r="D73" s="60"/>
      <c r="E73" s="60"/>
      <c r="F73" s="60"/>
      <c r="G73" s="50"/>
      <c r="H73" s="61"/>
      <c r="I73" s="62"/>
      <c r="J73" s="62"/>
      <c r="K73" s="62"/>
      <c r="L73" s="62"/>
      <c r="M73" s="63"/>
      <c r="N73" s="63"/>
      <c r="O73" s="63"/>
      <c r="P73" s="63"/>
      <c r="Q73" s="63"/>
    </row>
    <row r="74" spans="3:17" s="49" customFormat="1" ht="15.75" x14ac:dyDescent="0.25">
      <c r="C74" s="48"/>
      <c r="D74" s="60"/>
      <c r="E74" s="60"/>
      <c r="F74" s="60"/>
      <c r="G74" s="50"/>
      <c r="H74" s="61"/>
      <c r="I74" s="62"/>
      <c r="J74" s="62"/>
      <c r="K74" s="62"/>
      <c r="L74" s="62"/>
      <c r="M74" s="63"/>
      <c r="N74" s="63"/>
      <c r="O74" s="63"/>
      <c r="P74" s="63"/>
      <c r="Q74" s="63"/>
    </row>
    <row r="75" spans="3:17" s="49" customFormat="1" ht="15.75" x14ac:dyDescent="0.25">
      <c r="C75" s="48"/>
      <c r="D75" s="60"/>
      <c r="E75" s="60"/>
      <c r="F75" s="60"/>
      <c r="G75" s="50"/>
      <c r="H75" s="61"/>
      <c r="I75" s="62"/>
      <c r="J75" s="62"/>
      <c r="K75" s="62"/>
      <c r="L75" s="62"/>
      <c r="M75" s="63"/>
      <c r="N75" s="63"/>
      <c r="O75" s="63"/>
      <c r="P75" s="63"/>
      <c r="Q75" s="63"/>
    </row>
    <row r="76" spans="3:17" s="49" customFormat="1" ht="15.75" x14ac:dyDescent="0.25">
      <c r="C76" s="48"/>
      <c r="D76" s="60"/>
      <c r="E76" s="60"/>
      <c r="F76" s="60"/>
      <c r="G76" s="50"/>
      <c r="H76" s="61"/>
      <c r="I76" s="62"/>
      <c r="J76" s="62"/>
      <c r="K76" s="62"/>
      <c r="L76" s="62"/>
      <c r="M76" s="63"/>
      <c r="N76" s="63"/>
      <c r="O76" s="63"/>
      <c r="P76" s="63"/>
      <c r="Q76" s="63"/>
    </row>
    <row r="77" spans="3:17" s="49" customFormat="1" ht="15.75" x14ac:dyDescent="0.25">
      <c r="C77" s="48"/>
      <c r="D77" s="60"/>
      <c r="E77" s="60"/>
      <c r="F77" s="60"/>
      <c r="G77" s="50"/>
      <c r="H77" s="61"/>
      <c r="I77" s="62"/>
      <c r="J77" s="62"/>
      <c r="K77" s="62"/>
      <c r="L77" s="62"/>
      <c r="M77" s="63"/>
      <c r="N77" s="63"/>
      <c r="O77" s="63"/>
      <c r="P77" s="63"/>
      <c r="Q77" s="63"/>
    </row>
    <row r="78" spans="3:17" s="49" customFormat="1" ht="15.75" x14ac:dyDescent="0.25">
      <c r="C78" s="48"/>
      <c r="D78" s="60"/>
      <c r="E78" s="60"/>
      <c r="F78" s="60"/>
      <c r="G78" s="50"/>
      <c r="H78" s="61"/>
      <c r="I78" s="62"/>
      <c r="J78" s="62"/>
      <c r="K78" s="62"/>
      <c r="L78" s="62"/>
      <c r="M78" s="63"/>
      <c r="N78" s="63"/>
      <c r="O78" s="63"/>
      <c r="P78" s="63"/>
      <c r="Q78" s="63"/>
    </row>
    <row r="79" spans="3:17" s="49" customFormat="1" ht="15.75" x14ac:dyDescent="0.25">
      <c r="C79" s="48"/>
      <c r="D79" s="60"/>
      <c r="E79" s="60"/>
      <c r="F79" s="60"/>
      <c r="G79" s="50"/>
      <c r="H79" s="61"/>
      <c r="I79" s="62"/>
      <c r="J79" s="62"/>
      <c r="K79" s="62"/>
      <c r="L79" s="62"/>
      <c r="M79" s="63"/>
      <c r="N79" s="63"/>
      <c r="O79" s="63"/>
      <c r="P79" s="63"/>
      <c r="Q79" s="63"/>
    </row>
    <row r="80" spans="3:17" s="49" customFormat="1" ht="15.75" x14ac:dyDescent="0.25">
      <c r="C80" s="48"/>
      <c r="D80" s="60"/>
      <c r="E80" s="60"/>
      <c r="F80" s="60"/>
      <c r="G80" s="50"/>
      <c r="H80" s="61"/>
      <c r="I80" s="62"/>
      <c r="J80" s="62"/>
      <c r="K80" s="62"/>
      <c r="L80" s="62"/>
      <c r="M80" s="63"/>
      <c r="N80" s="63"/>
      <c r="O80" s="63"/>
      <c r="P80" s="63"/>
      <c r="Q80" s="63"/>
    </row>
    <row r="81" spans="3:17" s="49" customFormat="1" ht="15.75" x14ac:dyDescent="0.25">
      <c r="C81" s="48"/>
      <c r="D81" s="60"/>
      <c r="E81" s="60"/>
      <c r="F81" s="60"/>
      <c r="G81" s="50"/>
      <c r="H81" s="61"/>
      <c r="I81" s="62"/>
      <c r="J81" s="62"/>
      <c r="K81" s="62"/>
      <c r="L81" s="62"/>
      <c r="M81" s="63"/>
      <c r="N81" s="63"/>
      <c r="O81" s="63"/>
      <c r="P81" s="63"/>
      <c r="Q81" s="63"/>
    </row>
    <row r="82" spans="3:17" s="49" customFormat="1" ht="15.75" x14ac:dyDescent="0.25">
      <c r="C82" s="48"/>
      <c r="D82" s="60"/>
      <c r="E82" s="60"/>
      <c r="F82" s="60"/>
      <c r="G82" s="50"/>
      <c r="H82" s="61"/>
      <c r="I82" s="62"/>
      <c r="J82" s="62"/>
      <c r="K82" s="62"/>
      <c r="L82" s="62"/>
      <c r="M82" s="63"/>
      <c r="N82" s="63"/>
      <c r="O82" s="63"/>
      <c r="P82" s="63"/>
      <c r="Q82" s="63"/>
    </row>
    <row r="83" spans="3:17" s="49" customFormat="1" ht="15.75" x14ac:dyDescent="0.25">
      <c r="C83" s="48"/>
      <c r="D83" s="60"/>
      <c r="E83" s="60"/>
      <c r="F83" s="60"/>
      <c r="G83" s="50"/>
      <c r="H83" s="61"/>
      <c r="I83" s="62"/>
      <c r="J83" s="62"/>
      <c r="K83" s="62"/>
      <c r="L83" s="62"/>
      <c r="M83" s="63"/>
      <c r="N83" s="63"/>
      <c r="O83" s="63"/>
      <c r="P83" s="63"/>
      <c r="Q83" s="63"/>
    </row>
    <row r="84" spans="3:17" s="49" customFormat="1" ht="15.75" x14ac:dyDescent="0.25">
      <c r="C84" s="48"/>
      <c r="D84" s="60"/>
      <c r="E84" s="60"/>
      <c r="F84" s="60"/>
      <c r="G84" s="50"/>
      <c r="H84" s="61"/>
      <c r="I84" s="62"/>
      <c r="J84" s="62"/>
      <c r="K84" s="62"/>
      <c r="L84" s="62"/>
      <c r="M84" s="63"/>
      <c r="N84" s="63"/>
      <c r="O84" s="63"/>
      <c r="P84" s="63"/>
      <c r="Q84" s="63"/>
    </row>
    <row r="85" spans="3:17" s="49" customFormat="1" ht="15.75" x14ac:dyDescent="0.25">
      <c r="C85" s="48"/>
      <c r="D85" s="60"/>
      <c r="E85" s="60"/>
      <c r="F85" s="60"/>
      <c r="G85" s="50"/>
      <c r="H85" s="61"/>
      <c r="I85" s="62"/>
      <c r="J85" s="62"/>
      <c r="K85" s="62"/>
      <c r="L85" s="62"/>
      <c r="M85" s="63"/>
      <c r="N85" s="63"/>
      <c r="O85" s="63"/>
      <c r="P85" s="63"/>
      <c r="Q85" s="63"/>
    </row>
    <row r="86" spans="3:17" s="49" customFormat="1" ht="15.75" x14ac:dyDescent="0.25">
      <c r="C86" s="48"/>
      <c r="D86" s="60"/>
      <c r="E86" s="60"/>
      <c r="F86" s="60"/>
      <c r="G86" s="50"/>
      <c r="H86" s="61"/>
      <c r="I86" s="62"/>
      <c r="J86" s="62"/>
      <c r="K86" s="62"/>
      <c r="L86" s="62"/>
      <c r="M86" s="63"/>
      <c r="N86" s="63"/>
      <c r="O86" s="63"/>
      <c r="P86" s="63"/>
      <c r="Q86" s="63"/>
    </row>
    <row r="87" spans="3:17" s="49" customFormat="1" ht="15.75" x14ac:dyDescent="0.25">
      <c r="C87" s="48"/>
      <c r="D87" s="60"/>
      <c r="E87" s="60"/>
      <c r="F87" s="60"/>
      <c r="G87" s="50"/>
      <c r="H87" s="61"/>
      <c r="I87" s="62"/>
      <c r="J87" s="62"/>
      <c r="K87" s="62"/>
      <c r="L87" s="62"/>
      <c r="M87" s="63"/>
      <c r="N87" s="63"/>
      <c r="O87" s="63"/>
      <c r="P87" s="63"/>
      <c r="Q87" s="63"/>
    </row>
    <row r="88" spans="3:17" s="49" customFormat="1" ht="15.75" x14ac:dyDescent="0.25">
      <c r="C88" s="48"/>
      <c r="D88" s="60"/>
      <c r="E88" s="60"/>
      <c r="F88" s="60"/>
      <c r="G88" s="50"/>
      <c r="H88" s="61"/>
      <c r="I88" s="62"/>
      <c r="J88" s="62"/>
      <c r="K88" s="62"/>
      <c r="L88" s="62"/>
      <c r="M88" s="63"/>
      <c r="N88" s="63"/>
      <c r="O88" s="63"/>
      <c r="P88" s="63"/>
      <c r="Q88" s="63"/>
    </row>
    <row r="89" spans="3:17" s="49" customFormat="1" ht="15.75" x14ac:dyDescent="0.25">
      <c r="C89" s="48"/>
      <c r="D89" s="60"/>
      <c r="E89" s="60"/>
      <c r="F89" s="60"/>
      <c r="G89" s="50"/>
      <c r="H89" s="61"/>
      <c r="I89" s="62"/>
      <c r="J89" s="62"/>
      <c r="K89" s="62"/>
      <c r="L89" s="62"/>
      <c r="M89" s="63"/>
      <c r="N89" s="63"/>
      <c r="O89" s="63"/>
      <c r="P89" s="63"/>
      <c r="Q89" s="63"/>
    </row>
    <row r="90" spans="3:17" s="49" customFormat="1" ht="15.75" x14ac:dyDescent="0.25">
      <c r="C90" s="48"/>
      <c r="D90" s="60"/>
      <c r="E90" s="60"/>
      <c r="F90" s="60"/>
      <c r="G90" s="50"/>
      <c r="H90" s="61"/>
      <c r="I90" s="62"/>
      <c r="J90" s="62"/>
      <c r="K90" s="62"/>
      <c r="L90" s="62"/>
      <c r="M90" s="63"/>
      <c r="N90" s="63"/>
      <c r="O90" s="63"/>
      <c r="P90" s="63"/>
      <c r="Q90" s="63"/>
    </row>
    <row r="91" spans="3:17" s="49" customFormat="1" ht="15.75" x14ac:dyDescent="0.25">
      <c r="C91" s="48"/>
      <c r="D91" s="60"/>
      <c r="E91" s="60"/>
      <c r="F91" s="60"/>
      <c r="G91" s="50"/>
      <c r="H91" s="61"/>
      <c r="I91" s="62"/>
      <c r="J91" s="62"/>
      <c r="K91" s="62"/>
      <c r="L91" s="62"/>
      <c r="M91" s="63"/>
      <c r="N91" s="63"/>
      <c r="O91" s="63"/>
      <c r="P91" s="63"/>
      <c r="Q91" s="63"/>
    </row>
    <row r="92" spans="3:17" s="49" customFormat="1" ht="15.75" x14ac:dyDescent="0.25">
      <c r="C92" s="48"/>
      <c r="D92" s="60"/>
      <c r="E92" s="60"/>
      <c r="F92" s="60"/>
      <c r="G92" s="50"/>
      <c r="H92" s="61"/>
      <c r="I92" s="62"/>
      <c r="J92" s="62"/>
      <c r="K92" s="62"/>
      <c r="L92" s="62"/>
      <c r="M92" s="63"/>
      <c r="N92" s="63"/>
      <c r="O92" s="63"/>
      <c r="P92" s="63"/>
      <c r="Q92" s="63"/>
    </row>
    <row r="93" spans="3:17" s="49" customFormat="1" ht="15.75" x14ac:dyDescent="0.25">
      <c r="C93" s="48"/>
      <c r="D93" s="60"/>
      <c r="E93" s="60"/>
      <c r="F93" s="60"/>
      <c r="G93" s="50"/>
      <c r="H93" s="61"/>
      <c r="I93" s="62"/>
      <c r="J93" s="62"/>
      <c r="K93" s="62"/>
      <c r="L93" s="62"/>
      <c r="M93" s="63"/>
      <c r="N93" s="63"/>
      <c r="O93" s="63"/>
      <c r="P93" s="63"/>
      <c r="Q93" s="63"/>
    </row>
    <row r="94" spans="3:17" s="49" customFormat="1" ht="15.75" x14ac:dyDescent="0.25">
      <c r="C94" s="48"/>
      <c r="D94" s="60"/>
      <c r="E94" s="60"/>
      <c r="F94" s="60"/>
      <c r="G94" s="50"/>
      <c r="H94" s="61"/>
      <c r="I94" s="62"/>
      <c r="J94" s="62"/>
      <c r="K94" s="62"/>
      <c r="L94" s="62"/>
      <c r="M94" s="63"/>
      <c r="N94" s="63"/>
      <c r="O94" s="63"/>
      <c r="P94" s="63"/>
      <c r="Q94" s="63"/>
    </row>
    <row r="95" spans="3:17" s="49" customFormat="1" ht="15.75" x14ac:dyDescent="0.25">
      <c r="C95" s="48"/>
      <c r="D95" s="60"/>
      <c r="E95" s="60"/>
      <c r="F95" s="60"/>
      <c r="G95" s="50"/>
      <c r="H95" s="61"/>
      <c r="I95" s="62"/>
      <c r="J95" s="62"/>
      <c r="K95" s="62"/>
      <c r="L95" s="62"/>
      <c r="M95" s="63"/>
      <c r="N95" s="63"/>
      <c r="O95" s="63"/>
      <c r="P95" s="63"/>
      <c r="Q95" s="63"/>
    </row>
    <row r="96" spans="3:17" s="49" customFormat="1" ht="15.75" x14ac:dyDescent="0.25">
      <c r="C96" s="48"/>
      <c r="D96" s="60"/>
      <c r="E96" s="60"/>
      <c r="F96" s="60"/>
      <c r="G96" s="50"/>
      <c r="H96" s="61"/>
      <c r="I96" s="62"/>
      <c r="J96" s="62"/>
      <c r="K96" s="62"/>
      <c r="L96" s="62"/>
      <c r="M96" s="63"/>
      <c r="N96" s="63"/>
      <c r="O96" s="63"/>
      <c r="P96" s="63"/>
      <c r="Q96" s="63"/>
    </row>
    <row r="97" spans="3:17" s="49" customFormat="1" ht="15.75" x14ac:dyDescent="0.25">
      <c r="C97" s="48"/>
      <c r="D97" s="60"/>
      <c r="E97" s="60"/>
      <c r="F97" s="60"/>
      <c r="G97" s="50"/>
      <c r="H97" s="61"/>
      <c r="I97" s="62"/>
      <c r="J97" s="62"/>
      <c r="K97" s="62"/>
      <c r="L97" s="62"/>
      <c r="M97" s="63"/>
      <c r="N97" s="63"/>
      <c r="O97" s="63"/>
      <c r="P97" s="63"/>
      <c r="Q97" s="63"/>
    </row>
    <row r="98" spans="3:17" s="49" customFormat="1" ht="15.75" x14ac:dyDescent="0.25">
      <c r="C98" s="48"/>
      <c r="D98" s="60"/>
      <c r="E98" s="60"/>
      <c r="F98" s="60"/>
      <c r="G98" s="50"/>
      <c r="H98" s="61"/>
      <c r="I98" s="62"/>
      <c r="J98" s="62"/>
      <c r="K98" s="62"/>
      <c r="L98" s="62"/>
      <c r="M98" s="63"/>
      <c r="N98" s="63"/>
      <c r="O98" s="63"/>
      <c r="P98" s="63"/>
      <c r="Q98" s="63"/>
    </row>
    <row r="99" spans="3:17" s="49" customFormat="1" ht="15.75" x14ac:dyDescent="0.25">
      <c r="C99" s="48"/>
      <c r="D99" s="60"/>
      <c r="E99" s="60"/>
      <c r="F99" s="60"/>
      <c r="G99" s="50"/>
      <c r="H99" s="61"/>
      <c r="I99" s="62"/>
      <c r="J99" s="62"/>
      <c r="K99" s="62"/>
      <c r="L99" s="62"/>
      <c r="M99" s="63"/>
      <c r="N99" s="63"/>
      <c r="O99" s="63"/>
      <c r="P99" s="63"/>
      <c r="Q99" s="63"/>
    </row>
    <row r="100" spans="3:17" s="49" customFormat="1" ht="15.75" x14ac:dyDescent="0.25">
      <c r="C100" s="48"/>
      <c r="D100" s="60"/>
      <c r="E100" s="60"/>
      <c r="F100" s="60"/>
      <c r="G100" s="50"/>
      <c r="H100" s="61"/>
      <c r="I100" s="62"/>
      <c r="J100" s="62"/>
      <c r="K100" s="62"/>
      <c r="L100" s="62"/>
      <c r="M100" s="63"/>
      <c r="N100" s="63"/>
      <c r="O100" s="63"/>
      <c r="P100" s="63"/>
      <c r="Q100" s="63"/>
    </row>
    <row r="101" spans="3:17" s="49" customFormat="1" ht="15.75" x14ac:dyDescent="0.25">
      <c r="C101" s="48"/>
      <c r="D101" s="60"/>
      <c r="E101" s="60"/>
      <c r="F101" s="60"/>
      <c r="G101" s="50"/>
      <c r="H101" s="61"/>
      <c r="I101" s="62"/>
      <c r="J101" s="62"/>
      <c r="K101" s="62"/>
      <c r="L101" s="62"/>
      <c r="M101" s="63"/>
      <c r="N101" s="63"/>
      <c r="O101" s="63"/>
      <c r="P101" s="63"/>
      <c r="Q101" s="63"/>
    </row>
    <row r="102" spans="3:17" s="49" customFormat="1" ht="15.75" x14ac:dyDescent="0.25">
      <c r="C102" s="48"/>
      <c r="D102" s="60"/>
      <c r="E102" s="60"/>
      <c r="F102" s="60"/>
      <c r="G102" s="50"/>
      <c r="H102" s="61"/>
      <c r="I102" s="62"/>
      <c r="J102" s="62"/>
      <c r="K102" s="62"/>
      <c r="L102" s="62"/>
      <c r="M102" s="63"/>
      <c r="N102" s="63"/>
      <c r="O102" s="63"/>
      <c r="P102" s="63"/>
      <c r="Q102" s="63"/>
    </row>
    <row r="103" spans="3:17" s="49" customFormat="1" ht="15.75" x14ac:dyDescent="0.25">
      <c r="C103" s="48"/>
      <c r="D103" s="60"/>
      <c r="E103" s="60"/>
      <c r="F103" s="60"/>
      <c r="G103" s="50"/>
      <c r="H103" s="61"/>
      <c r="I103" s="62"/>
      <c r="J103" s="62"/>
      <c r="K103" s="62"/>
      <c r="L103" s="62"/>
      <c r="M103" s="63"/>
      <c r="N103" s="63"/>
      <c r="O103" s="63"/>
      <c r="P103" s="63"/>
      <c r="Q103" s="63"/>
    </row>
    <row r="104" spans="3:17" s="49" customFormat="1" ht="15.75" x14ac:dyDescent="0.25">
      <c r="C104" s="48"/>
      <c r="D104" s="60"/>
      <c r="E104" s="60"/>
      <c r="F104" s="60"/>
      <c r="G104" s="50"/>
      <c r="H104" s="61"/>
      <c r="I104" s="62"/>
      <c r="J104" s="62"/>
      <c r="K104" s="62"/>
      <c r="L104" s="62"/>
      <c r="M104" s="63"/>
      <c r="N104" s="63"/>
      <c r="O104" s="63"/>
      <c r="P104" s="63"/>
      <c r="Q104" s="63"/>
    </row>
    <row r="105" spans="3:17" s="49" customFormat="1" ht="15.75" x14ac:dyDescent="0.25">
      <c r="C105" s="48"/>
      <c r="D105" s="60"/>
      <c r="E105" s="60"/>
      <c r="F105" s="60"/>
      <c r="G105" s="50"/>
      <c r="H105" s="61"/>
      <c r="I105" s="62"/>
      <c r="J105" s="62"/>
      <c r="K105" s="62"/>
      <c r="L105" s="62"/>
      <c r="M105" s="63"/>
      <c r="N105" s="63"/>
      <c r="O105" s="63"/>
      <c r="P105" s="63"/>
      <c r="Q105" s="63"/>
    </row>
    <row r="106" spans="3:17" s="49" customFormat="1" ht="15.75" x14ac:dyDescent="0.25">
      <c r="C106" s="48"/>
      <c r="D106" s="60"/>
      <c r="E106" s="60"/>
      <c r="F106" s="60"/>
      <c r="G106" s="50"/>
      <c r="H106" s="61"/>
      <c r="I106" s="62"/>
      <c r="J106" s="62"/>
      <c r="K106" s="62"/>
      <c r="L106" s="62"/>
      <c r="M106" s="63"/>
      <c r="N106" s="63"/>
      <c r="O106" s="63"/>
      <c r="P106" s="63"/>
      <c r="Q106" s="63"/>
    </row>
    <row r="107" spans="3:17" s="49" customFormat="1" ht="15.75" x14ac:dyDescent="0.25">
      <c r="C107" s="48"/>
      <c r="D107" s="60"/>
      <c r="E107" s="60"/>
      <c r="F107" s="60"/>
      <c r="G107" s="50"/>
      <c r="H107" s="61"/>
      <c r="I107" s="62"/>
      <c r="J107" s="62"/>
      <c r="K107" s="62"/>
      <c r="L107" s="62"/>
      <c r="M107" s="63"/>
      <c r="N107" s="63"/>
      <c r="O107" s="63"/>
      <c r="P107" s="63"/>
      <c r="Q107" s="63"/>
    </row>
    <row r="108" spans="3:17" s="49" customFormat="1" ht="15.75" x14ac:dyDescent="0.25">
      <c r="C108" s="48"/>
      <c r="D108" s="60"/>
      <c r="E108" s="60"/>
      <c r="F108" s="60"/>
      <c r="G108" s="50"/>
      <c r="H108" s="61"/>
      <c r="I108" s="44"/>
      <c r="J108" s="44"/>
      <c r="K108" s="44"/>
      <c r="L108" s="44"/>
      <c r="M108" s="64"/>
      <c r="N108" s="64"/>
    </row>
    <row r="109" spans="3:17" s="49" customFormat="1" ht="15.75" x14ac:dyDescent="0.25">
      <c r="C109" s="48"/>
      <c r="D109" s="60"/>
      <c r="E109" s="60"/>
      <c r="F109" s="60"/>
      <c r="G109" s="50"/>
      <c r="H109" s="61"/>
      <c r="I109" s="44"/>
      <c r="J109" s="44"/>
      <c r="K109" s="44"/>
      <c r="L109" s="44"/>
      <c r="M109" s="64"/>
      <c r="N109" s="64"/>
    </row>
    <row r="110" spans="3:17" s="49" customFormat="1" ht="15.75" x14ac:dyDescent="0.25">
      <c r="C110" s="48"/>
      <c r="D110" s="60"/>
      <c r="E110" s="60"/>
      <c r="F110" s="60"/>
      <c r="G110" s="50"/>
      <c r="H110" s="61"/>
      <c r="I110" s="44"/>
      <c r="J110" s="44"/>
      <c r="K110" s="44"/>
      <c r="L110" s="44"/>
      <c r="M110" s="64"/>
      <c r="N110" s="64"/>
    </row>
    <row r="111" spans="3:17" s="49" customFormat="1" ht="15.75" x14ac:dyDescent="0.25">
      <c r="C111" s="48"/>
      <c r="D111" s="60"/>
      <c r="E111" s="60"/>
      <c r="F111" s="60"/>
      <c r="G111" s="50"/>
      <c r="H111" s="61"/>
      <c r="I111" s="44"/>
      <c r="J111" s="44"/>
      <c r="K111" s="44"/>
      <c r="L111" s="44"/>
      <c r="M111" s="64"/>
      <c r="N111" s="64"/>
    </row>
    <row r="112" spans="3:17" s="49" customFormat="1" ht="15.75" x14ac:dyDescent="0.25">
      <c r="C112" s="48"/>
      <c r="D112" s="60"/>
      <c r="E112" s="60"/>
      <c r="F112" s="60"/>
      <c r="G112" s="50"/>
      <c r="H112" s="61"/>
      <c r="I112" s="44"/>
      <c r="J112" s="44"/>
      <c r="K112" s="44"/>
      <c r="L112" s="44"/>
      <c r="M112" s="64"/>
      <c r="N112" s="64"/>
    </row>
    <row r="113" spans="3:14" s="49" customFormat="1" ht="15.75" x14ac:dyDescent="0.25">
      <c r="C113" s="48"/>
      <c r="D113" s="60"/>
      <c r="E113" s="60"/>
      <c r="F113" s="60"/>
      <c r="G113" s="50"/>
      <c r="H113" s="61"/>
      <c r="I113" s="44"/>
      <c r="J113" s="44"/>
      <c r="K113" s="44"/>
      <c r="L113" s="44"/>
      <c r="M113" s="64"/>
      <c r="N113" s="64"/>
    </row>
    <row r="114" spans="3:14" s="49" customFormat="1" ht="15.75" x14ac:dyDescent="0.25">
      <c r="C114" s="48"/>
      <c r="D114" s="60"/>
      <c r="E114" s="60"/>
      <c r="F114" s="60"/>
      <c r="G114" s="50"/>
      <c r="H114" s="61"/>
      <c r="I114" s="44"/>
      <c r="J114" s="44"/>
      <c r="K114" s="44"/>
      <c r="L114" s="44"/>
      <c r="M114" s="64"/>
      <c r="N114" s="64"/>
    </row>
    <row r="115" spans="3:14" s="49" customFormat="1" ht="15.75" x14ac:dyDescent="0.25">
      <c r="C115" s="48"/>
      <c r="D115" s="60"/>
      <c r="E115" s="60"/>
      <c r="F115" s="60"/>
      <c r="G115" s="50"/>
      <c r="H115" s="61"/>
      <c r="I115" s="44"/>
      <c r="J115" s="44"/>
      <c r="K115" s="44"/>
      <c r="L115" s="44"/>
      <c r="M115" s="64"/>
      <c r="N115" s="64"/>
    </row>
    <row r="116" spans="3:14" s="49" customFormat="1" ht="15.75" x14ac:dyDescent="0.25">
      <c r="C116" s="48"/>
      <c r="D116" s="60"/>
      <c r="E116" s="60"/>
      <c r="F116" s="60"/>
      <c r="G116" s="50"/>
      <c r="H116" s="61"/>
      <c r="I116" s="44"/>
      <c r="J116" s="44"/>
      <c r="K116" s="44"/>
      <c r="L116" s="44"/>
      <c r="M116" s="64"/>
      <c r="N116" s="64"/>
    </row>
    <row r="117" spans="3:14" s="49" customFormat="1" ht="15.75" x14ac:dyDescent="0.25">
      <c r="C117" s="48"/>
      <c r="D117" s="60"/>
      <c r="E117" s="60"/>
      <c r="F117" s="60"/>
      <c r="G117" s="50"/>
      <c r="H117" s="61"/>
      <c r="I117" s="44"/>
      <c r="J117" s="44"/>
      <c r="K117" s="44"/>
      <c r="L117" s="44"/>
      <c r="M117" s="64"/>
      <c r="N117" s="64"/>
    </row>
    <row r="118" spans="3:14" s="49" customFormat="1" ht="15.75" x14ac:dyDescent="0.25">
      <c r="C118" s="48"/>
      <c r="D118" s="60"/>
      <c r="E118" s="60"/>
      <c r="F118" s="60"/>
      <c r="G118" s="50"/>
      <c r="H118" s="61"/>
      <c r="I118" s="44"/>
      <c r="J118" s="44"/>
      <c r="K118" s="44"/>
      <c r="L118" s="44"/>
      <c r="M118" s="64"/>
      <c r="N118" s="64"/>
    </row>
    <row r="119" spans="3:14" s="49" customFormat="1" ht="15.75" x14ac:dyDescent="0.25">
      <c r="C119" s="48"/>
      <c r="D119" s="60"/>
      <c r="E119" s="60"/>
      <c r="F119" s="60"/>
      <c r="G119" s="50"/>
      <c r="H119" s="61"/>
      <c r="I119" s="44"/>
      <c r="J119" s="44"/>
      <c r="K119" s="44"/>
      <c r="L119" s="44"/>
      <c r="M119" s="64"/>
      <c r="N119" s="64"/>
    </row>
    <row r="120" spans="3:14" s="49" customFormat="1" ht="15.75" x14ac:dyDescent="0.25">
      <c r="C120" s="48"/>
      <c r="D120" s="60"/>
      <c r="E120" s="60"/>
      <c r="F120" s="60"/>
      <c r="G120" s="50"/>
      <c r="H120" s="61"/>
      <c r="I120" s="44"/>
      <c r="J120" s="44"/>
      <c r="K120" s="44"/>
      <c r="L120" s="44"/>
      <c r="M120" s="64"/>
      <c r="N120" s="64"/>
    </row>
    <row r="121" spans="3:14" s="49" customFormat="1" ht="15.75" x14ac:dyDescent="0.25">
      <c r="C121" s="48"/>
      <c r="D121" s="60"/>
      <c r="E121" s="60"/>
      <c r="F121" s="60"/>
      <c r="G121" s="50"/>
      <c r="H121" s="61"/>
      <c r="I121" s="44"/>
      <c r="J121" s="44"/>
      <c r="K121" s="44"/>
      <c r="L121" s="44"/>
      <c r="M121" s="64"/>
      <c r="N121" s="64"/>
    </row>
    <row r="122" spans="3:14" s="49" customFormat="1" ht="15.75" x14ac:dyDescent="0.25">
      <c r="C122" s="48"/>
      <c r="D122" s="60"/>
      <c r="E122" s="60"/>
      <c r="F122" s="60"/>
      <c r="G122" s="50"/>
      <c r="H122" s="61"/>
      <c r="I122" s="44"/>
      <c r="J122" s="44"/>
      <c r="K122" s="44"/>
      <c r="L122" s="44"/>
      <c r="M122" s="64"/>
      <c r="N122" s="64"/>
    </row>
    <row r="123" spans="3:14" s="49" customFormat="1" ht="15.75" x14ac:dyDescent="0.25">
      <c r="C123" s="48"/>
      <c r="D123" s="60"/>
      <c r="E123" s="60"/>
      <c r="F123" s="60"/>
      <c r="G123" s="50"/>
      <c r="H123" s="61"/>
      <c r="I123" s="44"/>
      <c r="J123" s="44"/>
      <c r="K123" s="44"/>
      <c r="L123" s="44"/>
      <c r="M123" s="64"/>
      <c r="N123" s="64"/>
    </row>
    <row r="124" spans="3:14" s="49" customFormat="1" ht="15.75" x14ac:dyDescent="0.25">
      <c r="C124" s="48"/>
      <c r="D124" s="60"/>
      <c r="E124" s="60"/>
      <c r="F124" s="60"/>
      <c r="G124" s="50"/>
      <c r="H124" s="61"/>
      <c r="I124" s="44"/>
      <c r="J124" s="44"/>
      <c r="K124" s="44"/>
      <c r="L124" s="44"/>
      <c r="M124" s="64"/>
      <c r="N124" s="64"/>
    </row>
    <row r="125" spans="3:14" s="49" customFormat="1" ht="15.75" x14ac:dyDescent="0.25">
      <c r="C125" s="48"/>
      <c r="D125" s="60"/>
      <c r="E125" s="60"/>
      <c r="F125" s="60"/>
      <c r="G125" s="50"/>
      <c r="H125" s="61"/>
      <c r="I125" s="44"/>
      <c r="J125" s="44"/>
      <c r="K125" s="44"/>
      <c r="L125" s="44"/>
      <c r="M125" s="64"/>
      <c r="N125" s="64"/>
    </row>
    <row r="126" spans="3:14" s="49" customFormat="1" ht="15.75" x14ac:dyDescent="0.25">
      <c r="C126" s="48"/>
      <c r="D126" s="60"/>
      <c r="E126" s="60"/>
      <c r="F126" s="60"/>
      <c r="G126" s="50"/>
      <c r="H126" s="61"/>
      <c r="I126" s="44"/>
      <c r="J126" s="44"/>
      <c r="K126" s="44"/>
      <c r="L126" s="44"/>
      <c r="M126" s="64"/>
      <c r="N126" s="64"/>
    </row>
    <row r="127" spans="3:14" s="49" customFormat="1" ht="15.75" x14ac:dyDescent="0.25">
      <c r="C127" s="48"/>
      <c r="D127" s="60"/>
      <c r="E127" s="60"/>
      <c r="F127" s="60"/>
      <c r="G127" s="50"/>
      <c r="H127" s="61"/>
      <c r="I127" s="44"/>
      <c r="J127" s="44"/>
      <c r="K127" s="44"/>
      <c r="L127" s="44"/>
      <c r="M127" s="64"/>
      <c r="N127" s="64"/>
    </row>
    <row r="128" spans="3:14" s="49" customFormat="1" ht="15.75" x14ac:dyDescent="0.25">
      <c r="C128" s="48"/>
      <c r="D128" s="60"/>
      <c r="E128" s="60"/>
      <c r="F128" s="60"/>
      <c r="G128" s="50"/>
      <c r="H128" s="61"/>
      <c r="I128" s="44"/>
      <c r="J128" s="44"/>
      <c r="K128" s="44"/>
      <c r="L128" s="44"/>
      <c r="M128" s="64"/>
      <c r="N128" s="64"/>
    </row>
    <row r="129" spans="3:14" s="49" customFormat="1" ht="15.75" x14ac:dyDescent="0.25">
      <c r="C129" s="48"/>
      <c r="D129" s="60"/>
      <c r="E129" s="60"/>
      <c r="F129" s="60"/>
      <c r="G129" s="50"/>
      <c r="H129" s="61"/>
      <c r="I129" s="44"/>
      <c r="J129" s="44"/>
      <c r="K129" s="44"/>
      <c r="L129" s="44"/>
      <c r="M129" s="64"/>
      <c r="N129" s="64"/>
    </row>
    <row r="130" spans="3:14" s="49" customFormat="1" ht="15.75" x14ac:dyDescent="0.25">
      <c r="C130" s="48"/>
      <c r="D130" s="60"/>
      <c r="E130" s="60"/>
      <c r="F130" s="60"/>
      <c r="G130" s="50"/>
      <c r="H130" s="61"/>
      <c r="I130" s="44"/>
      <c r="J130" s="44"/>
      <c r="K130" s="44"/>
      <c r="L130" s="44"/>
      <c r="M130" s="64"/>
      <c r="N130" s="64"/>
    </row>
    <row r="131" spans="3:14" s="49" customFormat="1" ht="15.75" x14ac:dyDescent="0.25">
      <c r="C131" s="48"/>
      <c r="D131" s="60"/>
      <c r="E131" s="60"/>
      <c r="F131" s="60"/>
      <c r="G131" s="50"/>
      <c r="H131" s="61"/>
      <c r="I131" s="44"/>
      <c r="J131" s="44"/>
      <c r="K131" s="44"/>
      <c r="L131" s="44"/>
      <c r="M131" s="64"/>
      <c r="N131" s="64"/>
    </row>
    <row r="132" spans="3:14" s="49" customFormat="1" ht="15.75" x14ac:dyDescent="0.25">
      <c r="C132" s="48"/>
      <c r="D132" s="60"/>
      <c r="E132" s="60"/>
      <c r="F132" s="60"/>
      <c r="G132" s="50"/>
      <c r="H132" s="61"/>
      <c r="I132" s="44"/>
      <c r="J132" s="44"/>
      <c r="K132" s="44"/>
      <c r="L132" s="44"/>
      <c r="M132" s="64"/>
      <c r="N132" s="64"/>
    </row>
    <row r="133" spans="3:14" s="49" customFormat="1" ht="15.75" x14ac:dyDescent="0.25">
      <c r="C133" s="48"/>
      <c r="D133" s="60"/>
      <c r="E133" s="60"/>
      <c r="F133" s="60"/>
      <c r="G133" s="50"/>
      <c r="H133" s="61"/>
      <c r="I133" s="44"/>
      <c r="J133" s="44"/>
      <c r="K133" s="44"/>
      <c r="L133" s="44"/>
      <c r="M133" s="64"/>
      <c r="N133" s="64"/>
    </row>
    <row r="134" spans="3:14" s="49" customFormat="1" ht="15.75" x14ac:dyDescent="0.25">
      <c r="C134" s="48"/>
      <c r="D134" s="60"/>
      <c r="E134" s="60"/>
      <c r="F134" s="60"/>
      <c r="G134" s="50"/>
      <c r="H134" s="61"/>
      <c r="I134" s="44"/>
      <c r="J134" s="44"/>
      <c r="K134" s="44"/>
      <c r="L134" s="44"/>
      <c r="M134" s="64"/>
      <c r="N134" s="64"/>
    </row>
    <row r="135" spans="3:14" s="49" customFormat="1" ht="15.75" x14ac:dyDescent="0.25">
      <c r="C135" s="48"/>
      <c r="D135" s="60"/>
      <c r="E135" s="60"/>
      <c r="F135" s="60"/>
      <c r="G135" s="50"/>
      <c r="H135" s="61"/>
      <c r="I135" s="44"/>
      <c r="J135" s="44"/>
      <c r="K135" s="44"/>
      <c r="L135" s="44"/>
      <c r="M135" s="64"/>
      <c r="N135" s="64"/>
    </row>
    <row r="136" spans="3:14" s="49" customFormat="1" ht="15.75" x14ac:dyDescent="0.25">
      <c r="C136" s="48"/>
      <c r="D136" s="60"/>
      <c r="E136" s="60"/>
      <c r="F136" s="60"/>
      <c r="G136" s="50"/>
      <c r="H136" s="61"/>
      <c r="I136" s="44"/>
      <c r="J136" s="44"/>
      <c r="K136" s="44"/>
      <c r="L136" s="44"/>
      <c r="M136" s="64"/>
      <c r="N136" s="64"/>
    </row>
    <row r="137" spans="3:14" s="49" customFormat="1" ht="15.75" x14ac:dyDescent="0.25">
      <c r="C137" s="48"/>
      <c r="D137" s="60"/>
      <c r="E137" s="60"/>
      <c r="F137" s="60"/>
      <c r="G137" s="50"/>
      <c r="H137" s="61"/>
      <c r="I137" s="44"/>
      <c r="J137" s="44"/>
      <c r="K137" s="44"/>
      <c r="L137" s="44"/>
      <c r="M137" s="64"/>
      <c r="N137" s="64"/>
    </row>
    <row r="138" spans="3:14" s="49" customFormat="1" ht="15.75" x14ac:dyDescent="0.25">
      <c r="C138" s="48"/>
      <c r="D138" s="60"/>
      <c r="E138" s="60"/>
      <c r="F138" s="60"/>
      <c r="G138" s="50"/>
      <c r="H138" s="61"/>
      <c r="I138" s="44"/>
      <c r="J138" s="44"/>
      <c r="K138" s="44"/>
      <c r="L138" s="44"/>
      <c r="M138" s="64"/>
      <c r="N138" s="64"/>
    </row>
    <row r="139" spans="3:14" s="49" customFormat="1" ht="15.75" x14ac:dyDescent="0.25">
      <c r="C139" s="48"/>
      <c r="D139" s="60"/>
      <c r="E139" s="60"/>
      <c r="F139" s="60"/>
      <c r="G139" s="50"/>
      <c r="H139" s="61"/>
      <c r="I139" s="44"/>
      <c r="J139" s="44"/>
      <c r="K139" s="44"/>
      <c r="L139" s="44"/>
      <c r="M139" s="64"/>
      <c r="N139" s="64"/>
    </row>
    <row r="140" spans="3:14" s="49" customFormat="1" ht="15.75" x14ac:dyDescent="0.25">
      <c r="C140" s="48"/>
      <c r="D140" s="60"/>
      <c r="E140" s="60"/>
      <c r="F140" s="60"/>
      <c r="G140" s="50"/>
      <c r="H140" s="61"/>
      <c r="I140" s="44"/>
      <c r="J140" s="44"/>
      <c r="K140" s="44"/>
      <c r="L140" s="44"/>
      <c r="M140" s="64"/>
      <c r="N140" s="64"/>
    </row>
    <row r="141" spans="3:14" s="49" customFormat="1" ht="15.75" x14ac:dyDescent="0.25">
      <c r="C141" s="48"/>
      <c r="D141" s="60"/>
      <c r="E141" s="60"/>
      <c r="F141" s="60"/>
      <c r="G141" s="50"/>
      <c r="H141" s="61"/>
      <c r="I141" s="44"/>
      <c r="J141" s="44"/>
      <c r="K141" s="44"/>
      <c r="L141" s="44"/>
      <c r="M141" s="64"/>
      <c r="N141" s="64"/>
    </row>
    <row r="142" spans="3:14" s="49" customFormat="1" ht="15.75" x14ac:dyDescent="0.25">
      <c r="C142" s="48"/>
      <c r="D142" s="60"/>
      <c r="E142" s="60"/>
      <c r="F142" s="60"/>
      <c r="G142" s="50"/>
      <c r="H142" s="61"/>
      <c r="I142" s="44"/>
      <c r="J142" s="44"/>
      <c r="K142" s="44"/>
      <c r="L142" s="44"/>
      <c r="M142" s="64"/>
      <c r="N142" s="64"/>
    </row>
    <row r="143" spans="3:14" s="49" customFormat="1" ht="15.75" x14ac:dyDescent="0.25">
      <c r="C143" s="48"/>
      <c r="D143" s="60"/>
      <c r="E143" s="60"/>
      <c r="F143" s="60"/>
      <c r="G143" s="50"/>
      <c r="H143" s="61"/>
      <c r="I143" s="44"/>
      <c r="J143" s="44"/>
      <c r="K143" s="44"/>
      <c r="L143" s="44"/>
      <c r="M143" s="64"/>
      <c r="N143" s="64"/>
    </row>
    <row r="144" spans="3:14" s="49" customFormat="1" ht="15.75" x14ac:dyDescent="0.25">
      <c r="C144" s="48"/>
      <c r="D144" s="60"/>
      <c r="E144" s="60"/>
      <c r="F144" s="60"/>
      <c r="G144" s="50"/>
      <c r="H144" s="61"/>
      <c r="I144" s="44"/>
      <c r="J144" s="44"/>
      <c r="K144" s="44"/>
      <c r="L144" s="44"/>
      <c r="M144" s="64"/>
      <c r="N144" s="64"/>
    </row>
    <row r="145" spans="3:18" s="49" customFormat="1" ht="15.75" x14ac:dyDescent="0.25">
      <c r="C145" s="48"/>
      <c r="D145" s="60"/>
      <c r="E145" s="60"/>
      <c r="F145" s="60"/>
      <c r="G145" s="50"/>
      <c r="H145" s="61"/>
      <c r="I145" s="44"/>
      <c r="J145" s="44"/>
      <c r="K145" s="44"/>
      <c r="L145" s="44"/>
      <c r="M145" s="64"/>
      <c r="N145" s="64"/>
    </row>
    <row r="146" spans="3:18" s="49" customFormat="1" ht="15.75" x14ac:dyDescent="0.25">
      <c r="C146" s="48"/>
      <c r="D146" s="60"/>
      <c r="E146" s="60"/>
      <c r="F146" s="60"/>
      <c r="G146" s="50"/>
      <c r="H146" s="61"/>
      <c r="I146" s="44"/>
      <c r="J146" s="44"/>
      <c r="K146" s="44"/>
      <c r="L146" s="44"/>
      <c r="M146" s="64"/>
      <c r="N146" s="64"/>
    </row>
    <row r="147" spans="3:18" s="49" customFormat="1" ht="15.75" x14ac:dyDescent="0.25">
      <c r="C147" s="48"/>
      <c r="D147" s="60"/>
      <c r="E147" s="60"/>
      <c r="F147" s="60"/>
      <c r="G147" s="50"/>
      <c r="H147" s="61"/>
      <c r="I147" s="44"/>
      <c r="J147" s="44"/>
      <c r="K147" s="44"/>
      <c r="L147" s="44"/>
      <c r="M147" s="64"/>
      <c r="N147" s="64"/>
    </row>
    <row r="148" spans="3:18" s="49" customFormat="1" ht="15.75" x14ac:dyDescent="0.25">
      <c r="C148" s="48"/>
      <c r="D148" s="60"/>
      <c r="E148" s="60"/>
      <c r="F148" s="60"/>
      <c r="G148" s="50"/>
      <c r="H148" s="61"/>
      <c r="I148" s="44"/>
      <c r="J148" s="44"/>
      <c r="K148" s="44"/>
      <c r="L148" s="44"/>
      <c r="M148" s="64"/>
      <c r="N148" s="64"/>
    </row>
    <row r="149" spans="3:18" s="49" customFormat="1" ht="15.75" x14ac:dyDescent="0.25">
      <c r="C149" s="48"/>
      <c r="D149" s="60"/>
      <c r="E149" s="60"/>
      <c r="F149" s="60"/>
      <c r="G149" s="50"/>
      <c r="H149" s="61"/>
      <c r="I149" s="44"/>
      <c r="J149" s="44"/>
      <c r="K149" s="44"/>
      <c r="L149" s="44"/>
      <c r="M149" s="64"/>
      <c r="N149" s="64"/>
    </row>
    <row r="150" spans="3:18" s="49" customFormat="1" ht="15.75" x14ac:dyDescent="0.25">
      <c r="C150" s="48"/>
      <c r="D150" s="60"/>
      <c r="E150" s="60"/>
      <c r="F150" s="60"/>
      <c r="G150" s="50"/>
      <c r="H150" s="61"/>
      <c r="I150" s="44"/>
      <c r="J150" s="44"/>
      <c r="K150" s="44"/>
      <c r="L150" s="44"/>
      <c r="M150" s="64"/>
      <c r="N150" s="64"/>
    </row>
    <row r="151" spans="3:18" s="49" customFormat="1" ht="15.75" x14ac:dyDescent="0.25">
      <c r="C151" s="48"/>
      <c r="D151" s="60"/>
      <c r="E151" s="60"/>
      <c r="F151" s="60"/>
      <c r="G151" s="50"/>
      <c r="H151" s="61"/>
      <c r="I151" s="44"/>
      <c r="J151" s="44"/>
      <c r="K151" s="44"/>
      <c r="L151" s="44"/>
      <c r="M151" s="64"/>
      <c r="N151" s="64"/>
      <c r="R151" s="38"/>
    </row>
    <row r="152" spans="3:18" s="49" customFormat="1" ht="15.75" x14ac:dyDescent="0.25">
      <c r="C152" s="48"/>
      <c r="D152" s="60"/>
      <c r="E152" s="60"/>
      <c r="F152" s="60"/>
      <c r="G152" s="50"/>
      <c r="H152" s="61"/>
      <c r="I152" s="44"/>
      <c r="J152" s="44"/>
      <c r="K152" s="44"/>
      <c r="L152" s="44"/>
      <c r="M152" s="64"/>
      <c r="N152" s="64"/>
      <c r="R152" s="38"/>
    </row>
    <row r="153" spans="3:18" s="49" customFormat="1" ht="15.75" x14ac:dyDescent="0.25">
      <c r="C153" s="48"/>
      <c r="D153" s="60"/>
      <c r="E153" s="60"/>
      <c r="F153" s="60"/>
      <c r="G153" s="50"/>
      <c r="H153" s="61"/>
      <c r="I153" s="44"/>
      <c r="J153" s="44"/>
      <c r="K153" s="44"/>
      <c r="L153" s="44"/>
      <c r="M153" s="64"/>
      <c r="N153" s="64"/>
      <c r="R153" s="38"/>
    </row>
    <row r="154" spans="3:18" s="49" customFormat="1" ht="15.75" x14ac:dyDescent="0.25">
      <c r="C154" s="48"/>
      <c r="D154" s="60"/>
      <c r="E154" s="60"/>
      <c r="F154" s="60"/>
      <c r="G154" s="50"/>
      <c r="H154" s="61"/>
      <c r="I154" s="44"/>
      <c r="J154" s="44"/>
      <c r="K154" s="44"/>
      <c r="L154" s="44"/>
      <c r="M154" s="64"/>
      <c r="N154" s="64"/>
      <c r="R154" s="38"/>
    </row>
    <row r="155" spans="3:18" s="49" customFormat="1" ht="15.75" x14ac:dyDescent="0.25">
      <c r="C155" s="48"/>
      <c r="D155" s="60"/>
      <c r="E155" s="60"/>
      <c r="F155" s="60"/>
      <c r="G155" s="50"/>
      <c r="H155" s="61"/>
      <c r="I155" s="44"/>
      <c r="J155" s="44"/>
      <c r="K155" s="44"/>
      <c r="L155" s="44"/>
      <c r="M155" s="64"/>
      <c r="N155" s="64"/>
      <c r="R155" s="38"/>
    </row>
    <row r="156" spans="3:18" s="49" customFormat="1" ht="15.75" x14ac:dyDescent="0.25">
      <c r="C156" s="48"/>
      <c r="D156" s="60"/>
      <c r="E156" s="60"/>
      <c r="F156" s="60"/>
      <c r="G156" s="50"/>
      <c r="H156" s="61"/>
      <c r="I156" s="44"/>
      <c r="J156" s="44"/>
      <c r="K156" s="44"/>
      <c r="L156" s="44"/>
      <c r="M156" s="64"/>
      <c r="N156" s="64"/>
      <c r="R156" s="38"/>
    </row>
    <row r="157" spans="3:18" s="49" customFormat="1" ht="15.75" x14ac:dyDescent="0.25">
      <c r="C157" s="48"/>
      <c r="D157" s="60"/>
      <c r="E157" s="60"/>
      <c r="F157" s="60"/>
      <c r="G157" s="50"/>
      <c r="H157" s="61"/>
      <c r="I157" s="44"/>
      <c r="J157" s="44"/>
      <c r="K157" s="44"/>
      <c r="L157" s="44"/>
      <c r="M157" s="64"/>
      <c r="N157" s="64"/>
      <c r="R157" s="38"/>
    </row>
    <row r="158" spans="3:18" s="49" customFormat="1" ht="15.75" x14ac:dyDescent="0.25">
      <c r="C158" s="48"/>
      <c r="D158" s="60"/>
      <c r="E158" s="60"/>
      <c r="F158" s="60"/>
      <c r="G158" s="50"/>
      <c r="H158" s="61"/>
      <c r="I158" s="44"/>
      <c r="J158" s="44"/>
      <c r="K158" s="44"/>
      <c r="L158" s="44"/>
      <c r="M158" s="64"/>
      <c r="N158" s="64"/>
      <c r="R158" s="38"/>
    </row>
    <row r="159" spans="3:18" s="49" customFormat="1" ht="15.75" x14ac:dyDescent="0.25">
      <c r="C159" s="48"/>
      <c r="D159" s="60"/>
      <c r="E159" s="60"/>
      <c r="F159" s="60"/>
      <c r="G159" s="50"/>
      <c r="H159" s="61"/>
      <c r="I159" s="44"/>
      <c r="J159" s="44"/>
      <c r="K159" s="44"/>
      <c r="L159" s="44"/>
      <c r="M159" s="64"/>
      <c r="N159" s="64"/>
      <c r="R159" s="38"/>
    </row>
    <row r="160" spans="3:18" s="49" customFormat="1" ht="15.75" x14ac:dyDescent="0.25">
      <c r="C160" s="48"/>
      <c r="D160" s="60"/>
      <c r="E160" s="60"/>
      <c r="F160" s="60"/>
      <c r="G160" s="50"/>
      <c r="H160" s="61"/>
      <c r="I160" s="44"/>
      <c r="J160" s="44"/>
      <c r="K160" s="44"/>
      <c r="L160" s="44"/>
      <c r="M160" s="64"/>
      <c r="N160" s="64"/>
      <c r="R160" s="39"/>
    </row>
    <row r="161" spans="3:18" s="49" customFormat="1" ht="15.75" x14ac:dyDescent="0.25">
      <c r="C161" s="48"/>
      <c r="D161" s="60"/>
      <c r="E161" s="60"/>
      <c r="F161" s="60"/>
      <c r="G161" s="50"/>
      <c r="H161" s="61"/>
      <c r="I161" s="44"/>
      <c r="J161" s="44"/>
      <c r="K161" s="44"/>
      <c r="L161" s="44"/>
      <c r="M161" s="64"/>
      <c r="N161" s="64"/>
      <c r="R161" s="39"/>
    </row>
    <row r="162" spans="3:18" s="49" customFormat="1" ht="15.75" x14ac:dyDescent="0.25">
      <c r="C162" s="48"/>
      <c r="D162" s="60"/>
      <c r="E162" s="60"/>
      <c r="F162" s="60"/>
      <c r="G162" s="50"/>
      <c r="H162" s="61"/>
      <c r="I162" s="44"/>
      <c r="J162" s="44"/>
      <c r="K162" s="44"/>
      <c r="L162" s="44"/>
      <c r="M162" s="64"/>
      <c r="N162" s="64"/>
      <c r="R162" s="39"/>
    </row>
    <row r="163" spans="3:18" s="49" customFormat="1" ht="15.75" x14ac:dyDescent="0.25">
      <c r="C163" s="48"/>
      <c r="D163" s="60"/>
      <c r="E163" s="60"/>
      <c r="F163" s="60"/>
      <c r="G163" s="50"/>
      <c r="H163" s="61"/>
      <c r="I163" s="44"/>
      <c r="J163" s="44"/>
      <c r="K163" s="44"/>
      <c r="L163" s="44"/>
      <c r="M163" s="64"/>
      <c r="N163" s="64"/>
      <c r="R163" s="39"/>
    </row>
    <row r="164" spans="3:18" s="49" customFormat="1" ht="15.75" x14ac:dyDescent="0.25">
      <c r="C164" s="48"/>
      <c r="D164" s="60"/>
      <c r="E164" s="60"/>
      <c r="F164" s="60"/>
      <c r="G164" s="50"/>
      <c r="H164" s="61"/>
      <c r="I164" s="44"/>
      <c r="J164" s="44"/>
      <c r="K164" s="44"/>
      <c r="L164" s="44"/>
      <c r="M164" s="64"/>
      <c r="N164" s="64"/>
      <c r="R164" s="39"/>
    </row>
    <row r="165" spans="3:18" s="49" customFormat="1" ht="15.75" x14ac:dyDescent="0.25">
      <c r="C165" s="48"/>
      <c r="D165" s="60"/>
      <c r="E165" s="60"/>
      <c r="F165" s="60"/>
      <c r="G165" s="50"/>
      <c r="H165" s="61"/>
      <c r="I165" s="44"/>
      <c r="J165" s="44"/>
      <c r="K165" s="44"/>
      <c r="L165" s="44"/>
      <c r="M165" s="64"/>
      <c r="N165" s="64"/>
      <c r="R165" s="39"/>
    </row>
    <row r="166" spans="3:18" s="49" customFormat="1" ht="15.75" x14ac:dyDescent="0.25">
      <c r="C166" s="48"/>
      <c r="D166" s="60"/>
      <c r="E166" s="60"/>
      <c r="F166" s="60"/>
      <c r="G166" s="50"/>
      <c r="H166" s="61"/>
      <c r="I166" s="44"/>
      <c r="J166" s="44"/>
      <c r="K166" s="44"/>
      <c r="L166" s="44"/>
      <c r="M166" s="64"/>
      <c r="N166" s="64"/>
      <c r="R166" s="39"/>
    </row>
    <row r="167" spans="3:18" s="49" customFormat="1" ht="15.75" x14ac:dyDescent="0.25">
      <c r="C167" s="48"/>
      <c r="D167" s="60"/>
      <c r="E167" s="60"/>
      <c r="F167" s="60"/>
      <c r="G167" s="50"/>
      <c r="H167" s="61"/>
      <c r="I167" s="44"/>
      <c r="J167" s="44"/>
      <c r="K167" s="44"/>
      <c r="L167" s="44"/>
      <c r="M167" s="64"/>
      <c r="N167" s="64"/>
      <c r="R167" s="39"/>
    </row>
    <row r="168" spans="3:18" s="49" customFormat="1" ht="15.75" x14ac:dyDescent="0.25">
      <c r="C168" s="48"/>
      <c r="D168" s="60"/>
      <c r="E168" s="60"/>
      <c r="F168" s="60"/>
      <c r="G168" s="50"/>
      <c r="H168" s="61"/>
      <c r="I168" s="44"/>
      <c r="J168" s="44"/>
      <c r="K168" s="44"/>
      <c r="L168" s="44"/>
      <c r="M168" s="64"/>
      <c r="N168" s="64"/>
      <c r="R168" s="39"/>
    </row>
    <row r="169" spans="3:18" s="49" customFormat="1" ht="15.75" x14ac:dyDescent="0.25">
      <c r="C169" s="48"/>
      <c r="D169" s="60"/>
      <c r="E169" s="60"/>
      <c r="F169" s="60"/>
      <c r="G169" s="50"/>
      <c r="H169" s="61"/>
      <c r="I169" s="44"/>
      <c r="J169" s="44"/>
      <c r="K169" s="44"/>
      <c r="L169" s="44"/>
      <c r="M169" s="64"/>
      <c r="N169" s="64"/>
      <c r="R169" s="39"/>
    </row>
    <row r="170" spans="3:18" s="49" customFormat="1" ht="15.75" x14ac:dyDescent="0.25">
      <c r="C170" s="48"/>
      <c r="D170" s="60"/>
      <c r="E170" s="60"/>
      <c r="F170" s="60"/>
      <c r="G170" s="50"/>
      <c r="H170" s="61"/>
      <c r="I170" s="44"/>
      <c r="J170" s="44"/>
      <c r="K170" s="44"/>
      <c r="L170" s="44"/>
      <c r="M170" s="64"/>
      <c r="N170" s="64"/>
      <c r="R170" s="39"/>
    </row>
    <row r="171" spans="3:18" s="49" customFormat="1" ht="15.75" x14ac:dyDescent="0.25">
      <c r="C171" s="48"/>
      <c r="D171" s="60"/>
      <c r="E171" s="60"/>
      <c r="F171" s="60"/>
      <c r="G171" s="50"/>
      <c r="H171" s="61"/>
      <c r="I171" s="44"/>
      <c r="J171" s="44"/>
      <c r="K171" s="44"/>
      <c r="L171" s="44"/>
      <c r="M171" s="64"/>
      <c r="N171" s="64"/>
      <c r="R171" s="39"/>
    </row>
    <row r="172" spans="3:18" s="49" customFormat="1" ht="15.75" x14ac:dyDescent="0.25">
      <c r="C172" s="48"/>
      <c r="D172" s="60"/>
      <c r="E172" s="60"/>
      <c r="F172" s="60"/>
      <c r="G172" s="50"/>
      <c r="H172" s="61"/>
      <c r="I172" s="44"/>
      <c r="J172" s="44"/>
      <c r="K172" s="44"/>
      <c r="L172" s="44"/>
      <c r="M172" s="64"/>
      <c r="N172" s="64"/>
      <c r="R172" s="39"/>
    </row>
    <row r="173" spans="3:18" s="49" customFormat="1" ht="15.75" x14ac:dyDescent="0.25">
      <c r="C173" s="48"/>
      <c r="D173" s="60"/>
      <c r="E173" s="60"/>
      <c r="F173" s="60"/>
      <c r="G173" s="50"/>
      <c r="H173" s="61"/>
      <c r="I173" s="44"/>
      <c r="J173" s="44"/>
      <c r="K173" s="44"/>
      <c r="L173" s="44"/>
      <c r="M173" s="64"/>
      <c r="N173" s="64"/>
      <c r="R173" s="39"/>
    </row>
    <row r="174" spans="3:18" s="49" customFormat="1" ht="15.75" x14ac:dyDescent="0.25">
      <c r="C174" s="48"/>
      <c r="D174" s="60"/>
      <c r="E174" s="60"/>
      <c r="F174" s="60"/>
      <c r="G174" s="50"/>
      <c r="H174" s="61"/>
      <c r="I174" s="44"/>
      <c r="J174" s="44"/>
      <c r="K174" s="44"/>
      <c r="L174" s="44"/>
      <c r="M174" s="64"/>
      <c r="N174" s="64"/>
      <c r="R174" s="39"/>
    </row>
    <row r="175" spans="3:18" s="49" customFormat="1" ht="15.75" x14ac:dyDescent="0.25">
      <c r="C175" s="48"/>
      <c r="D175" s="60"/>
      <c r="E175" s="60"/>
      <c r="F175" s="60"/>
      <c r="G175" s="50"/>
      <c r="H175" s="61"/>
      <c r="I175" s="44"/>
      <c r="J175" s="44"/>
      <c r="K175" s="44"/>
      <c r="L175" s="44"/>
      <c r="M175" s="64"/>
      <c r="N175" s="64"/>
      <c r="R175" s="39"/>
    </row>
    <row r="176" spans="3:18" s="49" customFormat="1" ht="15.75" x14ac:dyDescent="0.25">
      <c r="C176" s="48"/>
      <c r="D176" s="60"/>
      <c r="E176" s="60"/>
      <c r="F176" s="60"/>
      <c r="G176" s="50"/>
      <c r="H176" s="61"/>
      <c r="I176" s="44"/>
      <c r="J176" s="44"/>
      <c r="K176" s="44"/>
      <c r="L176" s="44"/>
      <c r="M176" s="64"/>
      <c r="N176" s="64"/>
      <c r="R176" s="39"/>
    </row>
    <row r="177" spans="3:18" s="49" customFormat="1" ht="15.75" x14ac:dyDescent="0.25">
      <c r="C177" s="48"/>
      <c r="D177" s="60"/>
      <c r="E177" s="60"/>
      <c r="F177" s="60"/>
      <c r="G177" s="50"/>
      <c r="H177" s="61"/>
      <c r="I177" s="44"/>
      <c r="J177" s="44"/>
      <c r="K177" s="44"/>
      <c r="L177" s="44"/>
      <c r="M177" s="64"/>
      <c r="N177" s="64"/>
      <c r="R177" s="39"/>
    </row>
    <row r="178" spans="3:18" s="49" customFormat="1" ht="15.75" x14ac:dyDescent="0.25">
      <c r="C178" s="48"/>
      <c r="D178" s="60"/>
      <c r="E178" s="60"/>
      <c r="F178" s="60"/>
      <c r="G178" s="50"/>
      <c r="H178" s="61"/>
      <c r="I178" s="44"/>
      <c r="J178" s="44"/>
      <c r="K178" s="44"/>
      <c r="L178" s="44"/>
      <c r="M178" s="64"/>
      <c r="N178" s="64"/>
      <c r="R178" s="39"/>
    </row>
    <row r="179" spans="3:18" s="49" customFormat="1" ht="15.75" x14ac:dyDescent="0.25">
      <c r="C179" s="48"/>
      <c r="D179" s="60"/>
      <c r="E179" s="60"/>
      <c r="F179" s="60"/>
      <c r="G179" s="50"/>
      <c r="H179" s="61"/>
      <c r="I179" s="44"/>
      <c r="J179" s="44"/>
      <c r="K179" s="44"/>
      <c r="L179" s="44"/>
      <c r="M179" s="64"/>
      <c r="N179" s="64"/>
      <c r="R179" s="39"/>
    </row>
    <row r="180" spans="3:18" s="49" customFormat="1" ht="15.75" x14ac:dyDescent="0.25">
      <c r="C180" s="48"/>
      <c r="D180" s="60"/>
      <c r="E180" s="60"/>
      <c r="F180" s="60"/>
      <c r="G180" s="50"/>
      <c r="H180" s="61"/>
      <c r="I180" s="44"/>
      <c r="J180" s="44"/>
      <c r="K180" s="44"/>
      <c r="L180" s="44"/>
      <c r="M180" s="64"/>
      <c r="N180" s="64"/>
      <c r="R180" s="39"/>
    </row>
    <row r="181" spans="3:18" s="49" customFormat="1" ht="15.75" x14ac:dyDescent="0.25">
      <c r="C181" s="48"/>
      <c r="D181" s="60"/>
      <c r="E181" s="60"/>
      <c r="F181" s="60"/>
      <c r="G181" s="50"/>
      <c r="H181" s="61"/>
      <c r="I181" s="44"/>
      <c r="J181" s="44"/>
      <c r="K181" s="44"/>
      <c r="L181" s="44"/>
      <c r="M181" s="64"/>
      <c r="N181" s="64"/>
      <c r="R181" s="39"/>
    </row>
    <row r="182" spans="3:18" s="49" customFormat="1" ht="15.75" x14ac:dyDescent="0.25">
      <c r="C182" s="48"/>
      <c r="D182" s="60"/>
      <c r="E182" s="60"/>
      <c r="F182" s="60"/>
      <c r="G182" s="50"/>
      <c r="H182" s="61"/>
      <c r="I182" s="44"/>
      <c r="J182" s="44"/>
      <c r="K182" s="44"/>
      <c r="L182" s="44"/>
      <c r="M182" s="64"/>
      <c r="N182" s="64"/>
      <c r="R182" s="39"/>
    </row>
    <row r="183" spans="3:18" s="49" customFormat="1" ht="15.75" x14ac:dyDescent="0.25">
      <c r="C183" s="48"/>
      <c r="D183" s="60"/>
      <c r="E183" s="60"/>
      <c r="F183" s="60"/>
      <c r="G183" s="50"/>
      <c r="H183" s="61"/>
      <c r="I183" s="44"/>
      <c r="J183" s="44"/>
      <c r="K183" s="44"/>
      <c r="L183" s="44"/>
      <c r="M183" s="64"/>
      <c r="N183" s="64"/>
      <c r="R183" s="39"/>
    </row>
    <row r="184" spans="3:18" s="49" customFormat="1" ht="15.75" x14ac:dyDescent="0.25">
      <c r="C184" s="48"/>
      <c r="D184" s="60"/>
      <c r="E184" s="60"/>
      <c r="F184" s="60"/>
      <c r="G184" s="50"/>
      <c r="H184" s="61"/>
      <c r="I184" s="44"/>
      <c r="J184" s="44"/>
      <c r="K184" s="44"/>
      <c r="L184" s="44"/>
      <c r="M184" s="64"/>
      <c r="N184" s="64"/>
      <c r="R184" s="39"/>
    </row>
    <row r="185" spans="3:18" s="49" customFormat="1" ht="15.75" x14ac:dyDescent="0.25">
      <c r="C185" s="48"/>
      <c r="D185" s="60"/>
      <c r="E185" s="60"/>
      <c r="F185" s="60"/>
      <c r="G185" s="50"/>
      <c r="H185" s="61"/>
      <c r="I185" s="44"/>
      <c r="J185" s="44"/>
      <c r="K185" s="44"/>
      <c r="L185" s="44"/>
      <c r="M185" s="64"/>
      <c r="N185" s="64"/>
      <c r="R185" s="39"/>
    </row>
    <row r="186" spans="3:18" s="49" customFormat="1" ht="15.75" x14ac:dyDescent="0.25">
      <c r="C186" s="48"/>
      <c r="D186" s="60"/>
      <c r="E186" s="60"/>
      <c r="F186" s="60"/>
      <c r="G186" s="50"/>
      <c r="H186" s="61"/>
      <c r="I186" s="44"/>
      <c r="J186" s="44"/>
      <c r="K186" s="44"/>
      <c r="L186" s="44"/>
      <c r="M186" s="64"/>
      <c r="N186" s="64"/>
      <c r="R186" s="39"/>
    </row>
    <row r="187" spans="3:18" s="49" customFormat="1" ht="15.75" x14ac:dyDescent="0.25">
      <c r="C187" s="48"/>
      <c r="D187" s="60"/>
      <c r="E187" s="60"/>
      <c r="F187" s="60"/>
      <c r="G187" s="50"/>
      <c r="H187" s="61"/>
      <c r="I187" s="44"/>
      <c r="J187" s="44"/>
      <c r="K187" s="44"/>
      <c r="L187" s="44"/>
      <c r="M187" s="64"/>
      <c r="N187" s="64"/>
      <c r="R187" s="39"/>
    </row>
    <row r="188" spans="3:18" s="49" customFormat="1" ht="15.75" x14ac:dyDescent="0.25">
      <c r="C188" s="48"/>
      <c r="D188" s="60"/>
      <c r="E188" s="60"/>
      <c r="F188" s="60"/>
      <c r="G188" s="50"/>
      <c r="H188" s="61"/>
      <c r="I188" s="44"/>
      <c r="J188" s="44"/>
      <c r="K188" s="44"/>
      <c r="L188" s="44"/>
      <c r="M188" s="64"/>
      <c r="N188" s="64"/>
      <c r="R188" s="39"/>
    </row>
    <row r="189" spans="3:18" s="49" customFormat="1" ht="15.75" x14ac:dyDescent="0.25">
      <c r="C189" s="48"/>
      <c r="D189" s="60"/>
      <c r="E189" s="60"/>
      <c r="F189" s="60"/>
      <c r="G189" s="50"/>
      <c r="H189" s="61"/>
      <c r="I189" s="44"/>
      <c r="J189" s="44"/>
      <c r="K189" s="44"/>
      <c r="L189" s="44"/>
      <c r="M189" s="64"/>
      <c r="N189" s="64"/>
      <c r="R189" s="39"/>
    </row>
    <row r="190" spans="3:18" s="49" customFormat="1" ht="15.75" x14ac:dyDescent="0.25">
      <c r="C190" s="48"/>
      <c r="D190" s="60"/>
      <c r="E190" s="60"/>
      <c r="F190" s="60"/>
      <c r="G190" s="50"/>
      <c r="H190" s="61"/>
      <c r="I190" s="44"/>
      <c r="J190" s="44"/>
      <c r="K190" s="44"/>
      <c r="L190" s="44"/>
      <c r="M190" s="64"/>
      <c r="N190" s="64"/>
      <c r="R190" s="39"/>
    </row>
    <row r="191" spans="3:18" s="49" customFormat="1" ht="15.75" x14ac:dyDescent="0.25">
      <c r="C191" s="48"/>
      <c r="D191" s="60"/>
      <c r="E191" s="60"/>
      <c r="F191" s="60"/>
      <c r="G191" s="50"/>
      <c r="H191" s="61"/>
      <c r="I191" s="44"/>
      <c r="J191" s="44"/>
      <c r="K191" s="44"/>
      <c r="L191" s="44"/>
      <c r="M191" s="64"/>
      <c r="N191" s="64"/>
      <c r="R191" s="39"/>
    </row>
    <row r="192" spans="3:18" s="49" customFormat="1" ht="15.75" x14ac:dyDescent="0.25">
      <c r="C192" s="48"/>
      <c r="D192" s="60"/>
      <c r="E192" s="60"/>
      <c r="F192" s="60"/>
      <c r="G192" s="50"/>
      <c r="H192" s="61"/>
      <c r="I192" s="44"/>
      <c r="J192" s="44"/>
      <c r="K192" s="44"/>
      <c r="L192" s="44"/>
      <c r="M192" s="64"/>
      <c r="N192" s="64"/>
      <c r="R192" s="39"/>
    </row>
    <row r="193" spans="3:18" s="49" customFormat="1" ht="15.75" x14ac:dyDescent="0.25">
      <c r="C193" s="48"/>
      <c r="D193" s="60"/>
      <c r="E193" s="60"/>
      <c r="F193" s="60"/>
      <c r="G193" s="50"/>
      <c r="H193" s="61"/>
      <c r="I193" s="44"/>
      <c r="J193" s="44"/>
      <c r="K193" s="44"/>
      <c r="L193" s="44"/>
      <c r="M193" s="64"/>
      <c r="N193" s="64"/>
      <c r="R193" s="39"/>
    </row>
    <row r="194" spans="3:18" s="49" customFormat="1" ht="15.75" x14ac:dyDescent="0.25">
      <c r="C194" s="48"/>
      <c r="D194" s="60"/>
      <c r="E194" s="60"/>
      <c r="F194" s="60"/>
      <c r="G194" s="50"/>
      <c r="H194" s="61"/>
      <c r="I194" s="44"/>
      <c r="J194" s="44"/>
      <c r="K194" s="44"/>
      <c r="L194" s="44"/>
      <c r="M194" s="64"/>
      <c r="N194" s="64"/>
      <c r="R194" s="39"/>
    </row>
    <row r="195" spans="3:18" s="49" customFormat="1" ht="15.75" x14ac:dyDescent="0.25">
      <c r="C195" s="48"/>
      <c r="D195" s="60"/>
      <c r="E195" s="60"/>
      <c r="F195" s="60"/>
      <c r="G195" s="50"/>
      <c r="H195" s="61"/>
      <c r="I195" s="44"/>
      <c r="J195" s="44"/>
      <c r="K195" s="44"/>
      <c r="L195" s="44"/>
      <c r="M195" s="64"/>
      <c r="N195" s="64"/>
      <c r="R195" s="39"/>
    </row>
    <row r="196" spans="3:18" s="49" customFormat="1" ht="15.75" x14ac:dyDescent="0.25">
      <c r="C196" s="48"/>
      <c r="D196" s="60"/>
      <c r="E196" s="60"/>
      <c r="F196" s="60"/>
      <c r="G196" s="50"/>
      <c r="H196" s="61"/>
      <c r="I196" s="44"/>
      <c r="J196" s="44"/>
      <c r="K196" s="44"/>
      <c r="L196" s="44"/>
      <c r="M196" s="64"/>
      <c r="N196" s="64"/>
      <c r="R196" s="39"/>
    </row>
    <row r="197" spans="3:18" s="49" customFormat="1" ht="15.75" x14ac:dyDescent="0.25">
      <c r="C197" s="48"/>
      <c r="D197" s="60"/>
      <c r="E197" s="60"/>
      <c r="F197" s="60"/>
      <c r="G197" s="50"/>
      <c r="H197" s="61"/>
      <c r="I197" s="44"/>
      <c r="J197" s="44"/>
      <c r="K197" s="44"/>
      <c r="L197" s="44"/>
      <c r="M197" s="64"/>
      <c r="N197" s="64"/>
      <c r="R197" s="39"/>
    </row>
    <row r="198" spans="3:18" s="49" customFormat="1" ht="15.75" x14ac:dyDescent="0.25">
      <c r="C198" s="48"/>
      <c r="D198" s="60"/>
      <c r="E198" s="60"/>
      <c r="F198" s="60"/>
      <c r="G198" s="50"/>
      <c r="H198" s="61"/>
      <c r="I198" s="44"/>
      <c r="J198" s="44"/>
      <c r="K198" s="44"/>
      <c r="L198" s="44"/>
      <c r="M198" s="64"/>
      <c r="N198" s="64"/>
      <c r="R198" s="39"/>
    </row>
    <row r="199" spans="3:18" s="49" customFormat="1" ht="15.75" x14ac:dyDescent="0.25">
      <c r="C199" s="48"/>
      <c r="D199" s="60"/>
      <c r="E199" s="60"/>
      <c r="F199" s="60"/>
      <c r="G199" s="50"/>
      <c r="H199" s="61"/>
      <c r="I199" s="44"/>
      <c r="J199" s="44"/>
      <c r="K199" s="44"/>
      <c r="L199" s="44"/>
      <c r="M199" s="64"/>
      <c r="N199" s="64"/>
      <c r="R199" s="39"/>
    </row>
    <row r="200" spans="3:18" s="49" customFormat="1" ht="15.75" x14ac:dyDescent="0.25">
      <c r="C200" s="48"/>
      <c r="D200" s="60"/>
      <c r="E200" s="60"/>
      <c r="F200" s="60"/>
      <c r="G200" s="50"/>
      <c r="H200" s="61"/>
      <c r="I200" s="44"/>
      <c r="J200" s="44"/>
      <c r="K200" s="44"/>
      <c r="L200" s="44"/>
      <c r="M200" s="64"/>
      <c r="N200" s="64"/>
      <c r="R200" s="39"/>
    </row>
    <row r="201" spans="3:18" s="49" customFormat="1" ht="15.75" x14ac:dyDescent="0.25">
      <c r="C201" s="48"/>
      <c r="D201" s="60"/>
      <c r="E201" s="60"/>
      <c r="F201" s="60"/>
      <c r="G201" s="50"/>
      <c r="H201" s="61"/>
      <c r="I201" s="44"/>
      <c r="J201" s="44"/>
      <c r="K201" s="44"/>
      <c r="L201" s="44"/>
      <c r="M201" s="64"/>
      <c r="N201" s="64"/>
      <c r="R201" s="39"/>
    </row>
    <row r="202" spans="3:18" s="49" customFormat="1" ht="15.75" x14ac:dyDescent="0.25">
      <c r="C202" s="48"/>
      <c r="D202" s="60"/>
      <c r="E202" s="60"/>
      <c r="F202" s="60"/>
      <c r="G202" s="50"/>
      <c r="H202" s="61"/>
      <c r="I202" s="44"/>
      <c r="J202" s="44"/>
      <c r="K202" s="44"/>
      <c r="L202" s="44"/>
      <c r="M202" s="64"/>
      <c r="N202" s="64"/>
      <c r="R202" s="39"/>
    </row>
    <row r="203" spans="3:18" s="49" customFormat="1" ht="15.75" x14ac:dyDescent="0.25">
      <c r="C203" s="48"/>
      <c r="D203" s="60"/>
      <c r="E203" s="60"/>
      <c r="F203" s="60"/>
      <c r="G203" s="50"/>
      <c r="H203" s="61"/>
      <c r="I203" s="44"/>
      <c r="J203" s="44"/>
      <c r="K203" s="44"/>
      <c r="L203" s="44"/>
      <c r="M203" s="64"/>
      <c r="N203" s="64"/>
      <c r="R203" s="39"/>
    </row>
    <row r="204" spans="3:18" s="49" customFormat="1" ht="15.75" x14ac:dyDescent="0.25">
      <c r="C204" s="48"/>
      <c r="D204" s="60"/>
      <c r="E204" s="60"/>
      <c r="F204" s="60"/>
      <c r="G204" s="50"/>
      <c r="H204" s="61"/>
      <c r="I204" s="44"/>
      <c r="J204" s="44"/>
      <c r="K204" s="44"/>
      <c r="L204" s="44"/>
      <c r="M204" s="64"/>
      <c r="N204" s="64"/>
      <c r="R204" s="39"/>
    </row>
    <row r="205" spans="3:18" s="49" customFormat="1" ht="15.75" x14ac:dyDescent="0.25">
      <c r="C205" s="48"/>
      <c r="D205" s="60"/>
      <c r="E205" s="60"/>
      <c r="F205" s="60"/>
      <c r="G205" s="50"/>
      <c r="H205" s="61"/>
      <c r="I205" s="44"/>
      <c r="J205" s="44"/>
      <c r="K205" s="44"/>
      <c r="L205" s="44"/>
      <c r="M205" s="64"/>
      <c r="N205" s="64"/>
      <c r="R205" s="39"/>
    </row>
    <row r="206" spans="3:18" s="49" customFormat="1" ht="15.75" x14ac:dyDescent="0.25">
      <c r="C206" s="48"/>
      <c r="D206" s="60"/>
      <c r="E206" s="60"/>
      <c r="F206" s="60"/>
      <c r="G206" s="50"/>
      <c r="H206" s="61"/>
      <c r="I206" s="44"/>
      <c r="J206" s="44"/>
      <c r="K206" s="44"/>
      <c r="L206" s="44"/>
      <c r="M206" s="64"/>
      <c r="N206" s="64"/>
      <c r="R206" s="39"/>
    </row>
    <row r="207" spans="3:18" s="49" customFormat="1" ht="15.75" x14ac:dyDescent="0.25">
      <c r="C207" s="48"/>
      <c r="D207" s="60"/>
      <c r="E207" s="60"/>
      <c r="F207" s="60"/>
      <c r="G207" s="50"/>
      <c r="H207" s="61"/>
      <c r="I207" s="44"/>
      <c r="J207" s="44"/>
      <c r="K207" s="44"/>
      <c r="L207" s="44"/>
      <c r="M207" s="64"/>
      <c r="N207" s="64"/>
      <c r="R207" s="39"/>
    </row>
    <row r="208" spans="3:18" s="49" customFormat="1" ht="15.75" x14ac:dyDescent="0.25">
      <c r="C208" s="48"/>
      <c r="D208" s="60"/>
      <c r="E208" s="60"/>
      <c r="F208" s="60"/>
      <c r="G208" s="50"/>
      <c r="H208" s="61"/>
      <c r="I208" s="44"/>
      <c r="J208" s="44"/>
      <c r="K208" s="44"/>
      <c r="L208" s="44"/>
      <c r="M208" s="64"/>
      <c r="N208" s="64"/>
      <c r="R208" s="39"/>
    </row>
    <row r="209" spans="3:18" s="49" customFormat="1" ht="15.75" x14ac:dyDescent="0.25">
      <c r="C209" s="48"/>
      <c r="D209" s="60"/>
      <c r="E209" s="60"/>
      <c r="F209" s="60"/>
      <c r="G209" s="50"/>
      <c r="H209" s="61"/>
      <c r="I209" s="44"/>
      <c r="J209" s="44"/>
      <c r="K209" s="44"/>
      <c r="L209" s="44"/>
      <c r="M209" s="64"/>
      <c r="N209" s="64"/>
      <c r="R209" s="39"/>
    </row>
    <row r="210" spans="3:18" s="49" customFormat="1" ht="15.75" x14ac:dyDescent="0.25">
      <c r="C210" s="48"/>
      <c r="D210" s="60"/>
      <c r="E210" s="60"/>
      <c r="F210" s="60"/>
      <c r="G210" s="50"/>
      <c r="H210" s="61"/>
      <c r="I210" s="44"/>
      <c r="J210" s="44"/>
      <c r="K210" s="44"/>
      <c r="L210" s="44"/>
      <c r="M210" s="64"/>
      <c r="N210" s="64"/>
      <c r="R210" s="39"/>
    </row>
    <row r="211" spans="3:18" s="49" customFormat="1" ht="15.75" x14ac:dyDescent="0.25">
      <c r="C211" s="48"/>
      <c r="D211" s="60"/>
      <c r="E211" s="60"/>
      <c r="F211" s="60"/>
      <c r="G211" s="50"/>
      <c r="H211" s="61"/>
      <c r="I211" s="44"/>
      <c r="J211" s="44"/>
      <c r="K211" s="44"/>
      <c r="L211" s="44"/>
      <c r="M211" s="64"/>
      <c r="N211" s="64"/>
      <c r="R211" s="39"/>
    </row>
    <row r="212" spans="3:18" s="49" customFormat="1" ht="15.75" x14ac:dyDescent="0.25">
      <c r="C212" s="48"/>
      <c r="D212" s="60"/>
      <c r="E212" s="60"/>
      <c r="F212" s="60"/>
      <c r="G212" s="50"/>
      <c r="H212" s="61"/>
      <c r="I212" s="44"/>
      <c r="J212" s="44"/>
      <c r="K212" s="44"/>
      <c r="L212" s="44"/>
      <c r="M212" s="64"/>
      <c r="N212" s="64"/>
      <c r="R212" s="39"/>
    </row>
    <row r="213" spans="3:18" s="49" customFormat="1" ht="15.75" x14ac:dyDescent="0.25">
      <c r="C213" s="48"/>
      <c r="D213" s="60"/>
      <c r="E213" s="60"/>
      <c r="F213" s="60"/>
      <c r="G213" s="50"/>
      <c r="H213" s="61"/>
      <c r="I213" s="44"/>
      <c r="J213" s="44"/>
      <c r="K213" s="44"/>
      <c r="L213" s="44"/>
      <c r="M213" s="64"/>
      <c r="N213" s="64"/>
      <c r="R213" s="39"/>
    </row>
    <row r="214" spans="3:18" s="49" customFormat="1" ht="15.75" x14ac:dyDescent="0.25">
      <c r="C214" s="48"/>
      <c r="D214" s="60"/>
      <c r="E214" s="60"/>
      <c r="F214" s="60"/>
      <c r="G214" s="50"/>
      <c r="H214" s="61"/>
      <c r="I214" s="44"/>
      <c r="J214" s="44"/>
      <c r="K214" s="44"/>
      <c r="L214" s="44"/>
      <c r="M214" s="64"/>
      <c r="N214" s="64"/>
      <c r="R214" s="39"/>
    </row>
    <row r="215" spans="3:18" s="49" customFormat="1" ht="15.75" x14ac:dyDescent="0.25">
      <c r="C215" s="48"/>
      <c r="D215" s="60"/>
      <c r="E215" s="60"/>
      <c r="F215" s="60"/>
      <c r="G215" s="50"/>
      <c r="H215" s="61"/>
      <c r="I215" s="44"/>
      <c r="J215" s="44"/>
      <c r="K215" s="44"/>
      <c r="L215" s="44"/>
      <c r="M215" s="64"/>
      <c r="N215" s="64"/>
      <c r="R215" s="39"/>
    </row>
    <row r="216" spans="3:18" s="49" customFormat="1" ht="15.75" x14ac:dyDescent="0.25">
      <c r="C216" s="48"/>
      <c r="D216" s="60"/>
      <c r="E216" s="60"/>
      <c r="F216" s="60"/>
      <c r="G216" s="50"/>
      <c r="H216" s="61"/>
      <c r="I216" s="44"/>
      <c r="J216" s="44"/>
      <c r="K216" s="44"/>
      <c r="L216" s="44"/>
      <c r="M216" s="64"/>
      <c r="N216" s="64"/>
      <c r="R216" s="39"/>
    </row>
    <row r="217" spans="3:18" s="49" customFormat="1" ht="15.75" x14ac:dyDescent="0.25">
      <c r="C217" s="48"/>
      <c r="D217" s="60"/>
      <c r="E217" s="60"/>
      <c r="F217" s="60"/>
      <c r="G217" s="50"/>
      <c r="H217" s="61"/>
      <c r="I217" s="44"/>
      <c r="J217" s="44"/>
      <c r="K217" s="44"/>
      <c r="L217" s="44"/>
      <c r="M217" s="64"/>
      <c r="N217" s="64"/>
      <c r="R217" s="39"/>
    </row>
    <row r="218" spans="3:18" s="49" customFormat="1" ht="15.75" x14ac:dyDescent="0.25">
      <c r="C218" s="48"/>
      <c r="D218" s="60"/>
      <c r="E218" s="60"/>
      <c r="F218" s="60"/>
      <c r="G218" s="50"/>
      <c r="H218" s="61"/>
      <c r="I218" s="44"/>
      <c r="J218" s="44"/>
      <c r="K218" s="44"/>
      <c r="L218" s="44"/>
      <c r="M218" s="64"/>
      <c r="N218" s="64"/>
      <c r="R218" s="39"/>
    </row>
    <row r="219" spans="3:18" s="49" customFormat="1" ht="15.75" x14ac:dyDescent="0.25">
      <c r="C219" s="48"/>
      <c r="D219" s="60"/>
      <c r="E219" s="60"/>
      <c r="F219" s="60"/>
      <c r="G219" s="50"/>
      <c r="H219" s="61"/>
      <c r="I219" s="44"/>
      <c r="J219" s="44"/>
      <c r="K219" s="44"/>
      <c r="L219" s="44"/>
      <c r="M219" s="64"/>
      <c r="N219" s="64"/>
      <c r="R219" s="39"/>
    </row>
    <row r="220" spans="3:18" s="49" customFormat="1" ht="15.75" x14ac:dyDescent="0.25">
      <c r="C220" s="48"/>
      <c r="D220" s="60"/>
      <c r="E220" s="60"/>
      <c r="F220" s="60"/>
      <c r="G220" s="50"/>
      <c r="H220" s="61"/>
      <c r="I220" s="44"/>
      <c r="J220" s="44"/>
      <c r="K220" s="44"/>
      <c r="L220" s="44"/>
      <c r="M220" s="64"/>
      <c r="N220" s="64"/>
      <c r="R220" s="39"/>
    </row>
    <row r="221" spans="3:18" s="49" customFormat="1" ht="15.75" x14ac:dyDescent="0.25">
      <c r="C221" s="48"/>
      <c r="D221" s="60"/>
      <c r="E221" s="60"/>
      <c r="F221" s="60"/>
      <c r="G221" s="50"/>
      <c r="H221" s="61"/>
      <c r="I221" s="44"/>
      <c r="J221" s="44"/>
      <c r="K221" s="44"/>
      <c r="L221" s="44"/>
      <c r="M221" s="64"/>
      <c r="N221" s="64"/>
      <c r="R221" s="39"/>
    </row>
    <row r="222" spans="3:18" s="49" customFormat="1" ht="15.75" x14ac:dyDescent="0.25">
      <c r="C222" s="48"/>
      <c r="D222" s="60"/>
      <c r="E222" s="60"/>
      <c r="F222" s="60"/>
      <c r="G222" s="50"/>
      <c r="H222" s="61"/>
      <c r="I222" s="44"/>
      <c r="J222" s="44"/>
      <c r="K222" s="44"/>
      <c r="L222" s="44"/>
      <c r="M222" s="64"/>
      <c r="N222" s="64"/>
      <c r="R222" s="39"/>
    </row>
    <row r="223" spans="3:18" s="49" customFormat="1" ht="15.75" x14ac:dyDescent="0.25">
      <c r="C223" s="48"/>
      <c r="D223" s="60"/>
      <c r="E223" s="60"/>
      <c r="F223" s="60"/>
      <c r="G223" s="50"/>
      <c r="H223" s="61"/>
      <c r="I223" s="44"/>
      <c r="J223" s="44"/>
      <c r="K223" s="44"/>
      <c r="L223" s="44"/>
      <c r="M223" s="64"/>
      <c r="N223" s="64"/>
      <c r="R223" s="39"/>
    </row>
    <row r="224" spans="3:18" s="49" customFormat="1" ht="15.75" x14ac:dyDescent="0.25">
      <c r="C224" s="48"/>
      <c r="D224" s="60"/>
      <c r="E224" s="60"/>
      <c r="F224" s="60"/>
      <c r="G224" s="50"/>
      <c r="H224" s="61"/>
      <c r="I224" s="44"/>
      <c r="J224" s="44"/>
      <c r="K224" s="44"/>
      <c r="L224" s="44"/>
      <c r="M224" s="64"/>
      <c r="N224" s="64"/>
      <c r="R224" s="39"/>
    </row>
    <row r="225" spans="3:18" s="49" customFormat="1" ht="15.75" x14ac:dyDescent="0.25">
      <c r="C225" s="48"/>
      <c r="D225" s="60"/>
      <c r="E225" s="60"/>
      <c r="F225" s="60"/>
      <c r="G225" s="50"/>
      <c r="H225" s="61"/>
      <c r="I225" s="44"/>
      <c r="J225" s="44"/>
      <c r="K225" s="44"/>
      <c r="L225" s="44"/>
      <c r="M225" s="64"/>
      <c r="N225" s="64"/>
      <c r="R225" s="39"/>
    </row>
    <row r="226" spans="3:18" s="49" customFormat="1" ht="15.75" x14ac:dyDescent="0.25">
      <c r="C226" s="48"/>
      <c r="D226" s="60"/>
      <c r="E226" s="60"/>
      <c r="F226" s="60"/>
      <c r="G226" s="50"/>
      <c r="H226" s="61"/>
      <c r="I226" s="44"/>
      <c r="J226" s="44"/>
      <c r="K226" s="44"/>
      <c r="L226" s="44"/>
      <c r="M226" s="64"/>
      <c r="N226" s="64"/>
      <c r="R226" s="39"/>
    </row>
    <row r="227" spans="3:18" s="49" customFormat="1" ht="15.75" x14ac:dyDescent="0.25">
      <c r="C227" s="48"/>
      <c r="D227" s="60"/>
      <c r="E227" s="60"/>
      <c r="F227" s="60"/>
      <c r="G227" s="50"/>
      <c r="H227" s="61"/>
      <c r="I227" s="44"/>
      <c r="J227" s="44"/>
      <c r="K227" s="44"/>
      <c r="L227" s="44"/>
      <c r="M227" s="64"/>
      <c r="N227" s="64"/>
      <c r="R227" s="39"/>
    </row>
    <row r="228" spans="3:18" s="49" customFormat="1" ht="15.75" x14ac:dyDescent="0.25">
      <c r="C228" s="48"/>
      <c r="D228" s="60"/>
      <c r="E228" s="60"/>
      <c r="F228" s="60"/>
      <c r="G228" s="50"/>
      <c r="H228" s="61"/>
      <c r="I228" s="44"/>
      <c r="J228" s="44"/>
      <c r="K228" s="44"/>
      <c r="L228" s="44"/>
      <c r="M228" s="64"/>
      <c r="N228" s="64"/>
      <c r="R228" s="39"/>
    </row>
    <row r="229" spans="3:18" s="49" customFormat="1" ht="15.75" x14ac:dyDescent="0.25">
      <c r="C229" s="48"/>
      <c r="D229" s="60"/>
      <c r="E229" s="60"/>
      <c r="F229" s="60"/>
      <c r="G229" s="50"/>
      <c r="H229" s="61"/>
      <c r="I229" s="44"/>
      <c r="J229" s="44"/>
      <c r="K229" s="44"/>
      <c r="L229" s="44"/>
      <c r="M229" s="64"/>
      <c r="N229" s="64"/>
      <c r="R229" s="39"/>
    </row>
    <row r="230" spans="3:18" s="49" customFormat="1" ht="15.75" x14ac:dyDescent="0.25">
      <c r="C230" s="48"/>
      <c r="D230" s="60"/>
      <c r="E230" s="60"/>
      <c r="F230" s="60"/>
      <c r="G230" s="50"/>
      <c r="H230" s="61"/>
      <c r="I230" s="44"/>
      <c r="J230" s="44"/>
      <c r="K230" s="44"/>
      <c r="L230" s="44"/>
      <c r="M230" s="64"/>
      <c r="N230" s="64"/>
      <c r="R230" s="39"/>
    </row>
    <row r="231" spans="3:18" s="49" customFormat="1" ht="15.75" x14ac:dyDescent="0.25">
      <c r="C231" s="48"/>
      <c r="D231" s="60"/>
      <c r="E231" s="60"/>
      <c r="F231" s="60"/>
      <c r="G231" s="50"/>
      <c r="H231" s="61"/>
      <c r="I231" s="44"/>
      <c r="J231" s="44"/>
      <c r="K231" s="44"/>
      <c r="L231" s="44"/>
      <c r="M231" s="64"/>
      <c r="N231" s="64"/>
      <c r="R231" s="39"/>
    </row>
    <row r="232" spans="3:18" s="49" customFormat="1" ht="15.75" x14ac:dyDescent="0.25">
      <c r="C232" s="48"/>
      <c r="D232" s="60"/>
      <c r="E232" s="60"/>
      <c r="F232" s="60"/>
      <c r="G232" s="50"/>
      <c r="H232" s="61"/>
      <c r="I232" s="44"/>
      <c r="J232" s="44"/>
      <c r="K232" s="44"/>
      <c r="L232" s="44"/>
      <c r="M232" s="64"/>
      <c r="N232" s="64"/>
      <c r="R232" s="39"/>
    </row>
    <row r="233" spans="3:18" s="49" customFormat="1" ht="15.75" x14ac:dyDescent="0.25">
      <c r="C233" s="48"/>
      <c r="D233" s="60"/>
      <c r="E233" s="60"/>
      <c r="F233" s="60"/>
      <c r="G233" s="50"/>
      <c r="H233" s="61"/>
      <c r="I233" s="44"/>
      <c r="J233" s="44"/>
      <c r="K233" s="44"/>
      <c r="L233" s="44"/>
      <c r="M233" s="64"/>
      <c r="N233" s="64"/>
      <c r="R233" s="39"/>
    </row>
    <row r="234" spans="3:18" s="49" customFormat="1" ht="15.75" x14ac:dyDescent="0.25">
      <c r="C234" s="48"/>
      <c r="D234" s="60"/>
      <c r="E234" s="60"/>
      <c r="F234" s="60"/>
      <c r="G234" s="50"/>
      <c r="H234" s="61"/>
      <c r="I234" s="44"/>
      <c r="J234" s="44"/>
      <c r="K234" s="44"/>
      <c r="L234" s="44"/>
      <c r="M234" s="64"/>
      <c r="N234" s="64"/>
      <c r="R234" s="39"/>
    </row>
    <row r="235" spans="3:18" s="49" customFormat="1" ht="15.75" x14ac:dyDescent="0.25">
      <c r="C235" s="48"/>
      <c r="D235" s="60"/>
      <c r="E235" s="60"/>
      <c r="F235" s="60"/>
      <c r="G235" s="50"/>
      <c r="H235" s="61"/>
      <c r="I235" s="44"/>
      <c r="J235" s="44"/>
      <c r="K235" s="44"/>
      <c r="L235" s="44"/>
      <c r="M235" s="64"/>
      <c r="N235" s="64"/>
      <c r="R235" s="39"/>
    </row>
    <row r="236" spans="3:18" s="49" customFormat="1" ht="15.75" x14ac:dyDescent="0.25">
      <c r="C236" s="48"/>
      <c r="D236" s="60"/>
      <c r="E236" s="60"/>
      <c r="F236" s="60"/>
      <c r="G236" s="50"/>
      <c r="H236" s="61"/>
      <c r="I236" s="44"/>
      <c r="J236" s="44"/>
      <c r="K236" s="44"/>
      <c r="L236" s="44"/>
      <c r="M236" s="64"/>
      <c r="N236" s="64"/>
      <c r="R236" s="39"/>
    </row>
    <row r="237" spans="3:18" s="49" customFormat="1" ht="15.75" x14ac:dyDescent="0.25">
      <c r="C237" s="48"/>
      <c r="D237" s="60"/>
      <c r="E237" s="60"/>
      <c r="F237" s="60"/>
      <c r="G237" s="50"/>
      <c r="H237" s="61"/>
      <c r="I237" s="44"/>
      <c r="J237" s="44"/>
      <c r="K237" s="44"/>
      <c r="L237" s="44"/>
      <c r="M237" s="64"/>
      <c r="N237" s="64"/>
      <c r="R237" s="39"/>
    </row>
    <row r="238" spans="3:18" s="49" customFormat="1" ht="15.75" x14ac:dyDescent="0.25">
      <c r="C238" s="48"/>
      <c r="D238" s="60"/>
      <c r="E238" s="60"/>
      <c r="F238" s="60"/>
      <c r="G238" s="50"/>
      <c r="H238" s="61"/>
      <c r="I238" s="44"/>
      <c r="J238" s="44"/>
      <c r="K238" s="44"/>
      <c r="L238" s="44"/>
      <c r="M238" s="64"/>
      <c r="N238" s="64"/>
      <c r="R238" s="39"/>
    </row>
    <row r="239" spans="3:18" s="49" customFormat="1" ht="15.75" x14ac:dyDescent="0.25">
      <c r="C239" s="48"/>
      <c r="D239" s="60"/>
      <c r="E239" s="60"/>
      <c r="F239" s="60"/>
      <c r="G239" s="50"/>
      <c r="H239" s="61"/>
      <c r="I239" s="44"/>
      <c r="J239" s="44"/>
      <c r="K239" s="44"/>
      <c r="L239" s="44"/>
      <c r="M239" s="64"/>
      <c r="N239" s="64"/>
      <c r="R239" s="39"/>
    </row>
    <row r="240" spans="3:18" s="49" customFormat="1" ht="15.75" x14ac:dyDescent="0.25">
      <c r="C240" s="48"/>
      <c r="D240" s="60"/>
      <c r="E240" s="60"/>
      <c r="F240" s="60"/>
      <c r="G240" s="50"/>
      <c r="H240" s="61"/>
      <c r="I240" s="44"/>
      <c r="J240" s="44"/>
      <c r="K240" s="44"/>
      <c r="L240" s="44"/>
      <c r="M240" s="64"/>
      <c r="N240" s="64"/>
      <c r="R240" s="39"/>
    </row>
    <row r="241" spans="3:18" s="49" customFormat="1" ht="15.75" x14ac:dyDescent="0.25">
      <c r="C241" s="48"/>
      <c r="D241" s="60"/>
      <c r="E241" s="60"/>
      <c r="F241" s="60"/>
      <c r="G241" s="50"/>
      <c r="H241" s="61"/>
      <c r="I241" s="44"/>
      <c r="J241" s="44"/>
      <c r="K241" s="44"/>
      <c r="L241" s="44"/>
      <c r="M241" s="64"/>
      <c r="N241" s="64"/>
      <c r="R241" s="39"/>
    </row>
    <row r="242" spans="3:18" s="49" customFormat="1" ht="15.75" x14ac:dyDescent="0.25">
      <c r="C242" s="48"/>
      <c r="D242" s="60"/>
      <c r="E242" s="60"/>
      <c r="F242" s="60"/>
      <c r="G242" s="50"/>
      <c r="H242" s="61"/>
      <c r="I242" s="44"/>
      <c r="J242" s="44"/>
      <c r="K242" s="44"/>
      <c r="L242" s="44"/>
      <c r="M242" s="64"/>
      <c r="N242" s="64"/>
      <c r="R242" s="39"/>
    </row>
    <row r="243" spans="3:18" s="49" customFormat="1" ht="15.75" x14ac:dyDescent="0.25">
      <c r="C243" s="48"/>
      <c r="D243" s="60"/>
      <c r="E243" s="60"/>
      <c r="F243" s="60"/>
      <c r="G243" s="50"/>
      <c r="H243" s="61"/>
      <c r="I243" s="44"/>
      <c r="J243" s="44"/>
      <c r="K243" s="44"/>
      <c r="L243" s="44"/>
      <c r="M243" s="64"/>
      <c r="N243" s="64"/>
      <c r="R243" s="39"/>
    </row>
    <row r="244" spans="3:18" s="49" customFormat="1" ht="15.75" x14ac:dyDescent="0.25">
      <c r="C244" s="48"/>
      <c r="D244" s="60"/>
      <c r="E244" s="60"/>
      <c r="F244" s="60"/>
      <c r="G244" s="50"/>
      <c r="H244" s="61"/>
      <c r="I244" s="44"/>
      <c r="J244" s="44"/>
      <c r="K244" s="44"/>
      <c r="L244" s="44"/>
      <c r="M244" s="64"/>
      <c r="N244" s="64"/>
      <c r="R244" s="39"/>
    </row>
    <row r="245" spans="3:18" s="49" customFormat="1" ht="15.75" x14ac:dyDescent="0.25">
      <c r="C245" s="48"/>
      <c r="D245" s="60"/>
      <c r="E245" s="60"/>
      <c r="F245" s="60"/>
      <c r="G245" s="50"/>
      <c r="H245" s="61"/>
      <c r="I245" s="44"/>
      <c r="J245" s="44"/>
      <c r="K245" s="44"/>
      <c r="L245" s="44"/>
      <c r="M245" s="64"/>
      <c r="N245" s="64"/>
      <c r="R245" s="39"/>
    </row>
    <row r="246" spans="3:18" s="49" customFormat="1" ht="15.75" x14ac:dyDescent="0.25">
      <c r="C246" s="48"/>
      <c r="D246" s="60"/>
      <c r="E246" s="60"/>
      <c r="F246" s="60"/>
      <c r="G246" s="50"/>
      <c r="H246" s="61"/>
      <c r="I246" s="44"/>
      <c r="J246" s="44"/>
      <c r="K246" s="44"/>
      <c r="L246" s="44"/>
      <c r="M246" s="64"/>
      <c r="N246" s="64"/>
      <c r="R246" s="39"/>
    </row>
    <row r="247" spans="3:18" s="49" customFormat="1" ht="15.75" x14ac:dyDescent="0.25">
      <c r="C247" s="48"/>
      <c r="D247" s="60"/>
      <c r="E247" s="60"/>
      <c r="F247" s="60"/>
      <c r="G247" s="50"/>
      <c r="H247" s="61"/>
      <c r="I247" s="44"/>
      <c r="J247" s="44"/>
      <c r="K247" s="44"/>
      <c r="L247" s="44"/>
      <c r="M247" s="64"/>
      <c r="N247" s="64"/>
      <c r="R247" s="39"/>
    </row>
    <row r="248" spans="3:18" s="49" customFormat="1" ht="15.75" x14ac:dyDescent="0.25">
      <c r="C248" s="48"/>
      <c r="D248" s="60"/>
      <c r="E248" s="60"/>
      <c r="F248" s="60"/>
      <c r="G248" s="50"/>
      <c r="H248" s="61"/>
      <c r="I248" s="44"/>
      <c r="J248" s="44"/>
      <c r="K248" s="44"/>
      <c r="L248" s="44"/>
      <c r="M248" s="64"/>
      <c r="N248" s="64"/>
      <c r="R248" s="39"/>
    </row>
    <row r="249" spans="3:18" s="49" customFormat="1" ht="15.75" x14ac:dyDescent="0.25">
      <c r="C249" s="48"/>
      <c r="D249" s="60"/>
      <c r="E249" s="60"/>
      <c r="F249" s="60"/>
      <c r="G249" s="50"/>
      <c r="H249" s="61"/>
      <c r="I249" s="44"/>
      <c r="J249" s="44"/>
      <c r="K249" s="44"/>
      <c r="L249" s="44"/>
      <c r="M249" s="64"/>
      <c r="N249" s="64"/>
      <c r="R249" s="39"/>
    </row>
    <row r="250" spans="3:18" s="49" customFormat="1" ht="15.75" x14ac:dyDescent="0.25">
      <c r="C250" s="48"/>
      <c r="D250" s="60"/>
      <c r="E250" s="60"/>
      <c r="F250" s="60"/>
      <c r="G250" s="50"/>
      <c r="H250" s="61"/>
      <c r="I250" s="44"/>
      <c r="J250" s="44"/>
      <c r="K250" s="44"/>
      <c r="L250" s="44"/>
      <c r="M250" s="64"/>
      <c r="N250" s="64"/>
      <c r="R250" s="39"/>
    </row>
    <row r="251" spans="3:18" s="49" customFormat="1" ht="15.75" x14ac:dyDescent="0.25">
      <c r="C251" s="48"/>
      <c r="D251" s="60"/>
      <c r="E251" s="60"/>
      <c r="F251" s="60"/>
      <c r="G251" s="50"/>
      <c r="H251" s="61"/>
      <c r="I251" s="44"/>
      <c r="J251" s="44"/>
      <c r="K251" s="44"/>
      <c r="L251" s="44"/>
      <c r="M251" s="64"/>
      <c r="N251" s="64"/>
      <c r="R251" s="39"/>
    </row>
    <row r="252" spans="3:18" s="49" customFormat="1" ht="15.75" x14ac:dyDescent="0.25">
      <c r="C252" s="48"/>
      <c r="D252" s="60"/>
      <c r="E252" s="60"/>
      <c r="F252" s="60"/>
      <c r="G252" s="50"/>
      <c r="H252" s="61"/>
      <c r="I252" s="44"/>
      <c r="J252" s="44"/>
      <c r="K252" s="44"/>
      <c r="L252" s="44"/>
      <c r="M252" s="64"/>
      <c r="N252" s="64"/>
      <c r="R252" s="39"/>
    </row>
    <row r="253" spans="3:18" s="49" customFormat="1" ht="15.75" x14ac:dyDescent="0.25">
      <c r="C253" s="48"/>
      <c r="D253" s="60"/>
      <c r="E253" s="60"/>
      <c r="F253" s="60"/>
      <c r="G253" s="50"/>
      <c r="H253" s="61"/>
      <c r="I253" s="44"/>
      <c r="J253" s="44"/>
      <c r="K253" s="44"/>
      <c r="L253" s="44"/>
      <c r="M253" s="64"/>
      <c r="N253" s="64"/>
      <c r="R253" s="39"/>
    </row>
    <row r="254" spans="3:18" s="49" customFormat="1" ht="15.75" x14ac:dyDescent="0.25">
      <c r="C254" s="48"/>
      <c r="D254" s="60"/>
      <c r="E254" s="60"/>
      <c r="F254" s="60"/>
      <c r="G254" s="50"/>
      <c r="H254" s="61"/>
      <c r="I254" s="44"/>
      <c r="J254" s="44"/>
      <c r="K254" s="44"/>
      <c r="L254" s="44"/>
      <c r="M254" s="64"/>
      <c r="N254" s="64"/>
      <c r="R254" s="39"/>
    </row>
    <row r="255" spans="3:18" s="49" customFormat="1" ht="15.75" x14ac:dyDescent="0.25">
      <c r="C255" s="48"/>
      <c r="D255" s="60"/>
      <c r="E255" s="60"/>
      <c r="F255" s="60"/>
      <c r="G255" s="50"/>
      <c r="H255" s="61"/>
      <c r="I255" s="44"/>
      <c r="J255" s="44"/>
      <c r="K255" s="44"/>
      <c r="L255" s="44"/>
      <c r="M255" s="64"/>
      <c r="N255" s="64"/>
      <c r="R255" s="39"/>
    </row>
    <row r="256" spans="3:18" s="49" customFormat="1" ht="15.75" x14ac:dyDescent="0.25">
      <c r="C256" s="48"/>
      <c r="D256" s="60"/>
      <c r="E256" s="60"/>
      <c r="F256" s="60"/>
      <c r="G256" s="50"/>
      <c r="H256" s="61"/>
      <c r="I256" s="44"/>
      <c r="J256" s="44"/>
      <c r="K256" s="44"/>
      <c r="L256" s="44"/>
      <c r="M256" s="64"/>
      <c r="N256" s="64"/>
      <c r="R256" s="39"/>
    </row>
    <row r="257" spans="3:18" s="49" customFormat="1" ht="15.75" x14ac:dyDescent="0.25">
      <c r="C257" s="48"/>
      <c r="D257" s="60"/>
      <c r="E257" s="60"/>
      <c r="F257" s="60"/>
      <c r="G257" s="50"/>
      <c r="H257" s="61"/>
      <c r="I257" s="44"/>
      <c r="J257" s="44"/>
      <c r="K257" s="44"/>
      <c r="L257" s="44"/>
      <c r="M257" s="64"/>
      <c r="N257" s="64"/>
      <c r="R257" s="39"/>
    </row>
    <row r="258" spans="3:18" s="49" customFormat="1" ht="15.75" x14ac:dyDescent="0.25">
      <c r="C258" s="48"/>
      <c r="D258" s="60"/>
      <c r="E258" s="60"/>
      <c r="F258" s="60"/>
      <c r="G258" s="50"/>
      <c r="H258" s="61"/>
      <c r="I258" s="44"/>
      <c r="J258" s="44"/>
      <c r="K258" s="44"/>
      <c r="L258" s="44"/>
      <c r="M258" s="64"/>
      <c r="N258" s="64"/>
      <c r="R258" s="39"/>
    </row>
    <row r="259" spans="3:18" s="49" customFormat="1" ht="15.75" x14ac:dyDescent="0.25">
      <c r="C259" s="48"/>
      <c r="D259" s="60"/>
      <c r="E259" s="60"/>
      <c r="F259" s="60"/>
      <c r="G259" s="50"/>
      <c r="H259" s="61"/>
      <c r="I259" s="44"/>
      <c r="J259" s="44"/>
      <c r="K259" s="44"/>
      <c r="L259" s="44"/>
      <c r="M259" s="64"/>
      <c r="N259" s="64"/>
      <c r="R259" s="39"/>
    </row>
    <row r="260" spans="3:18" s="49" customFormat="1" ht="15.75" x14ac:dyDescent="0.25">
      <c r="C260" s="48"/>
      <c r="D260" s="60"/>
      <c r="E260" s="60"/>
      <c r="F260" s="60"/>
      <c r="G260" s="50"/>
      <c r="H260" s="61"/>
      <c r="I260" s="44"/>
      <c r="J260" s="44"/>
      <c r="K260" s="44"/>
      <c r="L260" s="44"/>
      <c r="M260" s="64"/>
      <c r="N260" s="64"/>
      <c r="R260" s="39"/>
    </row>
    <row r="261" spans="3:18" s="49" customFormat="1" ht="15.75" x14ac:dyDescent="0.25">
      <c r="C261" s="48"/>
      <c r="D261" s="60"/>
      <c r="E261" s="60"/>
      <c r="F261" s="60"/>
      <c r="G261" s="50"/>
      <c r="H261" s="61"/>
      <c r="I261" s="44"/>
      <c r="J261" s="44"/>
      <c r="K261" s="44"/>
      <c r="L261" s="44"/>
      <c r="M261" s="64"/>
      <c r="N261" s="64"/>
      <c r="R261" s="39"/>
    </row>
    <row r="262" spans="3:18" s="49" customFormat="1" ht="15.75" x14ac:dyDescent="0.25">
      <c r="C262" s="48"/>
      <c r="D262" s="60"/>
      <c r="E262" s="60"/>
      <c r="F262" s="60"/>
      <c r="G262" s="50"/>
      <c r="H262" s="61"/>
      <c r="I262" s="44"/>
      <c r="J262" s="44"/>
      <c r="K262" s="44"/>
      <c r="L262" s="44"/>
      <c r="M262" s="64"/>
      <c r="N262" s="64"/>
      <c r="R262" s="39"/>
    </row>
    <row r="263" spans="3:18" s="49" customFormat="1" ht="15.75" x14ac:dyDescent="0.25">
      <c r="C263" s="48"/>
      <c r="D263" s="60"/>
      <c r="E263" s="60"/>
      <c r="F263" s="60"/>
      <c r="G263" s="50"/>
      <c r="H263" s="61"/>
      <c r="I263" s="44"/>
      <c r="J263" s="44"/>
      <c r="K263" s="44"/>
      <c r="L263" s="44"/>
      <c r="M263" s="64"/>
      <c r="N263" s="64"/>
      <c r="R263" s="39"/>
    </row>
    <row r="264" spans="3:18" s="49" customFormat="1" ht="15.75" x14ac:dyDescent="0.25">
      <c r="C264" s="48"/>
      <c r="D264" s="60"/>
      <c r="E264" s="60"/>
      <c r="F264" s="60"/>
      <c r="G264" s="50"/>
      <c r="H264" s="61"/>
      <c r="I264" s="44"/>
      <c r="J264" s="44"/>
      <c r="K264" s="44"/>
      <c r="L264" s="44"/>
      <c r="M264" s="64"/>
      <c r="N264" s="64"/>
      <c r="R264" s="39"/>
    </row>
    <row r="265" spans="3:18" s="49" customFormat="1" ht="15.75" x14ac:dyDescent="0.25">
      <c r="C265" s="48"/>
      <c r="D265" s="60"/>
      <c r="E265" s="60"/>
      <c r="F265" s="60"/>
      <c r="G265" s="50"/>
      <c r="H265" s="61"/>
      <c r="I265" s="44"/>
      <c r="J265" s="44"/>
      <c r="K265" s="44"/>
      <c r="L265" s="44"/>
      <c r="M265" s="64"/>
      <c r="N265" s="64"/>
      <c r="R265" s="39"/>
    </row>
    <row r="266" spans="3:18" s="49" customFormat="1" ht="15.75" x14ac:dyDescent="0.25">
      <c r="C266" s="48"/>
      <c r="D266" s="60"/>
      <c r="E266" s="60"/>
      <c r="F266" s="60"/>
      <c r="G266" s="50"/>
      <c r="H266" s="61"/>
      <c r="I266" s="44"/>
      <c r="J266" s="44"/>
      <c r="K266" s="44"/>
      <c r="L266" s="44"/>
      <c r="M266" s="64"/>
      <c r="N266" s="64"/>
      <c r="R266" s="39"/>
    </row>
    <row r="267" spans="3:18" s="49" customFormat="1" ht="15.75" x14ac:dyDescent="0.25">
      <c r="C267" s="48"/>
      <c r="D267" s="60"/>
      <c r="E267" s="60"/>
      <c r="F267" s="60"/>
      <c r="G267" s="50"/>
      <c r="H267" s="61"/>
      <c r="I267" s="44"/>
      <c r="J267" s="44"/>
      <c r="K267" s="44"/>
      <c r="L267" s="44"/>
      <c r="M267" s="64"/>
      <c r="N267" s="64"/>
      <c r="R267" s="39"/>
    </row>
    <row r="268" spans="3:18" s="49" customFormat="1" ht="15.75" x14ac:dyDescent="0.25">
      <c r="C268" s="48"/>
      <c r="D268" s="60"/>
      <c r="E268" s="60"/>
      <c r="F268" s="60"/>
      <c r="G268" s="50"/>
      <c r="H268" s="61"/>
      <c r="I268" s="44"/>
      <c r="J268" s="44"/>
      <c r="K268" s="44"/>
      <c r="L268" s="44"/>
      <c r="M268" s="64"/>
      <c r="N268" s="64"/>
      <c r="R268" s="39"/>
    </row>
    <row r="269" spans="3:18" s="49" customFormat="1" ht="15.75" x14ac:dyDescent="0.25">
      <c r="C269" s="48"/>
      <c r="D269" s="60"/>
      <c r="E269" s="60"/>
      <c r="F269" s="60"/>
      <c r="G269" s="50"/>
      <c r="H269" s="61"/>
      <c r="I269" s="44"/>
      <c r="J269" s="44"/>
      <c r="K269" s="44"/>
      <c r="L269" s="44"/>
      <c r="M269" s="64"/>
      <c r="N269" s="64"/>
      <c r="R269" s="39"/>
    </row>
    <row r="270" spans="3:18" s="49" customFormat="1" ht="15.75" x14ac:dyDescent="0.25">
      <c r="C270" s="48"/>
      <c r="D270" s="60"/>
      <c r="E270" s="60"/>
      <c r="F270" s="60"/>
      <c r="G270" s="50"/>
      <c r="H270" s="61"/>
      <c r="I270" s="44"/>
      <c r="J270" s="44"/>
      <c r="K270" s="44"/>
      <c r="L270" s="44"/>
      <c r="M270" s="64"/>
      <c r="N270" s="64"/>
      <c r="R270" s="39"/>
    </row>
    <row r="271" spans="3:18" s="49" customFormat="1" ht="15.75" x14ac:dyDescent="0.25">
      <c r="C271" s="48"/>
      <c r="D271" s="60"/>
      <c r="E271" s="60"/>
      <c r="F271" s="60"/>
      <c r="G271" s="50"/>
      <c r="H271" s="61"/>
      <c r="I271" s="44"/>
      <c r="J271" s="44"/>
      <c r="K271" s="44"/>
      <c r="L271" s="44"/>
      <c r="M271" s="64"/>
      <c r="N271" s="64"/>
      <c r="R271" s="39"/>
    </row>
    <row r="272" spans="3:18" s="49" customFormat="1" ht="15.75" x14ac:dyDescent="0.25">
      <c r="C272" s="48"/>
      <c r="D272" s="60"/>
      <c r="E272" s="60"/>
      <c r="F272" s="60"/>
      <c r="G272" s="50"/>
      <c r="H272" s="61"/>
      <c r="I272" s="44"/>
      <c r="J272" s="44"/>
      <c r="K272" s="44"/>
      <c r="L272" s="44"/>
      <c r="M272" s="64"/>
      <c r="N272" s="64"/>
      <c r="R272" s="39"/>
    </row>
    <row r="273" spans="3:18" s="49" customFormat="1" ht="15.75" x14ac:dyDescent="0.25">
      <c r="C273" s="48"/>
      <c r="D273" s="60"/>
      <c r="E273" s="60"/>
      <c r="F273" s="60"/>
      <c r="G273" s="50"/>
      <c r="H273" s="61"/>
      <c r="I273" s="44"/>
      <c r="J273" s="44"/>
      <c r="K273" s="44"/>
      <c r="L273" s="44"/>
      <c r="M273" s="64"/>
      <c r="N273" s="64"/>
      <c r="R273" s="39"/>
    </row>
    <row r="274" spans="3:18" s="49" customFormat="1" ht="15.75" x14ac:dyDescent="0.25">
      <c r="C274" s="48"/>
      <c r="D274" s="60"/>
      <c r="E274" s="60"/>
      <c r="F274" s="60"/>
      <c r="G274" s="50"/>
      <c r="H274" s="61"/>
      <c r="I274" s="44"/>
      <c r="J274" s="44"/>
      <c r="K274" s="44"/>
      <c r="L274" s="44"/>
      <c r="M274" s="64"/>
      <c r="N274" s="64"/>
      <c r="R274" s="39"/>
    </row>
    <row r="275" spans="3:18" s="49" customFormat="1" ht="15.75" x14ac:dyDescent="0.25">
      <c r="C275" s="48"/>
      <c r="D275" s="60"/>
      <c r="E275" s="60"/>
      <c r="F275" s="60"/>
      <c r="G275" s="50"/>
      <c r="H275" s="61"/>
      <c r="I275" s="44"/>
      <c r="J275" s="44"/>
      <c r="K275" s="44"/>
      <c r="L275" s="44"/>
      <c r="M275" s="64"/>
      <c r="N275" s="64"/>
      <c r="R275" s="39"/>
    </row>
    <row r="276" spans="3:18" s="49" customFormat="1" ht="15.75" x14ac:dyDescent="0.25">
      <c r="C276" s="48"/>
      <c r="D276" s="60"/>
      <c r="E276" s="60"/>
      <c r="F276" s="60"/>
      <c r="G276" s="50"/>
      <c r="H276" s="61"/>
      <c r="I276" s="44"/>
      <c r="J276" s="44"/>
      <c r="K276" s="44"/>
      <c r="L276" s="44"/>
      <c r="M276" s="64"/>
      <c r="N276" s="64"/>
      <c r="R276" s="39"/>
    </row>
    <row r="277" spans="3:18" s="49" customFormat="1" ht="15.75" x14ac:dyDescent="0.25">
      <c r="C277" s="48"/>
      <c r="D277" s="60"/>
      <c r="E277" s="60"/>
      <c r="F277" s="60"/>
      <c r="G277" s="50"/>
      <c r="H277" s="61"/>
      <c r="I277" s="44"/>
      <c r="J277" s="44"/>
      <c r="K277" s="44"/>
      <c r="L277" s="44"/>
      <c r="M277" s="64"/>
      <c r="N277" s="64"/>
      <c r="R277" s="39"/>
    </row>
    <row r="278" spans="3:18" s="49" customFormat="1" ht="15.75" x14ac:dyDescent="0.25">
      <c r="C278" s="48"/>
      <c r="D278" s="60"/>
      <c r="E278" s="60"/>
      <c r="F278" s="60"/>
      <c r="G278" s="50"/>
      <c r="H278" s="61"/>
      <c r="I278" s="44"/>
      <c r="J278" s="44"/>
      <c r="K278" s="44"/>
      <c r="L278" s="44"/>
      <c r="M278" s="64"/>
      <c r="N278" s="64"/>
      <c r="R278" s="39"/>
    </row>
    <row r="279" spans="3:18" s="49" customFormat="1" ht="15.75" x14ac:dyDescent="0.25">
      <c r="C279" s="48"/>
      <c r="D279" s="60"/>
      <c r="E279" s="60"/>
      <c r="F279" s="60"/>
      <c r="G279" s="50"/>
      <c r="H279" s="61"/>
      <c r="I279" s="44"/>
      <c r="J279" s="44"/>
      <c r="K279" s="44"/>
      <c r="L279" s="44"/>
      <c r="M279" s="64"/>
      <c r="N279" s="64"/>
      <c r="R279" s="39"/>
    </row>
    <row r="280" spans="3:18" s="49" customFormat="1" ht="15.75" x14ac:dyDescent="0.25">
      <c r="C280" s="48"/>
      <c r="D280" s="60"/>
      <c r="E280" s="60"/>
      <c r="F280" s="60"/>
      <c r="G280" s="50"/>
      <c r="H280" s="61"/>
      <c r="I280" s="44"/>
      <c r="J280" s="44"/>
      <c r="K280" s="44"/>
      <c r="L280" s="44"/>
      <c r="M280" s="64"/>
      <c r="N280" s="64"/>
      <c r="R280" s="39"/>
    </row>
    <row r="281" spans="3:18" s="49" customFormat="1" ht="15.75" x14ac:dyDescent="0.25">
      <c r="C281" s="48"/>
      <c r="D281" s="60"/>
      <c r="E281" s="60"/>
      <c r="F281" s="60"/>
      <c r="G281" s="50"/>
      <c r="H281" s="61"/>
      <c r="I281" s="44"/>
      <c r="J281" s="44"/>
      <c r="K281" s="44"/>
      <c r="L281" s="44"/>
      <c r="M281" s="64"/>
      <c r="N281" s="64"/>
      <c r="R281" s="39"/>
    </row>
    <row r="282" spans="3:18" s="49" customFormat="1" ht="15.75" x14ac:dyDescent="0.25">
      <c r="C282" s="48"/>
      <c r="D282" s="60"/>
      <c r="E282" s="60"/>
      <c r="F282" s="60"/>
      <c r="G282" s="50"/>
      <c r="H282" s="61"/>
      <c r="I282" s="44"/>
      <c r="J282" s="44"/>
      <c r="K282" s="44"/>
      <c r="L282" s="44"/>
      <c r="M282" s="64"/>
      <c r="N282" s="64"/>
      <c r="R282" s="39"/>
    </row>
    <row r="283" spans="3:18" s="49" customFormat="1" ht="15.75" x14ac:dyDescent="0.25">
      <c r="C283" s="48"/>
      <c r="D283" s="60"/>
      <c r="E283" s="60"/>
      <c r="F283" s="60"/>
      <c r="G283" s="50"/>
      <c r="H283" s="61"/>
      <c r="I283" s="44"/>
      <c r="J283" s="44"/>
      <c r="K283" s="44"/>
      <c r="L283" s="44"/>
      <c r="M283" s="64"/>
      <c r="N283" s="64"/>
      <c r="R283" s="39"/>
    </row>
    <row r="284" spans="3:18" s="49" customFormat="1" ht="15.75" x14ac:dyDescent="0.25">
      <c r="C284" s="48"/>
      <c r="D284" s="60"/>
      <c r="E284" s="60"/>
      <c r="F284" s="60"/>
      <c r="G284" s="50"/>
      <c r="H284" s="61"/>
      <c r="I284" s="44"/>
      <c r="J284" s="44"/>
      <c r="K284" s="44"/>
      <c r="L284" s="44"/>
      <c r="M284" s="64"/>
      <c r="N284" s="64"/>
      <c r="R284" s="39"/>
    </row>
    <row r="285" spans="3:18" s="49" customFormat="1" ht="15.75" x14ac:dyDescent="0.25">
      <c r="C285" s="48"/>
      <c r="D285" s="60"/>
      <c r="E285" s="60"/>
      <c r="F285" s="60"/>
      <c r="G285" s="50"/>
      <c r="H285" s="61"/>
      <c r="I285" s="44"/>
      <c r="J285" s="44"/>
      <c r="K285" s="44"/>
      <c r="L285" s="44"/>
      <c r="M285" s="64"/>
      <c r="N285" s="64"/>
      <c r="R285" s="39"/>
    </row>
    <row r="286" spans="3:18" s="49" customFormat="1" ht="15.75" x14ac:dyDescent="0.25">
      <c r="C286" s="48"/>
      <c r="D286" s="60"/>
      <c r="E286" s="60"/>
      <c r="F286" s="60"/>
      <c r="G286" s="50"/>
      <c r="H286" s="61"/>
      <c r="I286" s="44"/>
      <c r="J286" s="44"/>
      <c r="K286" s="44"/>
      <c r="L286" s="44"/>
      <c r="M286" s="64"/>
      <c r="N286" s="64"/>
      <c r="R286" s="39"/>
    </row>
    <row r="287" spans="3:18" s="49" customFormat="1" ht="15.75" x14ac:dyDescent="0.25">
      <c r="C287" s="48"/>
      <c r="D287" s="60"/>
      <c r="E287" s="60"/>
      <c r="F287" s="60"/>
      <c r="G287" s="50"/>
      <c r="H287" s="61"/>
      <c r="I287" s="44"/>
      <c r="J287" s="44"/>
      <c r="K287" s="44"/>
      <c r="L287" s="44"/>
      <c r="M287" s="64"/>
      <c r="N287" s="64"/>
      <c r="R287" s="39"/>
    </row>
    <row r="288" spans="3:18" s="49" customFormat="1" ht="15.75" x14ac:dyDescent="0.25">
      <c r="C288" s="48"/>
      <c r="D288" s="60"/>
      <c r="E288" s="60"/>
      <c r="F288" s="60"/>
      <c r="G288" s="50"/>
      <c r="H288" s="61"/>
      <c r="I288" s="44"/>
      <c r="J288" s="44"/>
      <c r="K288" s="44"/>
      <c r="L288" s="44"/>
      <c r="M288" s="64"/>
      <c r="N288" s="64"/>
      <c r="R288" s="39"/>
    </row>
    <row r="289" spans="3:18" s="49" customFormat="1" ht="15.75" x14ac:dyDescent="0.25">
      <c r="C289" s="48"/>
      <c r="D289" s="60"/>
      <c r="E289" s="60"/>
      <c r="F289" s="60"/>
      <c r="G289" s="50"/>
      <c r="H289" s="61"/>
      <c r="I289" s="44"/>
      <c r="J289" s="44"/>
      <c r="K289" s="44"/>
      <c r="L289" s="44"/>
      <c r="M289" s="64"/>
      <c r="N289" s="64"/>
      <c r="R289" s="39"/>
    </row>
    <row r="290" spans="3:18" s="49" customFormat="1" ht="15.75" x14ac:dyDescent="0.25">
      <c r="C290" s="48"/>
      <c r="D290" s="60"/>
      <c r="E290" s="60"/>
      <c r="F290" s="60"/>
      <c r="G290" s="50"/>
      <c r="H290" s="61"/>
      <c r="I290" s="44"/>
      <c r="J290" s="44"/>
      <c r="K290" s="44"/>
      <c r="L290" s="44"/>
      <c r="M290" s="64"/>
      <c r="N290" s="64"/>
      <c r="R290" s="39"/>
    </row>
    <row r="291" spans="3:18" s="49" customFormat="1" ht="15.75" x14ac:dyDescent="0.25">
      <c r="C291" s="48"/>
      <c r="D291" s="60"/>
      <c r="E291" s="60"/>
      <c r="F291" s="60"/>
      <c r="G291" s="50"/>
      <c r="H291" s="61"/>
      <c r="I291" s="44"/>
      <c r="J291" s="44"/>
      <c r="K291" s="44"/>
      <c r="L291" s="44"/>
      <c r="M291" s="64"/>
      <c r="N291" s="64"/>
      <c r="R291" s="39"/>
    </row>
    <row r="292" spans="3:18" s="49" customFormat="1" ht="15.75" x14ac:dyDescent="0.25">
      <c r="C292" s="48"/>
      <c r="D292" s="60"/>
      <c r="E292" s="60"/>
      <c r="F292" s="60"/>
      <c r="G292" s="50"/>
      <c r="H292" s="61"/>
      <c r="I292" s="44"/>
      <c r="J292" s="44"/>
      <c r="K292" s="44"/>
      <c r="L292" s="44"/>
      <c r="M292" s="64"/>
      <c r="N292" s="64"/>
      <c r="R292" s="39"/>
    </row>
    <row r="293" spans="3:18" s="49" customFormat="1" ht="15.75" x14ac:dyDescent="0.25">
      <c r="C293" s="48"/>
      <c r="D293" s="60"/>
      <c r="E293" s="60"/>
      <c r="F293" s="60"/>
      <c r="G293" s="50"/>
      <c r="H293" s="61"/>
      <c r="I293" s="44"/>
      <c r="J293" s="44"/>
      <c r="K293" s="44"/>
      <c r="L293" s="44"/>
      <c r="M293" s="64"/>
      <c r="N293" s="64"/>
      <c r="R293" s="39"/>
    </row>
    <row r="294" spans="3:18" s="49" customFormat="1" ht="15.75" x14ac:dyDescent="0.25">
      <c r="C294" s="48"/>
      <c r="D294" s="60"/>
      <c r="E294" s="60"/>
      <c r="F294" s="60"/>
      <c r="G294" s="50"/>
      <c r="H294" s="61"/>
      <c r="I294" s="44"/>
      <c r="J294" s="44"/>
      <c r="K294" s="44"/>
      <c r="L294" s="44"/>
      <c r="M294" s="64"/>
      <c r="N294" s="64"/>
      <c r="R294" s="39"/>
    </row>
    <row r="295" spans="3:18" s="49" customFormat="1" ht="15.75" x14ac:dyDescent="0.25">
      <c r="C295" s="48"/>
      <c r="D295" s="60"/>
      <c r="E295" s="60"/>
      <c r="F295" s="60"/>
      <c r="G295" s="50"/>
      <c r="H295" s="61"/>
      <c r="I295" s="44"/>
      <c r="J295" s="44"/>
      <c r="K295" s="44"/>
      <c r="L295" s="44"/>
      <c r="M295" s="64"/>
      <c r="N295" s="64"/>
      <c r="R295" s="39"/>
    </row>
    <row r="296" spans="3:18" s="49" customFormat="1" ht="15.75" x14ac:dyDescent="0.25">
      <c r="C296" s="48"/>
      <c r="D296" s="60"/>
      <c r="E296" s="60"/>
      <c r="F296" s="60"/>
      <c r="G296" s="50"/>
      <c r="H296" s="61"/>
      <c r="I296" s="44"/>
      <c r="J296" s="44"/>
      <c r="K296" s="44"/>
      <c r="L296" s="44"/>
      <c r="M296" s="64"/>
      <c r="N296" s="64"/>
      <c r="R296" s="39"/>
    </row>
    <row r="297" spans="3:18" s="49" customFormat="1" ht="15.75" x14ac:dyDescent="0.25">
      <c r="C297" s="48"/>
      <c r="D297" s="60"/>
      <c r="E297" s="60"/>
      <c r="F297" s="60"/>
      <c r="G297" s="50"/>
      <c r="H297" s="61"/>
      <c r="I297" s="44"/>
      <c r="J297" s="44"/>
      <c r="K297" s="44"/>
      <c r="L297" s="44"/>
      <c r="M297" s="64"/>
      <c r="N297" s="64"/>
      <c r="R297" s="39"/>
    </row>
    <row r="298" spans="3:18" s="49" customFormat="1" ht="15.75" x14ac:dyDescent="0.25">
      <c r="C298" s="48"/>
      <c r="D298" s="60"/>
      <c r="E298" s="60"/>
      <c r="F298" s="60"/>
      <c r="G298" s="50"/>
      <c r="H298" s="61"/>
      <c r="I298" s="44"/>
      <c r="J298" s="44"/>
      <c r="K298" s="44"/>
      <c r="L298" s="44"/>
      <c r="M298" s="64"/>
      <c r="N298" s="64"/>
      <c r="R298" s="39"/>
    </row>
    <row r="299" spans="3:18" s="49" customFormat="1" ht="15.75" x14ac:dyDescent="0.25">
      <c r="C299" s="48"/>
      <c r="D299" s="60"/>
      <c r="E299" s="60"/>
      <c r="F299" s="60"/>
      <c r="G299" s="50"/>
      <c r="H299" s="61"/>
      <c r="I299" s="44"/>
      <c r="J299" s="44"/>
      <c r="K299" s="44"/>
      <c r="L299" s="44"/>
      <c r="M299" s="64"/>
      <c r="N299" s="64"/>
      <c r="R299" s="39"/>
    </row>
    <row r="300" spans="3:18" s="49" customFormat="1" ht="15.75" x14ac:dyDescent="0.25">
      <c r="C300" s="48"/>
      <c r="D300" s="60"/>
      <c r="E300" s="60"/>
      <c r="F300" s="60"/>
      <c r="G300" s="50"/>
      <c r="H300" s="61"/>
      <c r="I300" s="44"/>
      <c r="J300" s="44"/>
      <c r="K300" s="44"/>
      <c r="L300" s="44"/>
      <c r="M300" s="64"/>
      <c r="N300" s="64"/>
      <c r="R300" s="39"/>
    </row>
    <row r="301" spans="3:18" s="49" customFormat="1" ht="15.75" x14ac:dyDescent="0.25">
      <c r="C301" s="48"/>
      <c r="D301" s="60"/>
      <c r="E301" s="60"/>
      <c r="F301" s="60"/>
      <c r="G301" s="50"/>
      <c r="H301" s="61"/>
      <c r="I301" s="44"/>
      <c r="J301" s="44"/>
      <c r="K301" s="44"/>
      <c r="L301" s="44"/>
      <c r="M301" s="64"/>
      <c r="N301" s="64"/>
      <c r="R301" s="39"/>
    </row>
    <row r="302" spans="3:18" s="49" customFormat="1" ht="15.75" x14ac:dyDescent="0.25">
      <c r="C302" s="48"/>
      <c r="D302" s="60"/>
      <c r="E302" s="60"/>
      <c r="F302" s="60"/>
      <c r="G302" s="50"/>
      <c r="H302" s="61"/>
      <c r="I302" s="44"/>
      <c r="J302" s="44"/>
      <c r="K302" s="44"/>
      <c r="L302" s="44"/>
      <c r="M302" s="64"/>
      <c r="N302" s="64"/>
      <c r="R302" s="39"/>
    </row>
    <row r="303" spans="3:18" s="49" customFormat="1" ht="15.75" x14ac:dyDescent="0.25">
      <c r="C303" s="48"/>
      <c r="D303" s="60"/>
      <c r="E303" s="60"/>
      <c r="F303" s="60"/>
      <c r="G303" s="50"/>
      <c r="H303" s="61"/>
      <c r="I303" s="44"/>
      <c r="J303" s="44"/>
      <c r="K303" s="44"/>
      <c r="L303" s="44"/>
      <c r="M303" s="64"/>
      <c r="N303" s="64"/>
      <c r="R303" s="39"/>
    </row>
    <row r="304" spans="3:18" s="49" customFormat="1" ht="15.75" x14ac:dyDescent="0.25">
      <c r="C304" s="48"/>
      <c r="D304" s="60"/>
      <c r="E304" s="60"/>
      <c r="F304" s="60"/>
      <c r="G304" s="50"/>
      <c r="H304" s="61"/>
      <c r="I304" s="44"/>
      <c r="J304" s="44"/>
      <c r="K304" s="44"/>
      <c r="L304" s="44"/>
      <c r="M304" s="64"/>
      <c r="N304" s="64"/>
      <c r="R304" s="39"/>
    </row>
    <row r="305" spans="3:18" s="49" customFormat="1" ht="15.75" x14ac:dyDescent="0.25">
      <c r="C305" s="48"/>
      <c r="D305" s="60"/>
      <c r="E305" s="60"/>
      <c r="F305" s="60"/>
      <c r="G305" s="50"/>
      <c r="H305" s="61"/>
      <c r="I305" s="44"/>
      <c r="J305" s="44"/>
      <c r="K305" s="44"/>
      <c r="L305" s="44"/>
      <c r="M305" s="64"/>
      <c r="N305" s="64"/>
      <c r="R305" s="39"/>
    </row>
    <row r="306" spans="3:18" s="49" customFormat="1" ht="15.75" x14ac:dyDescent="0.25">
      <c r="C306" s="48"/>
      <c r="D306" s="60"/>
      <c r="E306" s="60"/>
      <c r="F306" s="60"/>
      <c r="G306" s="50"/>
      <c r="H306" s="61"/>
      <c r="I306" s="44"/>
      <c r="J306" s="44"/>
      <c r="K306" s="44"/>
      <c r="L306" s="44"/>
      <c r="M306" s="64"/>
      <c r="N306" s="64"/>
      <c r="R306" s="39"/>
    </row>
    <row r="307" spans="3:18" s="49" customFormat="1" ht="15.75" x14ac:dyDescent="0.25">
      <c r="C307" s="48"/>
      <c r="D307" s="60"/>
      <c r="E307" s="60"/>
      <c r="F307" s="60"/>
      <c r="G307" s="50"/>
      <c r="H307" s="61"/>
      <c r="I307" s="44"/>
      <c r="J307" s="44"/>
      <c r="K307" s="44"/>
      <c r="L307" s="44"/>
      <c r="M307" s="64"/>
      <c r="N307" s="64"/>
      <c r="R307" s="39"/>
    </row>
    <row r="308" spans="3:18" s="49" customFormat="1" ht="15.75" x14ac:dyDescent="0.25">
      <c r="C308" s="48"/>
      <c r="D308" s="60"/>
      <c r="E308" s="60"/>
      <c r="F308" s="60"/>
      <c r="G308" s="50"/>
      <c r="H308" s="61"/>
      <c r="I308" s="44"/>
      <c r="J308" s="44"/>
      <c r="K308" s="44"/>
      <c r="L308" s="44"/>
      <c r="M308" s="64"/>
      <c r="N308" s="64"/>
      <c r="R308" s="39"/>
    </row>
    <row r="309" spans="3:18" s="49" customFormat="1" ht="15.75" x14ac:dyDescent="0.25">
      <c r="C309" s="48"/>
      <c r="D309" s="60"/>
      <c r="E309" s="60"/>
      <c r="F309" s="60"/>
      <c r="G309" s="50"/>
      <c r="H309" s="61"/>
      <c r="I309" s="44"/>
      <c r="J309" s="44"/>
      <c r="K309" s="44"/>
      <c r="L309" s="44"/>
      <c r="M309" s="64"/>
      <c r="N309" s="64"/>
      <c r="R309" s="39"/>
    </row>
    <row r="310" spans="3:18" s="49" customFormat="1" ht="15.75" x14ac:dyDescent="0.25">
      <c r="C310" s="48"/>
      <c r="D310" s="60"/>
      <c r="E310" s="60"/>
      <c r="F310" s="60"/>
      <c r="G310" s="50"/>
      <c r="H310" s="61"/>
      <c r="I310" s="44"/>
      <c r="J310" s="44"/>
      <c r="K310" s="44"/>
      <c r="L310" s="44"/>
      <c r="M310" s="64"/>
      <c r="N310" s="64"/>
      <c r="R310" s="39"/>
    </row>
    <row r="311" spans="3:18" s="49" customFormat="1" ht="15.75" x14ac:dyDescent="0.25">
      <c r="C311" s="48"/>
      <c r="D311" s="60"/>
      <c r="E311" s="60"/>
      <c r="F311" s="60"/>
      <c r="G311" s="50"/>
      <c r="H311" s="61"/>
      <c r="I311" s="44"/>
      <c r="J311" s="44"/>
      <c r="K311" s="44"/>
      <c r="L311" s="44"/>
      <c r="M311" s="64"/>
      <c r="N311" s="64"/>
      <c r="R311" s="39"/>
    </row>
    <row r="312" spans="3:18" s="49" customFormat="1" ht="15.75" x14ac:dyDescent="0.25">
      <c r="C312" s="48"/>
      <c r="D312" s="60"/>
      <c r="E312" s="60"/>
      <c r="F312" s="60"/>
      <c r="G312" s="50"/>
      <c r="H312" s="61"/>
      <c r="I312" s="44"/>
      <c r="J312" s="44"/>
      <c r="K312" s="44"/>
      <c r="L312" s="44"/>
      <c r="M312" s="64"/>
      <c r="N312" s="64"/>
      <c r="R312" s="39"/>
    </row>
    <row r="313" spans="3:18" ht="15" x14ac:dyDescent="0.25">
      <c r="D313" s="65"/>
      <c r="E313" s="65"/>
      <c r="F313" s="65"/>
      <c r="R313" s="39"/>
    </row>
    <row r="314" spans="3:18" ht="15" x14ac:dyDescent="0.25">
      <c r="D314" s="65"/>
      <c r="E314" s="65"/>
      <c r="F314" s="65"/>
      <c r="R314" s="39"/>
    </row>
    <row r="315" spans="3:18" ht="15" x14ac:dyDescent="0.25">
      <c r="D315" s="65"/>
      <c r="E315" s="65"/>
      <c r="F315" s="65"/>
      <c r="R315" s="39"/>
    </row>
    <row r="316" spans="3:18" ht="15" x14ac:dyDescent="0.25">
      <c r="D316" s="65"/>
      <c r="E316" s="65"/>
      <c r="F316" s="65"/>
      <c r="R316" s="39"/>
    </row>
    <row r="317" spans="3:18" ht="15" x14ac:dyDescent="0.25">
      <c r="D317" s="65"/>
      <c r="E317" s="65"/>
      <c r="F317" s="65"/>
      <c r="R317" s="39"/>
    </row>
    <row r="318" spans="3:18" ht="15" x14ac:dyDescent="0.25">
      <c r="D318" s="65"/>
      <c r="E318" s="65"/>
      <c r="F318" s="65"/>
      <c r="R318" s="39"/>
    </row>
    <row r="319" spans="3:18" ht="15" x14ac:dyDescent="0.25">
      <c r="D319" s="65"/>
      <c r="E319" s="65"/>
      <c r="F319" s="65"/>
      <c r="R319" s="39"/>
    </row>
    <row r="320" spans="3:18" ht="15" x14ac:dyDescent="0.25">
      <c r="D320" s="65"/>
      <c r="E320" s="65"/>
      <c r="F320" s="65"/>
      <c r="R320" s="39"/>
    </row>
    <row r="321" spans="4:18" ht="15" x14ac:dyDescent="0.25">
      <c r="D321" s="65"/>
      <c r="E321" s="65"/>
      <c r="F321" s="65"/>
      <c r="R321" s="39"/>
    </row>
    <row r="322" spans="4:18" ht="15" x14ac:dyDescent="0.25">
      <c r="D322" s="65"/>
      <c r="E322" s="65"/>
      <c r="F322" s="65"/>
      <c r="R322" s="39"/>
    </row>
    <row r="323" spans="4:18" ht="15" x14ac:dyDescent="0.25">
      <c r="D323" s="65"/>
      <c r="E323" s="65"/>
      <c r="F323" s="65"/>
      <c r="R323" s="39"/>
    </row>
    <row r="324" spans="4:18" ht="15" x14ac:dyDescent="0.25">
      <c r="D324" s="65"/>
      <c r="E324" s="65"/>
      <c r="F324" s="65"/>
      <c r="R324" s="39"/>
    </row>
    <row r="325" spans="4:18" ht="15" x14ac:dyDescent="0.25">
      <c r="D325" s="65"/>
      <c r="E325" s="65"/>
      <c r="F325" s="65"/>
      <c r="R325" s="39"/>
    </row>
    <row r="326" spans="4:18" ht="15" x14ac:dyDescent="0.25">
      <c r="D326" s="65"/>
      <c r="E326" s="65"/>
      <c r="F326" s="65"/>
      <c r="R326" s="39"/>
    </row>
    <row r="327" spans="4:18" ht="15" x14ac:dyDescent="0.25">
      <c r="D327" s="65"/>
      <c r="E327" s="65"/>
      <c r="F327" s="65"/>
      <c r="R327" s="39"/>
    </row>
    <row r="328" spans="4:18" ht="15" x14ac:dyDescent="0.25">
      <c r="D328" s="65"/>
      <c r="E328" s="65"/>
      <c r="F328" s="65"/>
      <c r="R328" s="39"/>
    </row>
    <row r="329" spans="4:18" ht="15" x14ac:dyDescent="0.25">
      <c r="D329" s="65"/>
      <c r="E329" s="65"/>
      <c r="F329" s="65"/>
      <c r="R329" s="39"/>
    </row>
    <row r="330" spans="4:18" ht="15" x14ac:dyDescent="0.25">
      <c r="D330" s="65"/>
      <c r="E330" s="65"/>
      <c r="F330" s="65"/>
      <c r="R330" s="39"/>
    </row>
    <row r="331" spans="4:18" ht="15" x14ac:dyDescent="0.25">
      <c r="D331" s="65"/>
      <c r="E331" s="65"/>
      <c r="F331" s="65"/>
      <c r="R331" s="39"/>
    </row>
    <row r="332" spans="4:18" ht="15" x14ac:dyDescent="0.25">
      <c r="D332" s="65"/>
      <c r="E332" s="65"/>
      <c r="F332" s="65"/>
      <c r="R332" s="39"/>
    </row>
    <row r="333" spans="4:18" ht="15" x14ac:dyDescent="0.25">
      <c r="D333" s="65"/>
      <c r="E333" s="65"/>
      <c r="F333" s="65"/>
      <c r="R333" s="39"/>
    </row>
    <row r="334" spans="4:18" ht="15" x14ac:dyDescent="0.25">
      <c r="D334" s="65"/>
      <c r="E334" s="65"/>
      <c r="F334" s="65"/>
      <c r="R334" s="39"/>
    </row>
    <row r="335" spans="4:18" ht="15" x14ac:dyDescent="0.25">
      <c r="D335" s="65"/>
      <c r="E335" s="65"/>
      <c r="F335" s="65"/>
      <c r="R335" s="39"/>
    </row>
    <row r="336" spans="4:18" ht="15" x14ac:dyDescent="0.25">
      <c r="D336" s="65"/>
      <c r="E336" s="65"/>
      <c r="F336" s="65"/>
      <c r="R336" s="39"/>
    </row>
    <row r="337" spans="4:18" ht="15" x14ac:dyDescent="0.25">
      <c r="D337" s="65"/>
      <c r="E337" s="65"/>
      <c r="F337" s="65"/>
      <c r="R337" s="39"/>
    </row>
    <row r="338" spans="4:18" ht="15" x14ac:dyDescent="0.25">
      <c r="D338" s="65"/>
      <c r="E338" s="65"/>
      <c r="F338" s="65"/>
      <c r="R338" s="39"/>
    </row>
    <row r="339" spans="4:18" ht="15" x14ac:dyDescent="0.25">
      <c r="D339" s="65"/>
      <c r="E339" s="65"/>
      <c r="F339" s="65"/>
      <c r="R339" s="39"/>
    </row>
    <row r="340" spans="4:18" ht="15" x14ac:dyDescent="0.25">
      <c r="D340" s="65"/>
      <c r="E340" s="65"/>
      <c r="F340" s="65"/>
      <c r="R340" s="39"/>
    </row>
    <row r="341" spans="4:18" ht="15" x14ac:dyDescent="0.25">
      <c r="D341" s="65"/>
      <c r="E341" s="65"/>
      <c r="F341" s="65"/>
      <c r="R341" s="39"/>
    </row>
    <row r="342" spans="4:18" ht="15" x14ac:dyDescent="0.25">
      <c r="D342" s="65"/>
      <c r="E342" s="65"/>
      <c r="F342" s="65"/>
      <c r="R342" s="39"/>
    </row>
    <row r="343" spans="4:18" ht="15" x14ac:dyDescent="0.25">
      <c r="D343" s="65"/>
      <c r="E343" s="65"/>
      <c r="F343" s="65"/>
      <c r="R343" s="39"/>
    </row>
    <row r="344" spans="4:18" ht="15" x14ac:dyDescent="0.25">
      <c r="D344" s="65"/>
      <c r="E344" s="65"/>
      <c r="F344" s="65"/>
      <c r="R344" s="39"/>
    </row>
    <row r="345" spans="4:18" ht="15" x14ac:dyDescent="0.25">
      <c r="D345" s="65"/>
      <c r="E345" s="65"/>
      <c r="F345" s="65"/>
      <c r="R345" s="39"/>
    </row>
    <row r="346" spans="4:18" ht="15" x14ac:dyDescent="0.25">
      <c r="D346" s="65"/>
      <c r="E346" s="65"/>
      <c r="F346" s="65"/>
      <c r="R346" s="39"/>
    </row>
    <row r="347" spans="4:18" ht="15" x14ac:dyDescent="0.25">
      <c r="D347" s="65"/>
      <c r="E347" s="65"/>
      <c r="F347" s="65"/>
      <c r="R347" s="39"/>
    </row>
    <row r="348" spans="4:18" ht="15" x14ac:dyDescent="0.25">
      <c r="D348" s="65"/>
      <c r="E348" s="65"/>
      <c r="F348" s="65"/>
      <c r="R348" s="39"/>
    </row>
    <row r="349" spans="4:18" ht="15" x14ac:dyDescent="0.25">
      <c r="D349" s="65"/>
      <c r="E349" s="65"/>
      <c r="F349" s="65"/>
      <c r="R349" s="39"/>
    </row>
    <row r="350" spans="4:18" ht="15" x14ac:dyDescent="0.25">
      <c r="D350" s="65"/>
      <c r="E350" s="65"/>
      <c r="F350" s="65"/>
      <c r="R350" s="39"/>
    </row>
    <row r="351" spans="4:18" ht="15" x14ac:dyDescent="0.25">
      <c r="D351" s="65"/>
      <c r="E351" s="65"/>
      <c r="F351" s="65"/>
      <c r="R351" s="39"/>
    </row>
    <row r="352" spans="4:18" ht="15" x14ac:dyDescent="0.25">
      <c r="D352" s="65"/>
      <c r="E352" s="65"/>
      <c r="F352" s="65"/>
      <c r="R352" s="39"/>
    </row>
    <row r="353" spans="4:18" ht="15" x14ac:dyDescent="0.25">
      <c r="D353" s="65"/>
      <c r="E353" s="65"/>
      <c r="F353" s="65"/>
      <c r="R353" s="39"/>
    </row>
    <row r="354" spans="4:18" ht="15" x14ac:dyDescent="0.25">
      <c r="D354" s="65"/>
      <c r="E354" s="65"/>
      <c r="F354" s="65"/>
      <c r="R354" s="39"/>
    </row>
    <row r="355" spans="4:18" ht="15" x14ac:dyDescent="0.25">
      <c r="D355" s="65"/>
      <c r="E355" s="65"/>
      <c r="F355" s="65"/>
      <c r="R355" s="39"/>
    </row>
    <row r="356" spans="4:18" ht="15" x14ac:dyDescent="0.25">
      <c r="D356" s="65"/>
      <c r="E356" s="65"/>
      <c r="F356" s="65"/>
      <c r="R356" s="39"/>
    </row>
    <row r="357" spans="4:18" ht="15" x14ac:dyDescent="0.25">
      <c r="D357" s="65"/>
      <c r="E357" s="65"/>
      <c r="F357" s="65"/>
      <c r="R357" s="39"/>
    </row>
    <row r="358" spans="4:18" ht="15" x14ac:dyDescent="0.25">
      <c r="D358" s="65"/>
      <c r="E358" s="65"/>
      <c r="F358" s="65"/>
      <c r="R358" s="39"/>
    </row>
    <row r="359" spans="4:18" ht="15" x14ac:dyDescent="0.25">
      <c r="D359" s="65"/>
      <c r="E359" s="65"/>
      <c r="F359" s="65"/>
      <c r="R359" s="39"/>
    </row>
    <row r="360" spans="4:18" ht="15" x14ac:dyDescent="0.25">
      <c r="D360" s="65"/>
      <c r="E360" s="65"/>
      <c r="F360" s="65"/>
      <c r="R360" s="39"/>
    </row>
    <row r="361" spans="4:18" ht="15" x14ac:dyDescent="0.25">
      <c r="D361" s="65"/>
      <c r="E361" s="65"/>
      <c r="F361" s="65"/>
      <c r="R361" s="39"/>
    </row>
    <row r="362" spans="4:18" ht="15" x14ac:dyDescent="0.25">
      <c r="D362" s="65"/>
      <c r="E362" s="65"/>
      <c r="F362" s="65"/>
      <c r="R362" s="39"/>
    </row>
    <row r="363" spans="4:18" ht="15" x14ac:dyDescent="0.25">
      <c r="D363" s="65"/>
      <c r="E363" s="65"/>
      <c r="F363" s="65"/>
      <c r="R363" s="39"/>
    </row>
    <row r="364" spans="4:18" ht="15" x14ac:dyDescent="0.25">
      <c r="D364" s="65"/>
      <c r="E364" s="65"/>
      <c r="F364" s="65"/>
      <c r="R364" s="39"/>
    </row>
    <row r="365" spans="4:18" ht="15" x14ac:dyDescent="0.25">
      <c r="D365" s="65"/>
      <c r="E365" s="65"/>
      <c r="F365" s="65"/>
      <c r="R365" s="39"/>
    </row>
    <row r="366" spans="4:18" ht="15" x14ac:dyDescent="0.25">
      <c r="D366" s="65"/>
      <c r="E366" s="65"/>
      <c r="F366" s="65"/>
      <c r="R366" s="39"/>
    </row>
    <row r="367" spans="4:18" ht="15" x14ac:dyDescent="0.25">
      <c r="D367" s="65"/>
      <c r="E367" s="65"/>
      <c r="F367" s="65"/>
      <c r="R367" s="39"/>
    </row>
    <row r="368" spans="4:18" ht="15" x14ac:dyDescent="0.25">
      <c r="D368" s="65"/>
      <c r="E368" s="65"/>
      <c r="F368" s="65"/>
      <c r="R368" s="39"/>
    </row>
    <row r="369" spans="4:18" ht="15" x14ac:dyDescent="0.25">
      <c r="D369" s="65"/>
      <c r="E369" s="65"/>
      <c r="F369" s="65"/>
      <c r="R369" s="39"/>
    </row>
    <row r="370" spans="4:18" ht="15" x14ac:dyDescent="0.25">
      <c r="D370" s="65"/>
      <c r="E370" s="65"/>
      <c r="F370" s="65"/>
      <c r="R370" s="39"/>
    </row>
    <row r="371" spans="4:18" ht="15" x14ac:dyDescent="0.25">
      <c r="D371" s="65"/>
      <c r="E371" s="65"/>
      <c r="F371" s="65"/>
      <c r="R371" s="39"/>
    </row>
    <row r="372" spans="4:18" ht="15" x14ac:dyDescent="0.25">
      <c r="D372" s="65"/>
      <c r="E372" s="65"/>
      <c r="F372" s="65"/>
      <c r="R372" s="39"/>
    </row>
    <row r="373" spans="4:18" ht="15" x14ac:dyDescent="0.25">
      <c r="D373" s="65"/>
      <c r="E373" s="65"/>
      <c r="F373" s="65"/>
      <c r="R373" s="39"/>
    </row>
    <row r="374" spans="4:18" ht="15" x14ac:dyDescent="0.25">
      <c r="D374" s="65"/>
      <c r="E374" s="65"/>
      <c r="F374" s="65"/>
      <c r="R374" s="39"/>
    </row>
    <row r="375" spans="4:18" ht="15" x14ac:dyDescent="0.25">
      <c r="D375" s="65"/>
      <c r="E375" s="65"/>
      <c r="F375" s="65"/>
      <c r="R375" s="39"/>
    </row>
    <row r="376" spans="4:18" ht="15" x14ac:dyDescent="0.25">
      <c r="D376" s="65"/>
      <c r="E376" s="65"/>
      <c r="F376" s="65"/>
      <c r="R376" s="39"/>
    </row>
    <row r="377" spans="4:18" ht="15" x14ac:dyDescent="0.25">
      <c r="D377" s="65"/>
      <c r="E377" s="65"/>
      <c r="F377" s="65"/>
      <c r="R377" s="39"/>
    </row>
    <row r="378" spans="4:18" ht="15" x14ac:dyDescent="0.25">
      <c r="D378" s="65"/>
      <c r="E378" s="65"/>
      <c r="F378" s="65"/>
      <c r="R378" s="39"/>
    </row>
    <row r="379" spans="4:18" ht="15" x14ac:dyDescent="0.25">
      <c r="D379" s="65"/>
      <c r="E379" s="65"/>
      <c r="F379" s="65"/>
      <c r="R379" s="39"/>
    </row>
    <row r="380" spans="4:18" ht="15" x14ac:dyDescent="0.25">
      <c r="D380" s="65"/>
      <c r="E380" s="65"/>
      <c r="F380" s="65"/>
      <c r="R380" s="39"/>
    </row>
    <row r="381" spans="4:18" ht="15" x14ac:dyDescent="0.25">
      <c r="D381" s="65"/>
      <c r="E381" s="65"/>
      <c r="F381" s="65"/>
      <c r="R381" s="39"/>
    </row>
    <row r="382" spans="4:18" ht="15" x14ac:dyDescent="0.25">
      <c r="D382" s="65"/>
      <c r="E382" s="65"/>
      <c r="F382" s="65"/>
      <c r="R382" s="39"/>
    </row>
    <row r="383" spans="4:18" ht="15" x14ac:dyDescent="0.25">
      <c r="D383" s="65"/>
      <c r="E383" s="65"/>
      <c r="F383" s="65"/>
      <c r="R383" s="39"/>
    </row>
    <row r="384" spans="4:18" ht="15" x14ac:dyDescent="0.25">
      <c r="D384" s="65"/>
      <c r="E384" s="65"/>
      <c r="F384" s="65"/>
      <c r="R384" s="39"/>
    </row>
    <row r="385" spans="4:18" ht="15" x14ac:dyDescent="0.25">
      <c r="D385" s="65"/>
      <c r="E385" s="65"/>
      <c r="F385" s="65"/>
      <c r="R385" s="39"/>
    </row>
    <row r="386" spans="4:18" ht="15" x14ac:dyDescent="0.25">
      <c r="D386" s="65"/>
      <c r="E386" s="65"/>
      <c r="F386" s="65"/>
      <c r="R386" s="39"/>
    </row>
    <row r="387" spans="4:18" ht="15" x14ac:dyDescent="0.25">
      <c r="D387" s="65"/>
      <c r="E387" s="65"/>
      <c r="F387" s="65"/>
      <c r="R387" s="39"/>
    </row>
    <row r="388" spans="4:18" ht="15" x14ac:dyDescent="0.25">
      <c r="D388" s="65"/>
      <c r="E388" s="65"/>
      <c r="F388" s="65"/>
      <c r="R388" s="39"/>
    </row>
    <row r="389" spans="4:18" ht="15" x14ac:dyDescent="0.25">
      <c r="D389" s="65"/>
      <c r="E389" s="65"/>
      <c r="F389" s="65"/>
      <c r="R389" s="39"/>
    </row>
    <row r="390" spans="4:18" ht="15" x14ac:dyDescent="0.25">
      <c r="D390" s="65"/>
      <c r="E390" s="65"/>
      <c r="F390" s="65"/>
      <c r="R390" s="39"/>
    </row>
    <row r="391" spans="4:18" ht="15" x14ac:dyDescent="0.25">
      <c r="D391" s="65"/>
      <c r="E391" s="65"/>
      <c r="F391" s="65"/>
      <c r="R391" s="39"/>
    </row>
    <row r="392" spans="4:18" ht="15" x14ac:dyDescent="0.25">
      <c r="D392" s="65"/>
      <c r="E392" s="65"/>
      <c r="F392" s="65"/>
      <c r="R392" s="39"/>
    </row>
    <row r="393" spans="4:18" ht="15" x14ac:dyDescent="0.25">
      <c r="D393" s="65"/>
      <c r="E393" s="65"/>
      <c r="F393" s="65"/>
      <c r="R393" s="39"/>
    </row>
    <row r="394" spans="4:18" ht="15" x14ac:dyDescent="0.25">
      <c r="D394" s="65"/>
      <c r="E394" s="65"/>
      <c r="F394" s="65"/>
      <c r="R394" s="39"/>
    </row>
    <row r="395" spans="4:18" ht="15" x14ac:dyDescent="0.25">
      <c r="D395" s="65"/>
      <c r="E395" s="65"/>
      <c r="F395" s="65"/>
      <c r="R395" s="39"/>
    </row>
    <row r="396" spans="4:18" ht="15" x14ac:dyDescent="0.25">
      <c r="D396" s="65"/>
      <c r="E396" s="65"/>
      <c r="F396" s="65"/>
      <c r="R396" s="39"/>
    </row>
    <row r="397" spans="4:18" ht="15" x14ac:dyDescent="0.25">
      <c r="D397" s="65"/>
      <c r="E397" s="65"/>
      <c r="F397" s="65"/>
      <c r="R397" s="39"/>
    </row>
    <row r="398" spans="4:18" ht="15" x14ac:dyDescent="0.25">
      <c r="D398" s="65"/>
      <c r="E398" s="65"/>
      <c r="F398" s="65"/>
      <c r="R398" s="39"/>
    </row>
    <row r="399" spans="4:18" ht="15" x14ac:dyDescent="0.25">
      <c r="D399" s="65"/>
      <c r="E399" s="65"/>
      <c r="F399" s="65"/>
      <c r="R399" s="39"/>
    </row>
    <row r="400" spans="4:18" ht="15" x14ac:dyDescent="0.25">
      <c r="D400" s="65"/>
      <c r="E400" s="65"/>
      <c r="F400" s="65"/>
      <c r="R400" s="39"/>
    </row>
    <row r="401" spans="4:18" ht="15" x14ac:dyDescent="0.25">
      <c r="D401" s="65"/>
      <c r="E401" s="65"/>
      <c r="F401" s="65"/>
      <c r="R401" s="39"/>
    </row>
    <row r="402" spans="4:18" ht="15" x14ac:dyDescent="0.25">
      <c r="D402" s="65"/>
      <c r="E402" s="65"/>
      <c r="F402" s="65"/>
      <c r="R402" s="39"/>
    </row>
    <row r="403" spans="4:18" ht="15" x14ac:dyDescent="0.25">
      <c r="D403" s="65"/>
      <c r="E403" s="65"/>
      <c r="F403" s="65"/>
      <c r="R403" s="39"/>
    </row>
    <row r="404" spans="4:18" ht="15" x14ac:dyDescent="0.25">
      <c r="D404" s="65"/>
      <c r="E404" s="65"/>
      <c r="F404" s="65"/>
      <c r="R404" s="39"/>
    </row>
    <row r="405" spans="4:18" ht="15" x14ac:dyDescent="0.25">
      <c r="D405" s="65"/>
      <c r="E405" s="65"/>
      <c r="F405" s="65"/>
      <c r="R405" s="39"/>
    </row>
    <row r="406" spans="4:18" ht="15" x14ac:dyDescent="0.25">
      <c r="D406" s="65"/>
      <c r="E406" s="65"/>
      <c r="F406" s="65"/>
      <c r="R406" s="39"/>
    </row>
    <row r="407" spans="4:18" ht="15" x14ac:dyDescent="0.25">
      <c r="D407" s="65"/>
      <c r="E407" s="65"/>
      <c r="F407" s="65"/>
      <c r="R407" s="39"/>
    </row>
    <row r="408" spans="4:18" ht="15" x14ac:dyDescent="0.25">
      <c r="D408" s="65"/>
      <c r="E408" s="65"/>
      <c r="F408" s="65"/>
      <c r="R408" s="39"/>
    </row>
    <row r="409" spans="4:18" ht="15" x14ac:dyDescent="0.25">
      <c r="D409" s="65"/>
      <c r="E409" s="65"/>
      <c r="F409" s="65"/>
      <c r="R409" s="39"/>
    </row>
    <row r="410" spans="4:18" ht="15" x14ac:dyDescent="0.25">
      <c r="D410" s="65"/>
      <c r="E410" s="65"/>
      <c r="F410" s="65"/>
      <c r="R410" s="39"/>
    </row>
    <row r="411" spans="4:18" ht="15" x14ac:dyDescent="0.25">
      <c r="D411" s="65"/>
      <c r="E411" s="65"/>
      <c r="F411" s="65"/>
      <c r="R411" s="39"/>
    </row>
    <row r="412" spans="4:18" ht="15" x14ac:dyDescent="0.25">
      <c r="D412" s="65"/>
      <c r="E412" s="65"/>
      <c r="F412" s="65"/>
      <c r="R412" s="39"/>
    </row>
    <row r="413" spans="4:18" ht="15" x14ac:dyDescent="0.25">
      <c r="D413" s="65"/>
      <c r="E413" s="65"/>
      <c r="F413" s="65"/>
      <c r="R413" s="39"/>
    </row>
    <row r="414" spans="4:18" ht="15" x14ac:dyDescent="0.25">
      <c r="D414" s="65"/>
      <c r="E414" s="65"/>
      <c r="F414" s="65"/>
      <c r="R414" s="39"/>
    </row>
    <row r="415" spans="4:18" ht="15" x14ac:dyDescent="0.25">
      <c r="D415" s="65"/>
      <c r="E415" s="65"/>
      <c r="F415" s="65"/>
      <c r="R415" s="39"/>
    </row>
    <row r="416" spans="4:18" ht="15" x14ac:dyDescent="0.25">
      <c r="D416" s="65"/>
      <c r="E416" s="65"/>
      <c r="F416" s="65"/>
      <c r="R416" s="39"/>
    </row>
    <row r="417" spans="4:18" ht="15" x14ac:dyDescent="0.25">
      <c r="D417" s="65"/>
      <c r="E417" s="65"/>
      <c r="F417" s="65"/>
      <c r="R417" s="39"/>
    </row>
    <row r="418" spans="4:18" ht="15" x14ac:dyDescent="0.25">
      <c r="D418" s="65"/>
      <c r="E418" s="65"/>
      <c r="F418" s="65"/>
      <c r="R418" s="39"/>
    </row>
    <row r="419" spans="4:18" ht="15" x14ac:dyDescent="0.25">
      <c r="D419" s="65"/>
      <c r="E419" s="65"/>
      <c r="F419" s="65"/>
      <c r="R419" s="39"/>
    </row>
    <row r="420" spans="4:18" ht="15" x14ac:dyDescent="0.25">
      <c r="D420" s="65"/>
      <c r="E420" s="65"/>
      <c r="F420" s="65"/>
      <c r="R420" s="39"/>
    </row>
    <row r="421" spans="4:18" ht="15" x14ac:dyDescent="0.25">
      <c r="D421" s="65"/>
      <c r="E421" s="65"/>
      <c r="F421" s="65"/>
      <c r="R421" s="39"/>
    </row>
    <row r="422" spans="4:18" ht="15" x14ac:dyDescent="0.25">
      <c r="D422" s="65"/>
      <c r="E422" s="65"/>
      <c r="F422" s="65"/>
      <c r="R422" s="39"/>
    </row>
    <row r="423" spans="4:18" ht="15" x14ac:dyDescent="0.25">
      <c r="D423" s="65"/>
      <c r="E423" s="65"/>
      <c r="F423" s="65"/>
      <c r="R423" s="39"/>
    </row>
    <row r="424" spans="4:18" ht="15" x14ac:dyDescent="0.25">
      <c r="D424" s="65"/>
      <c r="E424" s="65"/>
      <c r="F424" s="65"/>
      <c r="R424" s="39"/>
    </row>
    <row r="425" spans="4:18" ht="15" x14ac:dyDescent="0.25">
      <c r="D425" s="65"/>
      <c r="E425" s="65"/>
      <c r="F425" s="65"/>
      <c r="R425" s="39"/>
    </row>
    <row r="426" spans="4:18" ht="15" x14ac:dyDescent="0.25">
      <c r="D426" s="65"/>
      <c r="E426" s="65"/>
      <c r="F426" s="65"/>
      <c r="R426" s="39"/>
    </row>
    <row r="427" spans="4:18" ht="15" x14ac:dyDescent="0.25">
      <c r="D427" s="65"/>
      <c r="E427" s="65"/>
      <c r="F427" s="65"/>
      <c r="R427" s="39"/>
    </row>
    <row r="428" spans="4:18" ht="15" x14ac:dyDescent="0.25">
      <c r="D428" s="65"/>
      <c r="E428" s="65"/>
      <c r="F428" s="65"/>
      <c r="R428" s="39"/>
    </row>
    <row r="429" spans="4:18" ht="15" x14ac:dyDescent="0.25">
      <c r="D429" s="65"/>
      <c r="E429" s="65"/>
      <c r="F429" s="65"/>
      <c r="R429" s="39"/>
    </row>
    <row r="430" spans="4:18" ht="15" x14ac:dyDescent="0.25">
      <c r="D430" s="65"/>
      <c r="E430" s="65"/>
      <c r="F430" s="65"/>
      <c r="R430" s="39"/>
    </row>
    <row r="431" spans="4:18" ht="15" x14ac:dyDescent="0.25">
      <c r="D431" s="65"/>
      <c r="E431" s="65"/>
      <c r="F431" s="65"/>
      <c r="R431" s="39"/>
    </row>
    <row r="432" spans="4:18" ht="15" x14ac:dyDescent="0.25">
      <c r="D432" s="65"/>
      <c r="E432" s="65"/>
      <c r="F432" s="65"/>
      <c r="R432" s="39"/>
    </row>
    <row r="433" spans="4:18" ht="15" x14ac:dyDescent="0.25">
      <c r="D433" s="65"/>
      <c r="E433" s="65"/>
      <c r="F433" s="65"/>
      <c r="R433" s="39"/>
    </row>
    <row r="434" spans="4:18" ht="15" x14ac:dyDescent="0.25">
      <c r="D434" s="65"/>
      <c r="E434" s="65"/>
      <c r="F434" s="65"/>
      <c r="R434" s="39"/>
    </row>
    <row r="435" spans="4:18" ht="15" x14ac:dyDescent="0.25">
      <c r="D435" s="65"/>
      <c r="E435" s="65"/>
      <c r="F435" s="65"/>
      <c r="R435" s="39"/>
    </row>
    <row r="436" spans="4:18" ht="15" x14ac:dyDescent="0.25">
      <c r="D436" s="65"/>
      <c r="E436" s="65"/>
      <c r="F436" s="65"/>
      <c r="R436" s="39"/>
    </row>
    <row r="437" spans="4:18" ht="15" x14ac:dyDescent="0.25">
      <c r="D437" s="65"/>
      <c r="E437" s="65"/>
      <c r="F437" s="65"/>
      <c r="R437" s="39"/>
    </row>
    <row r="438" spans="4:18" ht="15" x14ac:dyDescent="0.25">
      <c r="D438" s="65"/>
      <c r="E438" s="65"/>
      <c r="F438" s="65"/>
      <c r="R438" s="39"/>
    </row>
    <row r="439" spans="4:18" ht="15" x14ac:dyDescent="0.25">
      <c r="D439" s="65"/>
      <c r="E439" s="65"/>
      <c r="F439" s="65"/>
      <c r="R439" s="39"/>
    </row>
    <row r="440" spans="4:18" ht="15" x14ac:dyDescent="0.25">
      <c r="D440" s="65"/>
      <c r="E440" s="65"/>
      <c r="F440" s="65"/>
      <c r="R440" s="39"/>
    </row>
    <row r="441" spans="4:18" ht="15" x14ac:dyDescent="0.25">
      <c r="D441" s="65"/>
      <c r="E441" s="65"/>
      <c r="F441" s="65"/>
      <c r="R441" s="39"/>
    </row>
    <row r="442" spans="4:18" ht="15" x14ac:dyDescent="0.25">
      <c r="D442" s="65"/>
      <c r="E442" s="65"/>
      <c r="F442" s="65"/>
      <c r="R442" s="39"/>
    </row>
    <row r="443" spans="4:18" ht="15" x14ac:dyDescent="0.25">
      <c r="D443" s="65"/>
      <c r="E443" s="65"/>
      <c r="F443" s="65"/>
      <c r="R443" s="39"/>
    </row>
    <row r="444" spans="4:18" ht="15" x14ac:dyDescent="0.25">
      <c r="D444" s="65"/>
      <c r="E444" s="65"/>
      <c r="F444" s="65"/>
      <c r="R444" s="39"/>
    </row>
    <row r="445" spans="4:18" ht="15" x14ac:dyDescent="0.25">
      <c r="D445" s="65"/>
      <c r="E445" s="65"/>
      <c r="F445" s="65"/>
      <c r="R445" s="39"/>
    </row>
    <row r="446" spans="4:18" ht="15" x14ac:dyDescent="0.25">
      <c r="D446" s="65"/>
      <c r="E446" s="65"/>
      <c r="F446" s="65"/>
      <c r="R446" s="39"/>
    </row>
    <row r="447" spans="4:18" ht="15" x14ac:dyDescent="0.25">
      <c r="D447" s="65"/>
      <c r="E447" s="65"/>
      <c r="F447" s="65"/>
      <c r="R447" s="39"/>
    </row>
    <row r="448" spans="4:18" ht="15" x14ac:dyDescent="0.25">
      <c r="D448" s="65"/>
      <c r="E448" s="65"/>
      <c r="F448" s="65"/>
      <c r="R448" s="39"/>
    </row>
    <row r="449" spans="4:18" ht="15" x14ac:dyDescent="0.25">
      <c r="D449" s="65"/>
      <c r="E449" s="65"/>
      <c r="F449" s="65"/>
      <c r="R449" s="39"/>
    </row>
    <row r="450" spans="4:18" ht="15" x14ac:dyDescent="0.25">
      <c r="D450" s="65"/>
      <c r="E450" s="65"/>
      <c r="F450" s="65"/>
      <c r="R450" s="39"/>
    </row>
    <row r="451" spans="4:18" ht="15" x14ac:dyDescent="0.25">
      <c r="D451" s="65"/>
      <c r="E451" s="65"/>
      <c r="F451" s="65"/>
      <c r="R451" s="39"/>
    </row>
    <row r="452" spans="4:18" ht="15" x14ac:dyDescent="0.25">
      <c r="D452" s="65"/>
      <c r="E452" s="65"/>
      <c r="F452" s="65"/>
      <c r="R452" s="39"/>
    </row>
    <row r="453" spans="4:18" ht="15" x14ac:dyDescent="0.25">
      <c r="D453" s="65"/>
      <c r="E453" s="65"/>
      <c r="F453" s="65"/>
      <c r="R453" s="39"/>
    </row>
    <row r="454" spans="4:18" ht="15" x14ac:dyDescent="0.25">
      <c r="D454" s="65"/>
      <c r="E454" s="65"/>
      <c r="F454" s="65"/>
      <c r="R454" s="39"/>
    </row>
    <row r="455" spans="4:18" ht="15" x14ac:dyDescent="0.25">
      <c r="D455" s="65"/>
      <c r="E455" s="65"/>
      <c r="F455" s="65"/>
      <c r="R455" s="39"/>
    </row>
    <row r="456" spans="4:18" ht="15" x14ac:dyDescent="0.25">
      <c r="D456" s="65"/>
      <c r="E456" s="65"/>
      <c r="F456" s="65"/>
      <c r="R456" s="39"/>
    </row>
    <row r="457" spans="4:18" ht="15" x14ac:dyDescent="0.25">
      <c r="D457" s="65"/>
      <c r="E457" s="65"/>
      <c r="F457" s="65"/>
      <c r="R457" s="39"/>
    </row>
    <row r="458" spans="4:18" ht="15" x14ac:dyDescent="0.25">
      <c r="D458" s="65"/>
      <c r="E458" s="65"/>
      <c r="F458" s="65"/>
      <c r="R458" s="39"/>
    </row>
    <row r="459" spans="4:18" ht="15" x14ac:dyDescent="0.25">
      <c r="D459" s="65"/>
      <c r="E459" s="65"/>
      <c r="F459" s="65"/>
      <c r="R459" s="39"/>
    </row>
    <row r="460" spans="4:18" ht="15" x14ac:dyDescent="0.25">
      <c r="D460" s="65"/>
      <c r="E460" s="65"/>
      <c r="F460" s="65"/>
      <c r="R460" s="39"/>
    </row>
    <row r="461" spans="4:18" ht="15" x14ac:dyDescent="0.25">
      <c r="D461" s="65"/>
      <c r="E461" s="65"/>
      <c r="F461" s="65"/>
      <c r="R461" s="39"/>
    </row>
    <row r="462" spans="4:18" ht="15" x14ac:dyDescent="0.25">
      <c r="D462" s="65"/>
      <c r="E462" s="65"/>
      <c r="F462" s="65"/>
      <c r="R462" s="39"/>
    </row>
    <row r="463" spans="4:18" ht="15" x14ac:dyDescent="0.25">
      <c r="D463" s="65"/>
      <c r="E463" s="65"/>
      <c r="F463" s="65"/>
      <c r="R463" s="39"/>
    </row>
    <row r="464" spans="4:18" ht="15" x14ac:dyDescent="0.25">
      <c r="D464" s="65"/>
      <c r="E464" s="65"/>
      <c r="F464" s="65"/>
      <c r="R464" s="39"/>
    </row>
    <row r="465" spans="4:18" ht="15" x14ac:dyDescent="0.25">
      <c r="D465" s="65"/>
      <c r="E465" s="65"/>
      <c r="F465" s="65"/>
      <c r="R465" s="39"/>
    </row>
    <row r="466" spans="4:18" ht="15" x14ac:dyDescent="0.25">
      <c r="D466" s="65"/>
      <c r="E466" s="65"/>
      <c r="F466" s="65"/>
      <c r="R466" s="39"/>
    </row>
    <row r="467" spans="4:18" ht="15" x14ac:dyDescent="0.25">
      <c r="D467" s="65"/>
      <c r="E467" s="65"/>
      <c r="F467" s="65"/>
      <c r="R467" s="39"/>
    </row>
    <row r="468" spans="4:18" ht="15" x14ac:dyDescent="0.25">
      <c r="D468" s="65"/>
      <c r="E468" s="65"/>
      <c r="F468" s="65"/>
      <c r="R468" s="39"/>
    </row>
    <row r="469" spans="4:18" ht="15" x14ac:dyDescent="0.25">
      <c r="D469" s="65"/>
      <c r="E469" s="65"/>
      <c r="F469" s="65"/>
      <c r="R469" s="39"/>
    </row>
    <row r="470" spans="4:18" ht="15" x14ac:dyDescent="0.25">
      <c r="D470" s="65"/>
      <c r="E470" s="65"/>
      <c r="F470" s="65"/>
      <c r="R470" s="39"/>
    </row>
    <row r="471" spans="4:18" ht="15" x14ac:dyDescent="0.25">
      <c r="D471" s="65"/>
      <c r="E471" s="65"/>
      <c r="F471" s="65"/>
      <c r="R471" s="39"/>
    </row>
    <row r="472" spans="4:18" ht="15" x14ac:dyDescent="0.25">
      <c r="D472" s="65"/>
      <c r="E472" s="65"/>
      <c r="F472" s="65"/>
      <c r="R472" s="39"/>
    </row>
    <row r="473" spans="4:18" ht="15" x14ac:dyDescent="0.25">
      <c r="D473" s="65"/>
      <c r="E473" s="65"/>
      <c r="F473" s="65"/>
      <c r="R473" s="39"/>
    </row>
    <row r="474" spans="4:18" ht="15" x14ac:dyDescent="0.25">
      <c r="D474" s="65"/>
      <c r="E474" s="65"/>
      <c r="F474" s="65"/>
      <c r="R474" s="39"/>
    </row>
    <row r="475" spans="4:18" ht="15" x14ac:dyDescent="0.25">
      <c r="D475" s="65"/>
      <c r="E475" s="65"/>
      <c r="F475" s="65"/>
      <c r="R475" s="39"/>
    </row>
    <row r="476" spans="4:18" ht="15" x14ac:dyDescent="0.25">
      <c r="D476" s="65"/>
      <c r="E476" s="65"/>
      <c r="F476" s="65"/>
      <c r="R476" s="39"/>
    </row>
    <row r="477" spans="4:18" ht="15" x14ac:dyDescent="0.25">
      <c r="D477" s="65"/>
      <c r="E477" s="65"/>
      <c r="F477" s="65"/>
      <c r="R477" s="39"/>
    </row>
    <row r="478" spans="4:18" ht="15" x14ac:dyDescent="0.25">
      <c r="D478" s="65"/>
      <c r="E478" s="65"/>
      <c r="F478" s="65"/>
      <c r="R478" s="39"/>
    </row>
    <row r="479" spans="4:18" ht="15" x14ac:dyDescent="0.25">
      <c r="D479" s="65"/>
      <c r="E479" s="65"/>
      <c r="F479" s="65"/>
      <c r="R479" s="39"/>
    </row>
    <row r="480" spans="4:18" ht="15" x14ac:dyDescent="0.25">
      <c r="D480" s="65"/>
      <c r="E480" s="65"/>
      <c r="F480" s="65"/>
      <c r="R480" s="39"/>
    </row>
    <row r="481" spans="4:18" ht="15" x14ac:dyDescent="0.25">
      <c r="D481" s="65"/>
      <c r="E481" s="65"/>
      <c r="F481" s="65"/>
      <c r="R481" s="39"/>
    </row>
    <row r="482" spans="4:18" ht="15" x14ac:dyDescent="0.25">
      <c r="D482" s="65"/>
      <c r="E482" s="65"/>
      <c r="F482" s="65"/>
      <c r="R482" s="39"/>
    </row>
    <row r="483" spans="4:18" ht="15" x14ac:dyDescent="0.25">
      <c r="D483" s="65"/>
      <c r="E483" s="65"/>
      <c r="F483" s="65"/>
      <c r="R483" s="39"/>
    </row>
    <row r="484" spans="4:18" ht="15" x14ac:dyDescent="0.25">
      <c r="D484" s="65"/>
      <c r="E484" s="65"/>
      <c r="F484" s="65"/>
      <c r="R484" s="39"/>
    </row>
    <row r="485" spans="4:18" ht="15" x14ac:dyDescent="0.25">
      <c r="D485" s="65"/>
      <c r="E485" s="65"/>
      <c r="F485" s="65"/>
      <c r="R485" s="39"/>
    </row>
    <row r="486" spans="4:18" ht="15" x14ac:dyDescent="0.25">
      <c r="D486" s="65"/>
      <c r="E486" s="65"/>
      <c r="F486" s="65"/>
      <c r="R486" s="39"/>
    </row>
    <row r="487" spans="4:18" ht="15" x14ac:dyDescent="0.25">
      <c r="D487" s="65"/>
      <c r="E487" s="65"/>
      <c r="F487" s="65"/>
      <c r="R487" s="39"/>
    </row>
    <row r="488" spans="4:18" ht="15" x14ac:dyDescent="0.25">
      <c r="D488" s="65"/>
      <c r="E488" s="65"/>
      <c r="F488" s="65"/>
      <c r="R488" s="39"/>
    </row>
    <row r="489" spans="4:18" ht="15" x14ac:dyDescent="0.25">
      <c r="D489" s="65"/>
      <c r="E489" s="65"/>
      <c r="F489" s="65"/>
      <c r="R489" s="39"/>
    </row>
    <row r="490" spans="4:18" ht="15" x14ac:dyDescent="0.25">
      <c r="D490" s="65"/>
      <c r="E490" s="65"/>
      <c r="F490" s="65"/>
      <c r="R490" s="39"/>
    </row>
    <row r="491" spans="4:18" ht="15" x14ac:dyDescent="0.25">
      <c r="D491" s="65"/>
      <c r="E491" s="65"/>
      <c r="F491" s="65"/>
      <c r="R491" s="39"/>
    </row>
    <row r="492" spans="4:18" ht="15" x14ac:dyDescent="0.25">
      <c r="D492" s="65"/>
      <c r="E492" s="65"/>
      <c r="F492" s="65"/>
      <c r="R492" s="39"/>
    </row>
    <row r="493" spans="4:18" ht="15" x14ac:dyDescent="0.25">
      <c r="D493" s="65"/>
      <c r="E493" s="65"/>
      <c r="F493" s="65"/>
      <c r="R493" s="39"/>
    </row>
    <row r="494" spans="4:18" ht="15" x14ac:dyDescent="0.25">
      <c r="D494" s="65"/>
      <c r="E494" s="65"/>
      <c r="F494" s="65"/>
      <c r="R494" s="39"/>
    </row>
    <row r="495" spans="4:18" ht="15" x14ac:dyDescent="0.25">
      <c r="D495" s="65"/>
      <c r="E495" s="65"/>
      <c r="F495" s="65"/>
      <c r="R495" s="39"/>
    </row>
    <row r="496" spans="4:18" ht="15" x14ac:dyDescent="0.25">
      <c r="D496" s="65"/>
      <c r="E496" s="65"/>
      <c r="F496" s="65"/>
      <c r="R496" s="39"/>
    </row>
    <row r="497" spans="4:18" ht="15" x14ac:dyDescent="0.25">
      <c r="D497" s="65"/>
      <c r="E497" s="65"/>
      <c r="F497" s="65"/>
      <c r="R497" s="39"/>
    </row>
    <row r="498" spans="4:18" ht="15" x14ac:dyDescent="0.25">
      <c r="D498" s="65"/>
      <c r="E498" s="65"/>
      <c r="F498" s="65"/>
      <c r="R498" s="39"/>
    </row>
    <row r="499" spans="4:18" ht="15" x14ac:dyDescent="0.25">
      <c r="D499" s="65"/>
      <c r="E499" s="65"/>
      <c r="F499" s="65"/>
      <c r="R499" s="39"/>
    </row>
    <row r="500" spans="4:18" ht="15" x14ac:dyDescent="0.25">
      <c r="D500" s="65"/>
      <c r="E500" s="65"/>
      <c r="F500" s="65"/>
      <c r="R500" s="39"/>
    </row>
    <row r="501" spans="4:18" ht="15" x14ac:dyDescent="0.25">
      <c r="D501" s="65"/>
      <c r="E501" s="65"/>
      <c r="F501" s="65"/>
      <c r="R501" s="39"/>
    </row>
    <row r="502" spans="4:18" ht="15" x14ac:dyDescent="0.25">
      <c r="D502" s="65"/>
      <c r="E502" s="65"/>
      <c r="F502" s="65"/>
      <c r="R502" s="39"/>
    </row>
    <row r="503" spans="4:18" ht="15" x14ac:dyDescent="0.25">
      <c r="D503" s="65"/>
      <c r="E503" s="65"/>
      <c r="F503" s="65"/>
      <c r="R503" s="39"/>
    </row>
    <row r="504" spans="4:18" ht="15" x14ac:dyDescent="0.25">
      <c r="D504" s="65"/>
      <c r="E504" s="65"/>
      <c r="F504" s="65"/>
      <c r="R504" s="39"/>
    </row>
    <row r="505" spans="4:18" ht="15" x14ac:dyDescent="0.25">
      <c r="D505" s="65"/>
      <c r="E505" s="65"/>
      <c r="F505" s="65"/>
      <c r="R505" s="39"/>
    </row>
    <row r="506" spans="4:18" ht="15" x14ac:dyDescent="0.25">
      <c r="D506" s="65"/>
      <c r="E506" s="65"/>
      <c r="F506" s="65"/>
      <c r="R506" s="39"/>
    </row>
    <row r="507" spans="4:18" ht="15" x14ac:dyDescent="0.25">
      <c r="D507" s="65"/>
      <c r="E507" s="65"/>
      <c r="F507" s="65"/>
      <c r="R507" s="39"/>
    </row>
    <row r="508" spans="4:18" ht="15" x14ac:dyDescent="0.25">
      <c r="D508" s="65"/>
      <c r="E508" s="65"/>
      <c r="F508" s="65"/>
      <c r="R508" s="39"/>
    </row>
    <row r="509" spans="4:18" ht="15" x14ac:dyDescent="0.25">
      <c r="D509" s="65"/>
      <c r="E509" s="65"/>
      <c r="F509" s="65"/>
      <c r="R509" s="39"/>
    </row>
    <row r="510" spans="4:18" ht="15" x14ac:dyDescent="0.25">
      <c r="D510" s="65"/>
      <c r="E510" s="65"/>
      <c r="F510" s="65"/>
      <c r="R510" s="39"/>
    </row>
    <row r="511" spans="4:18" ht="15" x14ac:dyDescent="0.25">
      <c r="D511" s="65"/>
      <c r="E511" s="65"/>
      <c r="F511" s="65"/>
      <c r="R511" s="39"/>
    </row>
    <row r="512" spans="4:18" ht="15" x14ac:dyDescent="0.25">
      <c r="D512" s="65"/>
      <c r="E512" s="65"/>
      <c r="F512" s="65"/>
      <c r="R512" s="39"/>
    </row>
    <row r="513" spans="4:18" ht="15" x14ac:dyDescent="0.25">
      <c r="D513" s="65"/>
      <c r="E513" s="65"/>
      <c r="F513" s="65"/>
      <c r="R513" s="39"/>
    </row>
    <row r="514" spans="4:18" ht="15" x14ac:dyDescent="0.25">
      <c r="D514" s="65"/>
      <c r="E514" s="65"/>
      <c r="F514" s="65"/>
      <c r="R514" s="39"/>
    </row>
    <row r="515" spans="4:18" ht="15" x14ac:dyDescent="0.25">
      <c r="D515" s="65"/>
      <c r="E515" s="65"/>
      <c r="F515" s="65"/>
      <c r="R515" s="39"/>
    </row>
    <row r="516" spans="4:18" ht="15" x14ac:dyDescent="0.25">
      <c r="D516" s="65"/>
      <c r="E516" s="65"/>
      <c r="F516" s="65"/>
      <c r="R516" s="39"/>
    </row>
    <row r="517" spans="4:18" ht="15" x14ac:dyDescent="0.25">
      <c r="D517" s="65"/>
      <c r="E517" s="65"/>
      <c r="F517" s="65"/>
      <c r="R517" s="39"/>
    </row>
    <row r="518" spans="4:18" ht="15" x14ac:dyDescent="0.25">
      <c r="D518" s="65"/>
      <c r="E518" s="65"/>
      <c r="F518" s="65"/>
      <c r="R518" s="39"/>
    </row>
    <row r="519" spans="4:18" ht="15" x14ac:dyDescent="0.25">
      <c r="D519" s="65"/>
      <c r="E519" s="65"/>
      <c r="F519" s="65"/>
      <c r="R519" s="39"/>
    </row>
    <row r="520" spans="4:18" ht="15" x14ac:dyDescent="0.25">
      <c r="D520" s="65"/>
      <c r="E520" s="65"/>
      <c r="F520" s="65"/>
      <c r="R520" s="39"/>
    </row>
    <row r="521" spans="4:18" ht="15" x14ac:dyDescent="0.25">
      <c r="D521" s="65"/>
      <c r="E521" s="65"/>
      <c r="F521" s="65"/>
      <c r="R521" s="39"/>
    </row>
    <row r="522" spans="4:18" ht="15" x14ac:dyDescent="0.25">
      <c r="D522" s="65"/>
      <c r="E522" s="65"/>
      <c r="F522" s="65"/>
      <c r="R522" s="39"/>
    </row>
    <row r="523" spans="4:18" ht="15" x14ac:dyDescent="0.25">
      <c r="D523" s="65"/>
      <c r="E523" s="65"/>
      <c r="F523" s="65"/>
      <c r="R523" s="39"/>
    </row>
    <row r="524" spans="4:18" ht="15" x14ac:dyDescent="0.25">
      <c r="D524" s="65"/>
      <c r="E524" s="65"/>
      <c r="F524" s="65"/>
      <c r="R524" s="39"/>
    </row>
    <row r="525" spans="4:18" ht="15" x14ac:dyDescent="0.25">
      <c r="D525" s="65"/>
      <c r="E525" s="65"/>
      <c r="F525" s="65"/>
      <c r="R525" s="39"/>
    </row>
    <row r="526" spans="4:18" ht="15" x14ac:dyDescent="0.25">
      <c r="D526" s="65"/>
      <c r="E526" s="65"/>
      <c r="F526" s="65"/>
      <c r="R526" s="39"/>
    </row>
    <row r="527" spans="4:18" ht="15" x14ac:dyDescent="0.25">
      <c r="D527" s="65"/>
      <c r="E527" s="65"/>
      <c r="F527" s="65"/>
      <c r="R527" s="39"/>
    </row>
    <row r="528" spans="4:18" ht="15" x14ac:dyDescent="0.25">
      <c r="D528" s="65"/>
      <c r="E528" s="65"/>
      <c r="F528" s="65"/>
    </row>
  </sheetData>
  <pageMargins left="0.7" right="0.7" top="0.75" bottom="0.75" header="0.3" footer="0.3"/>
  <pageSetup paperSize="9" scale="1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C2:AY528"/>
  <sheetViews>
    <sheetView showGridLines="0" showRowColHeaders="0" view="pageBreakPreview" zoomScale="80" zoomScaleNormal="90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1" width="2.125" style="38" customWidth="1"/>
    <col min="2" max="2" width="2.875" style="38" customWidth="1"/>
    <col min="3" max="3" width="5" style="37" customWidth="1"/>
    <col min="4" max="4" width="19.75" style="38" customWidth="1"/>
    <col min="5" max="5" width="15.625" style="38" customWidth="1"/>
    <col min="6" max="6" width="10.75" style="38" customWidth="1"/>
    <col min="7" max="7" width="13.25" style="39" bestFit="1" customWidth="1"/>
    <col min="8" max="8" width="13.625" style="40" customWidth="1"/>
    <col min="9" max="12" width="9.75" style="41" customWidth="1"/>
    <col min="13" max="13" width="9.75" style="42" customWidth="1"/>
    <col min="14" max="14" width="9.75" style="42" customWidth="1" outlineLevel="1"/>
    <col min="15" max="17" width="9.75" style="38" customWidth="1" outlineLevel="1"/>
    <col min="18" max="18" width="12.75" style="38" customWidth="1" outlineLevel="1"/>
    <col min="19" max="19" width="8.25" style="38" customWidth="1" outlineLevel="1"/>
    <col min="20" max="20" width="10.5" style="38" customWidth="1" outlineLevel="1"/>
    <col min="21" max="21" width="12.875" style="205" customWidth="1" outlineLevel="1"/>
    <col min="22" max="22" width="1.625" style="38" customWidth="1"/>
    <col min="23" max="23" width="10.5" style="38"/>
    <col min="24" max="31" width="10.5" style="38" customWidth="1" outlineLevel="1"/>
    <col min="32" max="32" width="1.625" style="38" customWidth="1"/>
    <col min="33" max="33" width="10.5" style="38"/>
    <col min="34" max="41" width="10.5" style="38" customWidth="1" outlineLevel="1"/>
    <col min="42" max="42" width="1.625" style="38" customWidth="1"/>
    <col min="43" max="43" width="10.5" style="38"/>
    <col min="44" max="51" width="10.5" style="38" customWidth="1" outlineLevel="1"/>
    <col min="52" max="52" width="2.625" style="38" customWidth="1"/>
    <col min="53" max="16384" width="10.5" style="38"/>
  </cols>
  <sheetData>
    <row r="2" spans="3:51" ht="18.75" x14ac:dyDescent="0.25">
      <c r="D2" s="384" t="s">
        <v>103</v>
      </c>
    </row>
    <row r="3" spans="3:51" ht="15.4" customHeight="1" x14ac:dyDescent="0.25">
      <c r="H3" s="41"/>
    </row>
    <row r="4" spans="3:51" x14ac:dyDescent="0.25">
      <c r="D4" s="43" t="s">
        <v>42</v>
      </c>
      <c r="H4" s="41"/>
      <c r="O4" s="135"/>
    </row>
    <row r="5" spans="3:51" ht="15" thickBot="1" x14ac:dyDescent="0.3">
      <c r="D5" s="43"/>
      <c r="H5" s="41"/>
    </row>
    <row r="6" spans="3:51" ht="17.25" thickTop="1" thickBot="1" x14ac:dyDescent="0.3"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V6" s="295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F6" s="295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P6" s="295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1" s="49" customFormat="1" ht="51.4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282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</row>
    <row r="8" spans="3:51" s="52" customFormat="1" ht="33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0</v>
      </c>
      <c r="AS8" s="363">
        <f t="shared" si="6"/>
        <v>0</v>
      </c>
      <c r="AT8" s="363">
        <f t="shared" si="6"/>
        <v>0</v>
      </c>
      <c r="AU8" s="363">
        <f t="shared" si="6"/>
        <v>0</v>
      </c>
      <c r="AV8" s="363">
        <f>+SUM(AV9:AV29)</f>
        <v>0</v>
      </c>
      <c r="AW8" s="363">
        <f t="shared" ref="AW8:AX8" si="7">+SUM(AW9:AW29)</f>
        <v>0</v>
      </c>
      <c r="AX8" s="363">
        <f t="shared" si="7"/>
        <v>0</v>
      </c>
      <c r="AY8" s="364">
        <f>+SUM(AY9:AY29)</f>
        <v>0</v>
      </c>
    </row>
    <row r="9" spans="3:51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/>
      <c r="AS9" s="289"/>
      <c r="AT9" s="289"/>
      <c r="AU9" s="289"/>
      <c r="AV9" s="289"/>
      <c r="AW9" s="289"/>
      <c r="AX9" s="289"/>
      <c r="AY9" s="290"/>
    </row>
    <row r="10" spans="3:51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</row>
    <row r="11" spans="3:51" s="49" customFormat="1" ht="18" customHeight="1" x14ac:dyDescent="0.25">
      <c r="C11" s="56">
        <f t="shared" ref="C11:C28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</row>
    <row r="12" spans="3:51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</row>
    <row r="13" spans="3:51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</row>
    <row r="14" spans="3:51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</row>
    <row r="15" spans="3:51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</row>
    <row r="16" spans="3:51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</row>
    <row r="17" spans="3:51" s="49" customFormat="1" ht="18" customHeight="1" x14ac:dyDescent="0.25"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</row>
    <row r="18" spans="3:51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</row>
    <row r="19" spans="3:51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</row>
    <row r="20" spans="3:51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</row>
    <row r="21" spans="3:51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</row>
    <row r="22" spans="3:51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</row>
    <row r="23" spans="3:51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</row>
    <row r="24" spans="3:51" s="49" customFormat="1" ht="18" customHeight="1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</row>
    <row r="25" spans="3:51" s="49" customFormat="1" ht="15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</row>
    <row r="26" spans="3:51" s="49" customFormat="1" ht="15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</row>
    <row r="27" spans="3:51" s="49" customFormat="1" ht="15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</row>
    <row r="28" spans="3:51" s="49" customFormat="1" ht="15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</row>
    <row r="29" spans="3:51" s="49" customFormat="1" ht="15.75" x14ac:dyDescent="0.25">
      <c r="C29" s="48"/>
      <c r="D29" s="60"/>
      <c r="E29" s="60"/>
      <c r="F29" s="60"/>
      <c r="G29" s="50"/>
      <c r="H29" s="61"/>
      <c r="I29" s="62"/>
      <c r="J29" s="62"/>
      <c r="K29" s="62"/>
      <c r="L29" s="62"/>
      <c r="M29" s="63"/>
      <c r="N29" s="63"/>
      <c r="O29" s="63"/>
      <c r="P29" s="63"/>
      <c r="Q29" s="63"/>
      <c r="U29" s="206"/>
    </row>
    <row r="30" spans="3:51" s="49" customFormat="1" ht="15.75" x14ac:dyDescent="0.25">
      <c r="C30" s="48"/>
      <c r="D30" s="60"/>
      <c r="E30" s="60"/>
      <c r="F30" s="60"/>
      <c r="G30" s="50"/>
      <c r="H30" s="61"/>
      <c r="I30" s="62"/>
      <c r="J30" s="62"/>
      <c r="K30" s="62"/>
      <c r="L30" s="62"/>
      <c r="M30" s="63"/>
      <c r="N30" s="63"/>
      <c r="O30" s="63"/>
      <c r="P30" s="63"/>
      <c r="Q30" s="63"/>
      <c r="U30" s="206"/>
    </row>
    <row r="31" spans="3:51" s="49" customFormat="1" ht="15.75" x14ac:dyDescent="0.25">
      <c r="C31" s="48"/>
      <c r="D31" s="60"/>
      <c r="E31" s="60"/>
      <c r="F31" s="60"/>
      <c r="G31" s="50"/>
      <c r="H31" s="61"/>
      <c r="I31" s="62"/>
      <c r="J31" s="62"/>
      <c r="K31" s="62"/>
      <c r="L31" s="62"/>
      <c r="M31" s="63"/>
      <c r="N31" s="63"/>
      <c r="O31" s="63"/>
      <c r="P31" s="63"/>
      <c r="Q31" s="63"/>
      <c r="U31" s="206"/>
    </row>
    <row r="32" spans="3:51" s="49" customFormat="1" ht="15.75" x14ac:dyDescent="0.25">
      <c r="C32" s="48"/>
      <c r="D32" s="60"/>
      <c r="E32" s="60"/>
      <c r="F32" s="60"/>
      <c r="G32" s="50"/>
      <c r="H32" s="61"/>
      <c r="I32" s="62"/>
      <c r="J32" s="62"/>
      <c r="K32" s="62"/>
      <c r="L32" s="62"/>
      <c r="M32" s="63"/>
      <c r="N32" s="63"/>
      <c r="O32" s="63"/>
      <c r="P32" s="63"/>
      <c r="Q32" s="63"/>
      <c r="U32" s="206"/>
    </row>
    <row r="33" spans="3:21" s="49" customFormat="1" ht="15.75" x14ac:dyDescent="0.25">
      <c r="C33" s="48"/>
      <c r="D33" s="60"/>
      <c r="E33" s="60"/>
      <c r="F33" s="60"/>
      <c r="G33" s="50"/>
      <c r="H33" s="61"/>
      <c r="I33" s="62"/>
      <c r="J33" s="62"/>
      <c r="K33" s="62"/>
      <c r="L33" s="62"/>
      <c r="M33" s="63"/>
      <c r="N33" s="63"/>
      <c r="O33" s="63"/>
      <c r="P33" s="63"/>
      <c r="Q33" s="63"/>
      <c r="U33" s="206"/>
    </row>
    <row r="34" spans="3:21" s="49" customFormat="1" ht="15.75" x14ac:dyDescent="0.25">
      <c r="C34" s="48"/>
      <c r="D34" s="60"/>
      <c r="E34" s="60"/>
      <c r="F34" s="60"/>
      <c r="G34" s="50"/>
      <c r="H34" s="61"/>
      <c r="I34" s="62"/>
      <c r="J34" s="62"/>
      <c r="K34" s="62"/>
      <c r="L34" s="62"/>
      <c r="M34" s="63"/>
      <c r="N34" s="63"/>
      <c r="O34" s="63"/>
      <c r="P34" s="63"/>
      <c r="Q34" s="63"/>
      <c r="U34" s="206"/>
    </row>
    <row r="35" spans="3:21" s="49" customFormat="1" ht="15.75" x14ac:dyDescent="0.25">
      <c r="C35" s="48"/>
      <c r="D35" s="60"/>
      <c r="E35" s="60"/>
      <c r="F35" s="60"/>
      <c r="G35" s="50"/>
      <c r="H35" s="61"/>
      <c r="I35" s="62"/>
      <c r="J35" s="62"/>
      <c r="K35" s="62"/>
      <c r="L35" s="62"/>
      <c r="M35" s="63"/>
      <c r="N35" s="63"/>
      <c r="O35" s="63"/>
      <c r="P35" s="63"/>
      <c r="Q35" s="63"/>
      <c r="U35" s="206"/>
    </row>
    <row r="36" spans="3:21" s="49" customFormat="1" ht="15.75" x14ac:dyDescent="0.25">
      <c r="C36" s="48"/>
      <c r="D36" s="60"/>
      <c r="E36" s="60"/>
      <c r="F36" s="60"/>
      <c r="G36" s="50"/>
      <c r="H36" s="61"/>
      <c r="I36" s="62"/>
      <c r="J36" s="62"/>
      <c r="K36" s="62"/>
      <c r="L36" s="62"/>
      <c r="M36" s="63"/>
      <c r="N36" s="63"/>
      <c r="O36" s="63"/>
      <c r="P36" s="63"/>
      <c r="Q36" s="63"/>
      <c r="U36" s="206"/>
    </row>
    <row r="37" spans="3:21" s="49" customFormat="1" ht="15.75" x14ac:dyDescent="0.25">
      <c r="C37" s="48"/>
      <c r="D37" s="60"/>
      <c r="E37" s="60"/>
      <c r="F37" s="60"/>
      <c r="G37" s="50"/>
      <c r="H37" s="61"/>
      <c r="I37" s="62"/>
      <c r="J37" s="62"/>
      <c r="K37" s="62"/>
      <c r="L37" s="62"/>
      <c r="M37" s="63"/>
      <c r="N37" s="63"/>
      <c r="O37" s="63"/>
      <c r="P37" s="63"/>
      <c r="Q37" s="63"/>
      <c r="U37" s="206"/>
    </row>
    <row r="38" spans="3:21" s="49" customFormat="1" ht="15.75" x14ac:dyDescent="0.25">
      <c r="C38" s="48"/>
      <c r="D38" s="60"/>
      <c r="E38" s="60"/>
      <c r="F38" s="60"/>
      <c r="G38" s="50"/>
      <c r="H38" s="61"/>
      <c r="I38" s="62"/>
      <c r="J38" s="62"/>
      <c r="K38" s="62"/>
      <c r="L38" s="62"/>
      <c r="M38" s="63"/>
      <c r="N38" s="63"/>
      <c r="O38" s="63"/>
      <c r="P38" s="63"/>
      <c r="Q38" s="63"/>
      <c r="U38" s="206"/>
    </row>
    <row r="39" spans="3:21" s="49" customFormat="1" ht="15.75" x14ac:dyDescent="0.25">
      <c r="C39" s="48"/>
      <c r="D39" s="60"/>
      <c r="E39" s="60"/>
      <c r="F39" s="60"/>
      <c r="G39" s="50"/>
      <c r="H39" s="61"/>
      <c r="I39" s="62"/>
      <c r="J39" s="62"/>
      <c r="K39" s="62"/>
      <c r="L39" s="62"/>
      <c r="M39" s="63"/>
      <c r="N39" s="63"/>
      <c r="O39" s="63"/>
      <c r="P39" s="63"/>
      <c r="Q39" s="63"/>
      <c r="U39" s="206"/>
    </row>
    <row r="40" spans="3:21" s="49" customFormat="1" ht="15.75" x14ac:dyDescent="0.25">
      <c r="C40" s="48"/>
      <c r="D40" s="60"/>
      <c r="E40" s="60"/>
      <c r="F40" s="60"/>
      <c r="G40" s="50"/>
      <c r="H40" s="61"/>
      <c r="I40" s="62"/>
      <c r="J40" s="62"/>
      <c r="K40" s="62"/>
      <c r="L40" s="62"/>
      <c r="M40" s="63"/>
      <c r="N40" s="63"/>
      <c r="O40" s="63"/>
      <c r="P40" s="63"/>
      <c r="Q40" s="63"/>
      <c r="U40" s="206"/>
    </row>
    <row r="41" spans="3:21" s="49" customFormat="1" ht="15.75" x14ac:dyDescent="0.25">
      <c r="C41" s="48"/>
      <c r="D41" s="60"/>
      <c r="E41" s="60"/>
      <c r="F41" s="60"/>
      <c r="G41" s="50"/>
      <c r="H41" s="61"/>
      <c r="I41" s="62"/>
      <c r="J41" s="62"/>
      <c r="K41" s="62"/>
      <c r="L41" s="62"/>
      <c r="M41" s="63"/>
      <c r="N41" s="63"/>
      <c r="O41" s="63"/>
      <c r="P41" s="63"/>
      <c r="Q41" s="63"/>
      <c r="U41" s="206"/>
    </row>
    <row r="42" spans="3:21" s="49" customFormat="1" ht="15.75" x14ac:dyDescent="0.25">
      <c r="C42" s="48"/>
      <c r="D42" s="60"/>
      <c r="E42" s="60"/>
      <c r="F42" s="60"/>
      <c r="G42" s="50"/>
      <c r="H42" s="61"/>
      <c r="I42" s="62"/>
      <c r="J42" s="62"/>
      <c r="K42" s="62"/>
      <c r="L42" s="62"/>
      <c r="M42" s="63"/>
      <c r="N42" s="63"/>
      <c r="O42" s="63"/>
      <c r="P42" s="63"/>
      <c r="Q42" s="63"/>
      <c r="U42" s="206"/>
    </row>
    <row r="43" spans="3:21" s="49" customFormat="1" ht="15.75" x14ac:dyDescent="0.25">
      <c r="C43" s="48"/>
      <c r="D43" s="60"/>
      <c r="E43" s="60"/>
      <c r="F43" s="60"/>
      <c r="G43" s="50"/>
      <c r="H43" s="61"/>
      <c r="I43" s="62"/>
      <c r="J43" s="62"/>
      <c r="K43" s="62"/>
      <c r="L43" s="62"/>
      <c r="M43" s="63"/>
      <c r="N43" s="63"/>
      <c r="O43" s="63"/>
      <c r="P43" s="63"/>
      <c r="Q43" s="63"/>
      <c r="U43" s="206"/>
    </row>
    <row r="44" spans="3:21" s="49" customFormat="1" ht="15.75" x14ac:dyDescent="0.25">
      <c r="C44" s="48"/>
      <c r="D44" s="60"/>
      <c r="E44" s="60"/>
      <c r="F44" s="60"/>
      <c r="G44" s="50"/>
      <c r="H44" s="61"/>
      <c r="I44" s="62"/>
      <c r="J44" s="62"/>
      <c r="K44" s="62"/>
      <c r="L44" s="62"/>
      <c r="M44" s="63"/>
      <c r="N44" s="63"/>
      <c r="O44" s="63"/>
      <c r="P44" s="63"/>
      <c r="Q44" s="63"/>
      <c r="U44" s="206"/>
    </row>
    <row r="45" spans="3:21" s="49" customFormat="1" ht="15.75" x14ac:dyDescent="0.25">
      <c r="C45" s="48"/>
      <c r="D45" s="60"/>
      <c r="E45" s="60"/>
      <c r="F45" s="60"/>
      <c r="G45" s="50"/>
      <c r="H45" s="61"/>
      <c r="I45" s="62"/>
      <c r="J45" s="62"/>
      <c r="K45" s="62"/>
      <c r="L45" s="62"/>
      <c r="M45" s="63"/>
      <c r="N45" s="63"/>
      <c r="O45" s="63"/>
      <c r="P45" s="63"/>
      <c r="Q45" s="63"/>
      <c r="U45" s="206"/>
    </row>
    <row r="46" spans="3:21" s="49" customFormat="1" ht="15.75" x14ac:dyDescent="0.25">
      <c r="C46" s="48"/>
      <c r="D46" s="60"/>
      <c r="E46" s="60"/>
      <c r="F46" s="60"/>
      <c r="G46" s="50"/>
      <c r="H46" s="61"/>
      <c r="I46" s="62"/>
      <c r="J46" s="62"/>
      <c r="K46" s="62"/>
      <c r="L46" s="62"/>
      <c r="M46" s="63"/>
      <c r="N46" s="63"/>
      <c r="O46" s="63"/>
      <c r="P46" s="63"/>
      <c r="Q46" s="63"/>
      <c r="U46" s="206"/>
    </row>
    <row r="47" spans="3:21" s="49" customFormat="1" ht="15.75" x14ac:dyDescent="0.25">
      <c r="C47" s="48"/>
      <c r="D47" s="60"/>
      <c r="E47" s="60"/>
      <c r="F47" s="60"/>
      <c r="G47" s="50"/>
      <c r="H47" s="61"/>
      <c r="I47" s="62"/>
      <c r="J47" s="62"/>
      <c r="K47" s="62"/>
      <c r="L47" s="62"/>
      <c r="M47" s="63"/>
      <c r="N47" s="63"/>
      <c r="O47" s="63"/>
      <c r="P47" s="63"/>
      <c r="Q47" s="63"/>
      <c r="U47" s="206"/>
    </row>
    <row r="48" spans="3:21" s="49" customFormat="1" ht="15.75" x14ac:dyDescent="0.25">
      <c r="C48" s="48"/>
      <c r="D48" s="60"/>
      <c r="E48" s="60"/>
      <c r="F48" s="60"/>
      <c r="G48" s="50"/>
      <c r="H48" s="61"/>
      <c r="I48" s="62"/>
      <c r="J48" s="62"/>
      <c r="K48" s="62"/>
      <c r="L48" s="62"/>
      <c r="M48" s="63"/>
      <c r="N48" s="63"/>
      <c r="O48" s="63"/>
      <c r="P48" s="63"/>
      <c r="Q48" s="63"/>
      <c r="U48" s="206"/>
    </row>
    <row r="49" spans="3:21" s="49" customFormat="1" ht="15.75" x14ac:dyDescent="0.25">
      <c r="C49" s="48"/>
      <c r="D49" s="60"/>
      <c r="E49" s="60"/>
      <c r="F49" s="60"/>
      <c r="G49" s="50"/>
      <c r="H49" s="61"/>
      <c r="I49" s="62"/>
      <c r="J49" s="62"/>
      <c r="K49" s="62"/>
      <c r="L49" s="62"/>
      <c r="M49" s="63"/>
      <c r="N49" s="63"/>
      <c r="O49" s="63"/>
      <c r="P49" s="63"/>
      <c r="Q49" s="63"/>
      <c r="U49" s="206"/>
    </row>
    <row r="50" spans="3:21" s="49" customFormat="1" ht="15.75" x14ac:dyDescent="0.25">
      <c r="C50" s="48"/>
      <c r="D50" s="60"/>
      <c r="E50" s="60"/>
      <c r="F50" s="60"/>
      <c r="G50" s="50"/>
      <c r="H50" s="61"/>
      <c r="I50" s="62"/>
      <c r="J50" s="62"/>
      <c r="K50" s="62"/>
      <c r="L50" s="62"/>
      <c r="M50" s="63"/>
      <c r="N50" s="63"/>
      <c r="O50" s="63"/>
      <c r="P50" s="63"/>
      <c r="Q50" s="63"/>
      <c r="U50" s="206"/>
    </row>
    <row r="51" spans="3:21" s="49" customFormat="1" ht="15.75" x14ac:dyDescent="0.25">
      <c r="C51" s="48"/>
      <c r="D51" s="60"/>
      <c r="E51" s="60"/>
      <c r="F51" s="60"/>
      <c r="G51" s="50"/>
      <c r="H51" s="61"/>
      <c r="I51" s="62"/>
      <c r="J51" s="62"/>
      <c r="K51" s="62"/>
      <c r="L51" s="62"/>
      <c r="M51" s="63"/>
      <c r="N51" s="63"/>
      <c r="O51" s="63"/>
      <c r="P51" s="63"/>
      <c r="Q51" s="63"/>
      <c r="U51" s="206"/>
    </row>
    <row r="52" spans="3:21" s="49" customFormat="1" ht="15.75" x14ac:dyDescent="0.25">
      <c r="C52" s="48"/>
      <c r="D52" s="60"/>
      <c r="E52" s="60"/>
      <c r="F52" s="60"/>
      <c r="G52" s="50"/>
      <c r="H52" s="61"/>
      <c r="I52" s="62"/>
      <c r="J52" s="62"/>
      <c r="K52" s="62"/>
      <c r="L52" s="62"/>
      <c r="M52" s="63"/>
      <c r="N52" s="63"/>
      <c r="O52" s="63"/>
      <c r="P52" s="63"/>
      <c r="Q52" s="63"/>
      <c r="U52" s="206"/>
    </row>
    <row r="53" spans="3:21" s="49" customFormat="1" ht="15.75" x14ac:dyDescent="0.25">
      <c r="C53" s="48"/>
      <c r="D53" s="60"/>
      <c r="E53" s="60"/>
      <c r="F53" s="60"/>
      <c r="G53" s="50"/>
      <c r="H53" s="61"/>
      <c r="I53" s="62"/>
      <c r="J53" s="62"/>
      <c r="K53" s="62"/>
      <c r="L53" s="62"/>
      <c r="M53" s="63"/>
      <c r="N53" s="63"/>
      <c r="O53" s="63"/>
      <c r="P53" s="63"/>
      <c r="Q53" s="63"/>
      <c r="U53" s="206"/>
    </row>
    <row r="54" spans="3:21" s="49" customFormat="1" ht="15.75" x14ac:dyDescent="0.25">
      <c r="C54" s="48"/>
      <c r="D54" s="60"/>
      <c r="E54" s="60"/>
      <c r="F54" s="60"/>
      <c r="G54" s="50"/>
      <c r="H54" s="61"/>
      <c r="I54" s="62"/>
      <c r="J54" s="62"/>
      <c r="K54" s="62"/>
      <c r="L54" s="62"/>
      <c r="M54" s="63"/>
      <c r="N54" s="63"/>
      <c r="O54" s="63"/>
      <c r="P54" s="63"/>
      <c r="Q54" s="63"/>
      <c r="U54" s="206"/>
    </row>
    <row r="55" spans="3:21" s="49" customFormat="1" ht="15.75" x14ac:dyDescent="0.25">
      <c r="C55" s="48"/>
      <c r="D55" s="60"/>
      <c r="E55" s="60"/>
      <c r="F55" s="60"/>
      <c r="G55" s="50"/>
      <c r="H55" s="61"/>
      <c r="I55" s="62"/>
      <c r="J55" s="62"/>
      <c r="K55" s="62"/>
      <c r="L55" s="62"/>
      <c r="M55" s="63"/>
      <c r="N55" s="63"/>
      <c r="O55" s="63"/>
      <c r="P55" s="63"/>
      <c r="Q55" s="63"/>
      <c r="U55" s="206"/>
    </row>
    <row r="56" spans="3:21" s="49" customFormat="1" ht="15.75" x14ac:dyDescent="0.25">
      <c r="C56" s="48"/>
      <c r="D56" s="60"/>
      <c r="E56" s="60"/>
      <c r="F56" s="60"/>
      <c r="G56" s="50"/>
      <c r="H56" s="61"/>
      <c r="I56" s="62"/>
      <c r="J56" s="62"/>
      <c r="K56" s="62"/>
      <c r="L56" s="62"/>
      <c r="M56" s="63"/>
      <c r="N56" s="63"/>
      <c r="O56" s="63"/>
      <c r="P56" s="63"/>
      <c r="Q56" s="63"/>
      <c r="U56" s="206"/>
    </row>
    <row r="57" spans="3:21" s="49" customFormat="1" ht="15.75" x14ac:dyDescent="0.25">
      <c r="C57" s="48"/>
      <c r="D57" s="60"/>
      <c r="E57" s="60"/>
      <c r="F57" s="60"/>
      <c r="G57" s="50"/>
      <c r="H57" s="61"/>
      <c r="I57" s="62"/>
      <c r="J57" s="62"/>
      <c r="K57" s="62"/>
      <c r="L57" s="62"/>
      <c r="M57" s="63"/>
      <c r="N57" s="63"/>
      <c r="O57" s="63"/>
      <c r="P57" s="63"/>
      <c r="Q57" s="63"/>
      <c r="U57" s="206"/>
    </row>
    <row r="58" spans="3:21" s="49" customFormat="1" ht="15.75" x14ac:dyDescent="0.25">
      <c r="C58" s="48"/>
      <c r="D58" s="60"/>
      <c r="E58" s="60"/>
      <c r="F58" s="60"/>
      <c r="G58" s="50"/>
      <c r="H58" s="61"/>
      <c r="I58" s="62"/>
      <c r="J58" s="62"/>
      <c r="K58" s="62"/>
      <c r="L58" s="62"/>
      <c r="M58" s="63"/>
      <c r="N58" s="63"/>
      <c r="O58" s="63"/>
      <c r="P58" s="63"/>
      <c r="Q58" s="63"/>
      <c r="U58" s="206"/>
    </row>
    <row r="59" spans="3:21" s="49" customFormat="1" ht="15.75" x14ac:dyDescent="0.25">
      <c r="C59" s="48"/>
      <c r="D59" s="60"/>
      <c r="E59" s="60"/>
      <c r="F59" s="60"/>
      <c r="G59" s="50"/>
      <c r="H59" s="61"/>
      <c r="I59" s="62"/>
      <c r="J59" s="62"/>
      <c r="K59" s="62"/>
      <c r="L59" s="62"/>
      <c r="M59" s="63"/>
      <c r="N59" s="63"/>
      <c r="O59" s="63"/>
      <c r="P59" s="63"/>
      <c r="Q59" s="63"/>
      <c r="U59" s="206"/>
    </row>
    <row r="60" spans="3:21" s="49" customFormat="1" ht="15.75" x14ac:dyDescent="0.25">
      <c r="C60" s="48"/>
      <c r="D60" s="60"/>
      <c r="E60" s="60"/>
      <c r="F60" s="60"/>
      <c r="G60" s="50"/>
      <c r="H60" s="61"/>
      <c r="I60" s="62"/>
      <c r="J60" s="62"/>
      <c r="K60" s="62"/>
      <c r="L60" s="62"/>
      <c r="M60" s="63"/>
      <c r="N60" s="63"/>
      <c r="O60" s="63"/>
      <c r="P60" s="63"/>
      <c r="Q60" s="63"/>
      <c r="U60" s="206"/>
    </row>
    <row r="61" spans="3:21" s="49" customFormat="1" ht="15.75" x14ac:dyDescent="0.25">
      <c r="C61" s="48"/>
      <c r="D61" s="60"/>
      <c r="E61" s="60"/>
      <c r="F61" s="60"/>
      <c r="G61" s="50"/>
      <c r="H61" s="61"/>
      <c r="I61" s="62"/>
      <c r="J61" s="62"/>
      <c r="K61" s="62"/>
      <c r="L61" s="62"/>
      <c r="M61" s="63"/>
      <c r="N61" s="63"/>
      <c r="O61" s="63"/>
      <c r="P61" s="63"/>
      <c r="Q61" s="63"/>
      <c r="U61" s="206"/>
    </row>
    <row r="62" spans="3:21" s="49" customFormat="1" ht="15.75" x14ac:dyDescent="0.25">
      <c r="C62" s="48"/>
      <c r="D62" s="60"/>
      <c r="E62" s="60"/>
      <c r="F62" s="60"/>
      <c r="G62" s="50"/>
      <c r="H62" s="61"/>
      <c r="I62" s="62"/>
      <c r="J62" s="62"/>
      <c r="K62" s="62"/>
      <c r="L62" s="62"/>
      <c r="M62" s="63"/>
      <c r="N62" s="63"/>
      <c r="O62" s="63"/>
      <c r="P62" s="63"/>
      <c r="Q62" s="63"/>
      <c r="U62" s="206"/>
    </row>
    <row r="63" spans="3:21" s="49" customFormat="1" ht="15.75" x14ac:dyDescent="0.25">
      <c r="C63" s="48"/>
      <c r="D63" s="60"/>
      <c r="E63" s="60"/>
      <c r="F63" s="60"/>
      <c r="G63" s="50"/>
      <c r="H63" s="61"/>
      <c r="I63" s="62"/>
      <c r="J63" s="62"/>
      <c r="K63" s="62"/>
      <c r="L63" s="62"/>
      <c r="M63" s="63"/>
      <c r="N63" s="63"/>
      <c r="O63" s="63"/>
      <c r="P63" s="63"/>
      <c r="Q63" s="63"/>
      <c r="U63" s="206"/>
    </row>
    <row r="64" spans="3:21" s="49" customFormat="1" ht="15.75" x14ac:dyDescent="0.25">
      <c r="C64" s="48"/>
      <c r="D64" s="60"/>
      <c r="E64" s="60"/>
      <c r="F64" s="60"/>
      <c r="G64" s="50"/>
      <c r="H64" s="61"/>
      <c r="I64" s="62"/>
      <c r="J64" s="62"/>
      <c r="K64" s="62"/>
      <c r="L64" s="62"/>
      <c r="M64" s="63"/>
      <c r="N64" s="63"/>
      <c r="O64" s="63"/>
      <c r="P64" s="63"/>
      <c r="Q64" s="63"/>
      <c r="U64" s="206"/>
    </row>
    <row r="65" spans="3:21" s="49" customFormat="1" ht="15.75" x14ac:dyDescent="0.25">
      <c r="C65" s="48"/>
      <c r="D65" s="60"/>
      <c r="E65" s="60"/>
      <c r="F65" s="60"/>
      <c r="G65" s="50"/>
      <c r="H65" s="61"/>
      <c r="I65" s="62"/>
      <c r="J65" s="62"/>
      <c r="K65" s="62"/>
      <c r="L65" s="62"/>
      <c r="M65" s="63"/>
      <c r="N65" s="63"/>
      <c r="O65" s="63"/>
      <c r="P65" s="63"/>
      <c r="Q65" s="63"/>
      <c r="U65" s="206"/>
    </row>
    <row r="66" spans="3:21" s="49" customFormat="1" ht="15.75" x14ac:dyDescent="0.25">
      <c r="C66" s="48"/>
      <c r="D66" s="60"/>
      <c r="E66" s="60"/>
      <c r="F66" s="60"/>
      <c r="G66" s="50"/>
      <c r="H66" s="61"/>
      <c r="I66" s="62"/>
      <c r="J66" s="62"/>
      <c r="K66" s="62"/>
      <c r="L66" s="62"/>
      <c r="M66" s="63"/>
      <c r="N66" s="63"/>
      <c r="O66" s="63"/>
      <c r="P66" s="63"/>
      <c r="Q66" s="63"/>
      <c r="U66" s="206"/>
    </row>
    <row r="67" spans="3:21" s="49" customFormat="1" ht="15.75" x14ac:dyDescent="0.25">
      <c r="C67" s="48"/>
      <c r="D67" s="60"/>
      <c r="E67" s="60"/>
      <c r="F67" s="60"/>
      <c r="G67" s="50"/>
      <c r="H67" s="61"/>
      <c r="I67" s="62"/>
      <c r="J67" s="62"/>
      <c r="K67" s="62"/>
      <c r="L67" s="62"/>
      <c r="M67" s="63"/>
      <c r="N67" s="63"/>
      <c r="O67" s="63"/>
      <c r="P67" s="63"/>
      <c r="Q67" s="63"/>
      <c r="U67" s="206"/>
    </row>
    <row r="68" spans="3:21" s="49" customFormat="1" ht="15.75" x14ac:dyDescent="0.25">
      <c r="C68" s="48"/>
      <c r="D68" s="60"/>
      <c r="E68" s="60"/>
      <c r="F68" s="60"/>
      <c r="G68" s="50"/>
      <c r="H68" s="61"/>
      <c r="I68" s="62"/>
      <c r="J68" s="62"/>
      <c r="K68" s="62"/>
      <c r="L68" s="62"/>
      <c r="M68" s="63"/>
      <c r="N68" s="63"/>
      <c r="O68" s="63"/>
      <c r="P68" s="63"/>
      <c r="Q68" s="63"/>
      <c r="U68" s="206"/>
    </row>
    <row r="69" spans="3:21" s="49" customFormat="1" ht="15.75" x14ac:dyDescent="0.25">
      <c r="C69" s="48"/>
      <c r="D69" s="60"/>
      <c r="E69" s="60"/>
      <c r="F69" s="60"/>
      <c r="G69" s="50"/>
      <c r="H69" s="61"/>
      <c r="I69" s="62"/>
      <c r="J69" s="62"/>
      <c r="K69" s="62"/>
      <c r="L69" s="62"/>
      <c r="M69" s="63"/>
      <c r="N69" s="63"/>
      <c r="O69" s="63"/>
      <c r="P69" s="63"/>
      <c r="Q69" s="63"/>
      <c r="U69" s="206"/>
    </row>
    <row r="70" spans="3:21" s="49" customFormat="1" ht="15.75" x14ac:dyDescent="0.25">
      <c r="C70" s="48"/>
      <c r="D70" s="60"/>
      <c r="E70" s="60"/>
      <c r="F70" s="60"/>
      <c r="G70" s="50"/>
      <c r="H70" s="61"/>
      <c r="I70" s="62"/>
      <c r="J70" s="62"/>
      <c r="K70" s="62"/>
      <c r="L70" s="62"/>
      <c r="M70" s="63"/>
      <c r="N70" s="63"/>
      <c r="O70" s="63"/>
      <c r="P70" s="63"/>
      <c r="Q70" s="63"/>
      <c r="U70" s="206"/>
    </row>
    <row r="71" spans="3:21" s="49" customFormat="1" ht="15.75" x14ac:dyDescent="0.25">
      <c r="C71" s="48"/>
      <c r="D71" s="60"/>
      <c r="E71" s="60"/>
      <c r="F71" s="60"/>
      <c r="G71" s="50"/>
      <c r="H71" s="61"/>
      <c r="I71" s="62"/>
      <c r="J71" s="62"/>
      <c r="K71" s="62"/>
      <c r="L71" s="62"/>
      <c r="M71" s="63"/>
      <c r="N71" s="63"/>
      <c r="O71" s="63"/>
      <c r="P71" s="63"/>
      <c r="Q71" s="63"/>
      <c r="U71" s="206"/>
    </row>
    <row r="72" spans="3:21" s="49" customFormat="1" ht="15.75" x14ac:dyDescent="0.25">
      <c r="C72" s="48"/>
      <c r="D72" s="60"/>
      <c r="E72" s="60"/>
      <c r="F72" s="60"/>
      <c r="G72" s="50"/>
      <c r="H72" s="61"/>
      <c r="I72" s="62"/>
      <c r="J72" s="62"/>
      <c r="K72" s="62"/>
      <c r="L72" s="62"/>
      <c r="M72" s="63"/>
      <c r="N72" s="63"/>
      <c r="O72" s="63"/>
      <c r="P72" s="63"/>
      <c r="Q72" s="63"/>
      <c r="U72" s="206"/>
    </row>
    <row r="73" spans="3:21" s="49" customFormat="1" ht="15.75" x14ac:dyDescent="0.25">
      <c r="C73" s="48"/>
      <c r="D73" s="60"/>
      <c r="E73" s="60"/>
      <c r="F73" s="60"/>
      <c r="G73" s="50"/>
      <c r="H73" s="61"/>
      <c r="I73" s="62"/>
      <c r="J73" s="62"/>
      <c r="K73" s="62"/>
      <c r="L73" s="62"/>
      <c r="M73" s="63"/>
      <c r="N73" s="63"/>
      <c r="O73" s="63"/>
      <c r="P73" s="63"/>
      <c r="Q73" s="63"/>
      <c r="U73" s="206"/>
    </row>
    <row r="74" spans="3:21" s="49" customFormat="1" ht="15.75" x14ac:dyDescent="0.25">
      <c r="C74" s="48"/>
      <c r="D74" s="60"/>
      <c r="E74" s="60"/>
      <c r="F74" s="60"/>
      <c r="G74" s="50"/>
      <c r="H74" s="61"/>
      <c r="I74" s="62"/>
      <c r="J74" s="62"/>
      <c r="K74" s="62"/>
      <c r="L74" s="62"/>
      <c r="M74" s="63"/>
      <c r="N74" s="63"/>
      <c r="O74" s="63"/>
      <c r="P74" s="63"/>
      <c r="Q74" s="63"/>
      <c r="U74" s="206"/>
    </row>
    <row r="75" spans="3:21" s="49" customFormat="1" ht="15.75" x14ac:dyDescent="0.25">
      <c r="C75" s="48"/>
      <c r="D75" s="60"/>
      <c r="E75" s="60"/>
      <c r="F75" s="60"/>
      <c r="G75" s="50"/>
      <c r="H75" s="61"/>
      <c r="I75" s="62"/>
      <c r="J75" s="62"/>
      <c r="K75" s="62"/>
      <c r="L75" s="62"/>
      <c r="M75" s="63"/>
      <c r="N75" s="63"/>
      <c r="O75" s="63"/>
      <c r="P75" s="63"/>
      <c r="Q75" s="63"/>
      <c r="U75" s="206"/>
    </row>
    <row r="76" spans="3:21" s="49" customFormat="1" ht="15.75" x14ac:dyDescent="0.25">
      <c r="C76" s="48"/>
      <c r="D76" s="60"/>
      <c r="E76" s="60"/>
      <c r="F76" s="60"/>
      <c r="G76" s="50"/>
      <c r="H76" s="61"/>
      <c r="I76" s="62"/>
      <c r="J76" s="62"/>
      <c r="K76" s="62"/>
      <c r="L76" s="62"/>
      <c r="M76" s="63"/>
      <c r="N76" s="63"/>
      <c r="O76" s="63"/>
      <c r="P76" s="63"/>
      <c r="Q76" s="63"/>
      <c r="U76" s="206"/>
    </row>
    <row r="77" spans="3:21" s="49" customFormat="1" ht="15.75" x14ac:dyDescent="0.25">
      <c r="C77" s="48"/>
      <c r="D77" s="60"/>
      <c r="E77" s="60"/>
      <c r="F77" s="60"/>
      <c r="G77" s="50"/>
      <c r="H77" s="61"/>
      <c r="I77" s="62"/>
      <c r="J77" s="62"/>
      <c r="K77" s="62"/>
      <c r="L77" s="62"/>
      <c r="M77" s="63"/>
      <c r="N77" s="63"/>
      <c r="O77" s="63"/>
      <c r="P77" s="63"/>
      <c r="Q77" s="63"/>
      <c r="U77" s="206"/>
    </row>
    <row r="78" spans="3:21" s="49" customFormat="1" ht="15.75" x14ac:dyDescent="0.25">
      <c r="C78" s="48"/>
      <c r="D78" s="60"/>
      <c r="E78" s="60"/>
      <c r="F78" s="60"/>
      <c r="G78" s="50"/>
      <c r="H78" s="61"/>
      <c r="I78" s="62"/>
      <c r="J78" s="62"/>
      <c r="K78" s="62"/>
      <c r="L78" s="62"/>
      <c r="M78" s="63"/>
      <c r="N78" s="63"/>
      <c r="O78" s="63"/>
      <c r="P78" s="63"/>
      <c r="Q78" s="63"/>
      <c r="U78" s="206"/>
    </row>
    <row r="79" spans="3:21" s="49" customFormat="1" ht="15.75" x14ac:dyDescent="0.25">
      <c r="C79" s="48"/>
      <c r="D79" s="60"/>
      <c r="E79" s="60"/>
      <c r="F79" s="60"/>
      <c r="G79" s="50"/>
      <c r="H79" s="61"/>
      <c r="I79" s="62"/>
      <c r="J79" s="62"/>
      <c r="K79" s="62"/>
      <c r="L79" s="62"/>
      <c r="M79" s="63"/>
      <c r="N79" s="63"/>
      <c r="O79" s="63"/>
      <c r="P79" s="63"/>
      <c r="Q79" s="63"/>
      <c r="U79" s="206"/>
    </row>
    <row r="80" spans="3:21" s="49" customFormat="1" ht="15.75" x14ac:dyDescent="0.25">
      <c r="C80" s="48"/>
      <c r="D80" s="60"/>
      <c r="E80" s="60"/>
      <c r="F80" s="60"/>
      <c r="G80" s="50"/>
      <c r="H80" s="61"/>
      <c r="I80" s="62"/>
      <c r="J80" s="62"/>
      <c r="K80" s="62"/>
      <c r="L80" s="62"/>
      <c r="M80" s="63"/>
      <c r="N80" s="63"/>
      <c r="O80" s="63"/>
      <c r="P80" s="63"/>
      <c r="Q80" s="63"/>
      <c r="U80" s="206"/>
    </row>
    <row r="81" spans="3:21" s="49" customFormat="1" ht="15.75" x14ac:dyDescent="0.25">
      <c r="C81" s="48"/>
      <c r="D81" s="60"/>
      <c r="E81" s="60"/>
      <c r="F81" s="60"/>
      <c r="G81" s="50"/>
      <c r="H81" s="61"/>
      <c r="I81" s="62"/>
      <c r="J81" s="62"/>
      <c r="K81" s="62"/>
      <c r="L81" s="62"/>
      <c r="M81" s="63"/>
      <c r="N81" s="63"/>
      <c r="O81" s="63"/>
      <c r="P81" s="63"/>
      <c r="Q81" s="63"/>
      <c r="U81" s="206"/>
    </row>
    <row r="82" spans="3:21" s="49" customFormat="1" ht="15.75" x14ac:dyDescent="0.25">
      <c r="C82" s="48"/>
      <c r="D82" s="60"/>
      <c r="E82" s="60"/>
      <c r="F82" s="60"/>
      <c r="G82" s="50"/>
      <c r="H82" s="61"/>
      <c r="I82" s="62"/>
      <c r="J82" s="62"/>
      <c r="K82" s="62"/>
      <c r="L82" s="62"/>
      <c r="M82" s="63"/>
      <c r="N82" s="63"/>
      <c r="O82" s="63"/>
      <c r="P82" s="63"/>
      <c r="Q82" s="63"/>
      <c r="U82" s="206"/>
    </row>
    <row r="83" spans="3:21" s="49" customFormat="1" ht="15.75" x14ac:dyDescent="0.25">
      <c r="C83" s="48"/>
      <c r="D83" s="60"/>
      <c r="E83" s="60"/>
      <c r="F83" s="60"/>
      <c r="G83" s="50"/>
      <c r="H83" s="61"/>
      <c r="I83" s="62"/>
      <c r="J83" s="62"/>
      <c r="K83" s="62"/>
      <c r="L83" s="62"/>
      <c r="M83" s="63"/>
      <c r="N83" s="63"/>
      <c r="O83" s="63"/>
      <c r="P83" s="63"/>
      <c r="Q83" s="63"/>
      <c r="U83" s="206"/>
    </row>
    <row r="84" spans="3:21" s="49" customFormat="1" ht="15.75" x14ac:dyDescent="0.25">
      <c r="C84" s="48"/>
      <c r="D84" s="60"/>
      <c r="E84" s="60"/>
      <c r="F84" s="60"/>
      <c r="G84" s="50"/>
      <c r="H84" s="61"/>
      <c r="I84" s="62"/>
      <c r="J84" s="62"/>
      <c r="K84" s="62"/>
      <c r="L84" s="62"/>
      <c r="M84" s="63"/>
      <c r="N84" s="63"/>
      <c r="O84" s="63"/>
      <c r="P84" s="63"/>
      <c r="Q84" s="63"/>
      <c r="U84" s="206"/>
    </row>
    <row r="85" spans="3:21" s="49" customFormat="1" ht="15.75" x14ac:dyDescent="0.25">
      <c r="C85" s="48"/>
      <c r="D85" s="60"/>
      <c r="E85" s="60"/>
      <c r="F85" s="60"/>
      <c r="G85" s="50"/>
      <c r="H85" s="61"/>
      <c r="I85" s="62"/>
      <c r="J85" s="62"/>
      <c r="K85" s="62"/>
      <c r="L85" s="62"/>
      <c r="M85" s="63"/>
      <c r="N85" s="63"/>
      <c r="O85" s="63"/>
      <c r="P85" s="63"/>
      <c r="Q85" s="63"/>
      <c r="U85" s="206"/>
    </row>
    <row r="86" spans="3:21" s="49" customFormat="1" ht="15.75" x14ac:dyDescent="0.25">
      <c r="C86" s="48"/>
      <c r="D86" s="60"/>
      <c r="E86" s="60"/>
      <c r="F86" s="60"/>
      <c r="G86" s="50"/>
      <c r="H86" s="61"/>
      <c r="I86" s="62"/>
      <c r="J86" s="62"/>
      <c r="K86" s="62"/>
      <c r="L86" s="62"/>
      <c r="M86" s="63"/>
      <c r="N86" s="63"/>
      <c r="O86" s="63"/>
      <c r="P86" s="63"/>
      <c r="Q86" s="63"/>
      <c r="U86" s="206"/>
    </row>
    <row r="87" spans="3:21" s="49" customFormat="1" ht="15.75" x14ac:dyDescent="0.25">
      <c r="C87" s="48"/>
      <c r="D87" s="60"/>
      <c r="E87" s="60"/>
      <c r="F87" s="60"/>
      <c r="G87" s="50"/>
      <c r="H87" s="61"/>
      <c r="I87" s="62"/>
      <c r="J87" s="62"/>
      <c r="K87" s="62"/>
      <c r="L87" s="62"/>
      <c r="M87" s="63"/>
      <c r="N87" s="63"/>
      <c r="O87" s="63"/>
      <c r="P87" s="63"/>
      <c r="Q87" s="63"/>
      <c r="U87" s="206"/>
    </row>
    <row r="88" spans="3:21" s="49" customFormat="1" ht="15.75" x14ac:dyDescent="0.25">
      <c r="C88" s="48"/>
      <c r="D88" s="60"/>
      <c r="E88" s="60"/>
      <c r="F88" s="60"/>
      <c r="G88" s="50"/>
      <c r="H88" s="61"/>
      <c r="I88" s="62"/>
      <c r="J88" s="62"/>
      <c r="K88" s="62"/>
      <c r="L88" s="62"/>
      <c r="M88" s="63"/>
      <c r="N88" s="63"/>
      <c r="O88" s="63"/>
      <c r="P88" s="63"/>
      <c r="Q88" s="63"/>
      <c r="U88" s="206"/>
    </row>
    <row r="89" spans="3:21" s="49" customFormat="1" ht="15.75" x14ac:dyDescent="0.25">
      <c r="C89" s="48"/>
      <c r="D89" s="60"/>
      <c r="E89" s="60"/>
      <c r="F89" s="60"/>
      <c r="G89" s="50"/>
      <c r="H89" s="61"/>
      <c r="I89" s="62"/>
      <c r="J89" s="62"/>
      <c r="K89" s="62"/>
      <c r="L89" s="62"/>
      <c r="M89" s="63"/>
      <c r="N89" s="63"/>
      <c r="O89" s="63"/>
      <c r="P89" s="63"/>
      <c r="Q89" s="63"/>
      <c r="U89" s="206"/>
    </row>
    <row r="90" spans="3:21" s="49" customFormat="1" ht="15.75" x14ac:dyDescent="0.25">
      <c r="C90" s="48"/>
      <c r="D90" s="60"/>
      <c r="E90" s="60"/>
      <c r="F90" s="60"/>
      <c r="G90" s="50"/>
      <c r="H90" s="61"/>
      <c r="I90" s="62"/>
      <c r="J90" s="62"/>
      <c r="K90" s="62"/>
      <c r="L90" s="62"/>
      <c r="M90" s="63"/>
      <c r="N90" s="63"/>
      <c r="O90" s="63"/>
      <c r="P90" s="63"/>
      <c r="Q90" s="63"/>
      <c r="U90" s="206"/>
    </row>
    <row r="91" spans="3:21" s="49" customFormat="1" ht="15.75" x14ac:dyDescent="0.25">
      <c r="C91" s="48"/>
      <c r="D91" s="60"/>
      <c r="E91" s="60"/>
      <c r="F91" s="60"/>
      <c r="G91" s="50"/>
      <c r="H91" s="61"/>
      <c r="I91" s="62"/>
      <c r="J91" s="62"/>
      <c r="K91" s="62"/>
      <c r="L91" s="62"/>
      <c r="M91" s="63"/>
      <c r="N91" s="63"/>
      <c r="O91" s="63"/>
      <c r="P91" s="63"/>
      <c r="Q91" s="63"/>
      <c r="U91" s="206"/>
    </row>
    <row r="92" spans="3:21" s="49" customFormat="1" ht="15.75" x14ac:dyDescent="0.25">
      <c r="C92" s="48"/>
      <c r="D92" s="60"/>
      <c r="E92" s="60"/>
      <c r="F92" s="60"/>
      <c r="G92" s="50"/>
      <c r="H92" s="61"/>
      <c r="I92" s="62"/>
      <c r="J92" s="62"/>
      <c r="K92" s="62"/>
      <c r="L92" s="62"/>
      <c r="M92" s="63"/>
      <c r="N92" s="63"/>
      <c r="O92" s="63"/>
      <c r="P92" s="63"/>
      <c r="Q92" s="63"/>
      <c r="U92" s="206"/>
    </row>
    <row r="93" spans="3:21" s="49" customFormat="1" ht="15.75" x14ac:dyDescent="0.25">
      <c r="C93" s="48"/>
      <c r="D93" s="60"/>
      <c r="E93" s="60"/>
      <c r="F93" s="60"/>
      <c r="G93" s="50"/>
      <c r="H93" s="61"/>
      <c r="I93" s="62"/>
      <c r="J93" s="62"/>
      <c r="K93" s="62"/>
      <c r="L93" s="62"/>
      <c r="M93" s="63"/>
      <c r="N93" s="63"/>
      <c r="O93" s="63"/>
      <c r="P93" s="63"/>
      <c r="Q93" s="63"/>
      <c r="U93" s="206"/>
    </row>
    <row r="94" spans="3:21" s="49" customFormat="1" ht="15.75" x14ac:dyDescent="0.25">
      <c r="C94" s="48"/>
      <c r="D94" s="60"/>
      <c r="E94" s="60"/>
      <c r="F94" s="60"/>
      <c r="G94" s="50"/>
      <c r="H94" s="61"/>
      <c r="I94" s="62"/>
      <c r="J94" s="62"/>
      <c r="K94" s="62"/>
      <c r="L94" s="62"/>
      <c r="M94" s="63"/>
      <c r="N94" s="63"/>
      <c r="O94" s="63"/>
      <c r="P94" s="63"/>
      <c r="Q94" s="63"/>
      <c r="U94" s="206"/>
    </row>
    <row r="95" spans="3:21" s="49" customFormat="1" ht="15.75" x14ac:dyDescent="0.25">
      <c r="C95" s="48"/>
      <c r="D95" s="60"/>
      <c r="E95" s="60"/>
      <c r="F95" s="60"/>
      <c r="G95" s="50"/>
      <c r="H95" s="61"/>
      <c r="I95" s="62"/>
      <c r="J95" s="62"/>
      <c r="K95" s="62"/>
      <c r="L95" s="62"/>
      <c r="M95" s="63"/>
      <c r="N95" s="63"/>
      <c r="O95" s="63"/>
      <c r="P95" s="63"/>
      <c r="Q95" s="63"/>
      <c r="U95" s="206"/>
    </row>
    <row r="96" spans="3:21" s="49" customFormat="1" ht="15.75" x14ac:dyDescent="0.25">
      <c r="C96" s="48"/>
      <c r="D96" s="60"/>
      <c r="E96" s="60"/>
      <c r="F96" s="60"/>
      <c r="G96" s="50"/>
      <c r="H96" s="61"/>
      <c r="I96" s="62"/>
      <c r="J96" s="62"/>
      <c r="K96" s="62"/>
      <c r="L96" s="62"/>
      <c r="M96" s="63"/>
      <c r="N96" s="63"/>
      <c r="O96" s="63"/>
      <c r="P96" s="63"/>
      <c r="Q96" s="63"/>
      <c r="U96" s="206"/>
    </row>
    <row r="97" spans="3:21" s="49" customFormat="1" ht="15.75" x14ac:dyDescent="0.25">
      <c r="C97" s="48"/>
      <c r="D97" s="60"/>
      <c r="E97" s="60"/>
      <c r="F97" s="60"/>
      <c r="G97" s="50"/>
      <c r="H97" s="61"/>
      <c r="I97" s="62"/>
      <c r="J97" s="62"/>
      <c r="K97" s="62"/>
      <c r="L97" s="62"/>
      <c r="M97" s="63"/>
      <c r="N97" s="63"/>
      <c r="O97" s="63"/>
      <c r="P97" s="63"/>
      <c r="Q97" s="63"/>
      <c r="U97" s="206"/>
    </row>
    <row r="98" spans="3:21" s="49" customFormat="1" ht="15.75" x14ac:dyDescent="0.25">
      <c r="C98" s="48"/>
      <c r="D98" s="60"/>
      <c r="E98" s="60"/>
      <c r="F98" s="60"/>
      <c r="G98" s="50"/>
      <c r="H98" s="61"/>
      <c r="I98" s="62"/>
      <c r="J98" s="62"/>
      <c r="K98" s="62"/>
      <c r="L98" s="62"/>
      <c r="M98" s="63"/>
      <c r="N98" s="63"/>
      <c r="O98" s="63"/>
      <c r="P98" s="63"/>
      <c r="Q98" s="63"/>
      <c r="U98" s="206"/>
    </row>
    <row r="99" spans="3:21" s="49" customFormat="1" ht="15.75" x14ac:dyDescent="0.25">
      <c r="C99" s="48"/>
      <c r="D99" s="60"/>
      <c r="E99" s="60"/>
      <c r="F99" s="60"/>
      <c r="G99" s="50"/>
      <c r="H99" s="61"/>
      <c r="I99" s="62"/>
      <c r="J99" s="62"/>
      <c r="K99" s="62"/>
      <c r="L99" s="62"/>
      <c r="M99" s="63"/>
      <c r="N99" s="63"/>
      <c r="O99" s="63"/>
      <c r="P99" s="63"/>
      <c r="Q99" s="63"/>
      <c r="U99" s="206"/>
    </row>
    <row r="100" spans="3:21" s="49" customFormat="1" ht="15.75" x14ac:dyDescent="0.25">
      <c r="C100" s="48"/>
      <c r="D100" s="60"/>
      <c r="E100" s="60"/>
      <c r="F100" s="60"/>
      <c r="G100" s="50"/>
      <c r="H100" s="61"/>
      <c r="I100" s="62"/>
      <c r="J100" s="62"/>
      <c r="K100" s="62"/>
      <c r="L100" s="62"/>
      <c r="M100" s="63"/>
      <c r="N100" s="63"/>
      <c r="O100" s="63"/>
      <c r="P100" s="63"/>
      <c r="Q100" s="63"/>
      <c r="U100" s="206"/>
    </row>
    <row r="101" spans="3:21" s="49" customFormat="1" ht="15.75" x14ac:dyDescent="0.25">
      <c r="C101" s="48"/>
      <c r="D101" s="60"/>
      <c r="E101" s="60"/>
      <c r="F101" s="60"/>
      <c r="G101" s="50"/>
      <c r="H101" s="61"/>
      <c r="I101" s="62"/>
      <c r="J101" s="62"/>
      <c r="K101" s="62"/>
      <c r="L101" s="62"/>
      <c r="M101" s="63"/>
      <c r="N101" s="63"/>
      <c r="O101" s="63"/>
      <c r="P101" s="63"/>
      <c r="Q101" s="63"/>
      <c r="U101" s="206"/>
    </row>
    <row r="102" spans="3:21" s="49" customFormat="1" ht="15.75" x14ac:dyDescent="0.25">
      <c r="C102" s="48"/>
      <c r="D102" s="60"/>
      <c r="E102" s="60"/>
      <c r="F102" s="60"/>
      <c r="G102" s="50"/>
      <c r="H102" s="61"/>
      <c r="I102" s="62"/>
      <c r="J102" s="62"/>
      <c r="K102" s="62"/>
      <c r="L102" s="62"/>
      <c r="M102" s="63"/>
      <c r="N102" s="63"/>
      <c r="O102" s="63"/>
      <c r="P102" s="63"/>
      <c r="Q102" s="63"/>
      <c r="U102" s="206"/>
    </row>
    <row r="103" spans="3:21" s="49" customFormat="1" ht="15.75" x14ac:dyDescent="0.25">
      <c r="C103" s="48"/>
      <c r="D103" s="60"/>
      <c r="E103" s="60"/>
      <c r="F103" s="60"/>
      <c r="G103" s="50"/>
      <c r="H103" s="61"/>
      <c r="I103" s="62"/>
      <c r="J103" s="62"/>
      <c r="K103" s="62"/>
      <c r="L103" s="62"/>
      <c r="M103" s="63"/>
      <c r="N103" s="63"/>
      <c r="O103" s="63"/>
      <c r="P103" s="63"/>
      <c r="Q103" s="63"/>
      <c r="U103" s="206"/>
    </row>
    <row r="104" spans="3:21" s="49" customFormat="1" ht="15.75" x14ac:dyDescent="0.25">
      <c r="C104" s="48"/>
      <c r="D104" s="60"/>
      <c r="E104" s="60"/>
      <c r="F104" s="60"/>
      <c r="G104" s="50"/>
      <c r="H104" s="61"/>
      <c r="I104" s="62"/>
      <c r="J104" s="62"/>
      <c r="K104" s="62"/>
      <c r="L104" s="62"/>
      <c r="M104" s="63"/>
      <c r="N104" s="63"/>
      <c r="O104" s="63"/>
      <c r="P104" s="63"/>
      <c r="Q104" s="63"/>
      <c r="U104" s="206"/>
    </row>
    <row r="105" spans="3:21" s="49" customFormat="1" ht="15.75" x14ac:dyDescent="0.25">
      <c r="C105" s="48"/>
      <c r="D105" s="60"/>
      <c r="E105" s="60"/>
      <c r="F105" s="60"/>
      <c r="G105" s="50"/>
      <c r="H105" s="61"/>
      <c r="I105" s="62"/>
      <c r="J105" s="62"/>
      <c r="K105" s="62"/>
      <c r="L105" s="62"/>
      <c r="M105" s="63"/>
      <c r="N105" s="63"/>
      <c r="O105" s="63"/>
      <c r="P105" s="63"/>
      <c r="Q105" s="63"/>
      <c r="U105" s="206"/>
    </row>
    <row r="106" spans="3:21" s="49" customFormat="1" ht="15.75" x14ac:dyDescent="0.25">
      <c r="C106" s="48"/>
      <c r="D106" s="60"/>
      <c r="E106" s="60"/>
      <c r="F106" s="60"/>
      <c r="G106" s="50"/>
      <c r="H106" s="61"/>
      <c r="I106" s="62"/>
      <c r="J106" s="62"/>
      <c r="K106" s="62"/>
      <c r="L106" s="62"/>
      <c r="M106" s="63"/>
      <c r="N106" s="63"/>
      <c r="O106" s="63"/>
      <c r="P106" s="63"/>
      <c r="Q106" s="63"/>
      <c r="U106" s="206"/>
    </row>
    <row r="107" spans="3:21" s="49" customFormat="1" ht="15.75" x14ac:dyDescent="0.25">
      <c r="C107" s="48"/>
      <c r="D107" s="60"/>
      <c r="E107" s="60"/>
      <c r="F107" s="60"/>
      <c r="G107" s="50"/>
      <c r="H107" s="61"/>
      <c r="I107" s="62"/>
      <c r="J107" s="62"/>
      <c r="K107" s="62"/>
      <c r="L107" s="62"/>
      <c r="M107" s="63"/>
      <c r="N107" s="63"/>
      <c r="O107" s="63"/>
      <c r="P107" s="63"/>
      <c r="Q107" s="63"/>
      <c r="U107" s="206"/>
    </row>
    <row r="108" spans="3:21" s="49" customFormat="1" ht="15.75" x14ac:dyDescent="0.25">
      <c r="C108" s="48"/>
      <c r="D108" s="60"/>
      <c r="E108" s="60"/>
      <c r="F108" s="60"/>
      <c r="G108" s="50"/>
      <c r="H108" s="61"/>
      <c r="I108" s="44"/>
      <c r="J108" s="44"/>
      <c r="K108" s="44"/>
      <c r="L108" s="44"/>
      <c r="M108" s="64"/>
      <c r="N108" s="64"/>
      <c r="U108" s="206"/>
    </row>
    <row r="109" spans="3:21" s="49" customFormat="1" ht="15.75" x14ac:dyDescent="0.25">
      <c r="C109" s="48"/>
      <c r="D109" s="60"/>
      <c r="E109" s="60"/>
      <c r="F109" s="60"/>
      <c r="G109" s="50"/>
      <c r="H109" s="61"/>
      <c r="I109" s="44"/>
      <c r="J109" s="44"/>
      <c r="K109" s="44"/>
      <c r="L109" s="44"/>
      <c r="M109" s="64"/>
      <c r="N109" s="64"/>
      <c r="U109" s="206"/>
    </row>
    <row r="110" spans="3:21" s="49" customFormat="1" ht="15.75" x14ac:dyDescent="0.25">
      <c r="C110" s="48"/>
      <c r="D110" s="60"/>
      <c r="E110" s="60"/>
      <c r="F110" s="60"/>
      <c r="G110" s="50"/>
      <c r="H110" s="61"/>
      <c r="I110" s="44"/>
      <c r="J110" s="44"/>
      <c r="K110" s="44"/>
      <c r="L110" s="44"/>
      <c r="M110" s="64"/>
      <c r="N110" s="64"/>
      <c r="U110" s="206"/>
    </row>
    <row r="111" spans="3:21" s="49" customFormat="1" ht="15.75" x14ac:dyDescent="0.25">
      <c r="C111" s="48"/>
      <c r="D111" s="60"/>
      <c r="E111" s="60"/>
      <c r="F111" s="60"/>
      <c r="G111" s="50"/>
      <c r="H111" s="61"/>
      <c r="I111" s="44"/>
      <c r="J111" s="44"/>
      <c r="K111" s="44"/>
      <c r="L111" s="44"/>
      <c r="M111" s="64"/>
      <c r="N111" s="64"/>
      <c r="U111" s="206"/>
    </row>
    <row r="112" spans="3:21" s="49" customFormat="1" ht="15.75" x14ac:dyDescent="0.25">
      <c r="C112" s="48"/>
      <c r="D112" s="60"/>
      <c r="E112" s="60"/>
      <c r="F112" s="60"/>
      <c r="G112" s="50"/>
      <c r="H112" s="61"/>
      <c r="I112" s="44"/>
      <c r="J112" s="44"/>
      <c r="K112" s="44"/>
      <c r="L112" s="44"/>
      <c r="M112" s="64"/>
      <c r="N112" s="64"/>
      <c r="U112" s="206"/>
    </row>
    <row r="113" spans="3:21" s="49" customFormat="1" ht="15.75" x14ac:dyDescent="0.25">
      <c r="C113" s="48"/>
      <c r="D113" s="60"/>
      <c r="E113" s="60"/>
      <c r="F113" s="60"/>
      <c r="G113" s="50"/>
      <c r="H113" s="61"/>
      <c r="I113" s="44"/>
      <c r="J113" s="44"/>
      <c r="K113" s="44"/>
      <c r="L113" s="44"/>
      <c r="M113" s="64"/>
      <c r="N113" s="64"/>
      <c r="U113" s="206"/>
    </row>
    <row r="114" spans="3:21" s="49" customFormat="1" ht="15.75" x14ac:dyDescent="0.25">
      <c r="C114" s="48"/>
      <c r="D114" s="60"/>
      <c r="E114" s="60"/>
      <c r="F114" s="60"/>
      <c r="G114" s="50"/>
      <c r="H114" s="61"/>
      <c r="I114" s="44"/>
      <c r="J114" s="44"/>
      <c r="K114" s="44"/>
      <c r="L114" s="44"/>
      <c r="M114" s="64"/>
      <c r="N114" s="64"/>
      <c r="U114" s="206"/>
    </row>
    <row r="115" spans="3:21" s="49" customFormat="1" ht="15.75" x14ac:dyDescent="0.25">
      <c r="C115" s="48"/>
      <c r="D115" s="60"/>
      <c r="E115" s="60"/>
      <c r="F115" s="60"/>
      <c r="G115" s="50"/>
      <c r="H115" s="61"/>
      <c r="I115" s="44"/>
      <c r="J115" s="44"/>
      <c r="K115" s="44"/>
      <c r="L115" s="44"/>
      <c r="M115" s="64"/>
      <c r="N115" s="64"/>
      <c r="U115" s="206"/>
    </row>
    <row r="116" spans="3:21" s="49" customFormat="1" ht="15.75" x14ac:dyDescent="0.25">
      <c r="C116" s="48"/>
      <c r="D116" s="60"/>
      <c r="E116" s="60"/>
      <c r="F116" s="60"/>
      <c r="G116" s="50"/>
      <c r="H116" s="61"/>
      <c r="I116" s="44"/>
      <c r="J116" s="44"/>
      <c r="K116" s="44"/>
      <c r="L116" s="44"/>
      <c r="M116" s="64"/>
      <c r="N116" s="64"/>
      <c r="U116" s="206"/>
    </row>
    <row r="117" spans="3:21" s="49" customFormat="1" ht="15.75" x14ac:dyDescent="0.25">
      <c r="C117" s="48"/>
      <c r="D117" s="60"/>
      <c r="E117" s="60"/>
      <c r="F117" s="60"/>
      <c r="G117" s="50"/>
      <c r="H117" s="61"/>
      <c r="I117" s="44"/>
      <c r="J117" s="44"/>
      <c r="K117" s="44"/>
      <c r="L117" s="44"/>
      <c r="M117" s="64"/>
      <c r="N117" s="64"/>
      <c r="U117" s="206"/>
    </row>
    <row r="118" spans="3:21" s="49" customFormat="1" ht="15.75" x14ac:dyDescent="0.25">
      <c r="C118" s="48"/>
      <c r="D118" s="60"/>
      <c r="E118" s="60"/>
      <c r="F118" s="60"/>
      <c r="G118" s="50"/>
      <c r="H118" s="61"/>
      <c r="I118" s="44"/>
      <c r="J118" s="44"/>
      <c r="K118" s="44"/>
      <c r="L118" s="44"/>
      <c r="M118" s="64"/>
      <c r="N118" s="64"/>
      <c r="U118" s="206"/>
    </row>
    <row r="119" spans="3:21" s="49" customFormat="1" ht="15.75" x14ac:dyDescent="0.25">
      <c r="C119" s="48"/>
      <c r="D119" s="60"/>
      <c r="E119" s="60"/>
      <c r="F119" s="60"/>
      <c r="G119" s="50"/>
      <c r="H119" s="61"/>
      <c r="I119" s="44"/>
      <c r="J119" s="44"/>
      <c r="K119" s="44"/>
      <c r="L119" s="44"/>
      <c r="M119" s="64"/>
      <c r="N119" s="64"/>
      <c r="U119" s="206"/>
    </row>
    <row r="120" spans="3:21" s="49" customFormat="1" ht="15.75" x14ac:dyDescent="0.25">
      <c r="C120" s="48"/>
      <c r="D120" s="60"/>
      <c r="E120" s="60"/>
      <c r="F120" s="60"/>
      <c r="G120" s="50"/>
      <c r="H120" s="61"/>
      <c r="I120" s="44"/>
      <c r="J120" s="44"/>
      <c r="K120" s="44"/>
      <c r="L120" s="44"/>
      <c r="M120" s="64"/>
      <c r="N120" s="64"/>
      <c r="U120" s="206"/>
    </row>
    <row r="121" spans="3:21" s="49" customFormat="1" ht="15.75" x14ac:dyDescent="0.25">
      <c r="C121" s="48"/>
      <c r="D121" s="60"/>
      <c r="E121" s="60"/>
      <c r="F121" s="60"/>
      <c r="G121" s="50"/>
      <c r="H121" s="61"/>
      <c r="I121" s="44"/>
      <c r="J121" s="44"/>
      <c r="K121" s="44"/>
      <c r="L121" s="44"/>
      <c r="M121" s="64"/>
      <c r="N121" s="64"/>
      <c r="U121" s="206"/>
    </row>
    <row r="122" spans="3:21" s="49" customFormat="1" ht="15.75" x14ac:dyDescent="0.25">
      <c r="C122" s="48"/>
      <c r="D122" s="60"/>
      <c r="E122" s="60"/>
      <c r="F122" s="60"/>
      <c r="G122" s="50"/>
      <c r="H122" s="61"/>
      <c r="I122" s="44"/>
      <c r="J122" s="44"/>
      <c r="K122" s="44"/>
      <c r="L122" s="44"/>
      <c r="M122" s="64"/>
      <c r="N122" s="64"/>
      <c r="U122" s="206"/>
    </row>
    <row r="123" spans="3:21" s="49" customFormat="1" ht="15.75" x14ac:dyDescent="0.25">
      <c r="C123" s="48"/>
      <c r="D123" s="60"/>
      <c r="E123" s="60"/>
      <c r="F123" s="60"/>
      <c r="G123" s="50"/>
      <c r="H123" s="61"/>
      <c r="I123" s="44"/>
      <c r="J123" s="44"/>
      <c r="K123" s="44"/>
      <c r="L123" s="44"/>
      <c r="M123" s="64"/>
      <c r="N123" s="64"/>
      <c r="U123" s="206"/>
    </row>
    <row r="124" spans="3:21" s="49" customFormat="1" ht="15.75" x14ac:dyDescent="0.25">
      <c r="C124" s="48"/>
      <c r="D124" s="60"/>
      <c r="E124" s="60"/>
      <c r="F124" s="60"/>
      <c r="G124" s="50"/>
      <c r="H124" s="61"/>
      <c r="I124" s="44"/>
      <c r="J124" s="44"/>
      <c r="K124" s="44"/>
      <c r="L124" s="44"/>
      <c r="M124" s="64"/>
      <c r="N124" s="64"/>
      <c r="U124" s="206"/>
    </row>
    <row r="125" spans="3:21" s="49" customFormat="1" ht="15.75" x14ac:dyDescent="0.25">
      <c r="C125" s="48"/>
      <c r="D125" s="60"/>
      <c r="E125" s="60"/>
      <c r="F125" s="60"/>
      <c r="G125" s="50"/>
      <c r="H125" s="61"/>
      <c r="I125" s="44"/>
      <c r="J125" s="44"/>
      <c r="K125" s="44"/>
      <c r="L125" s="44"/>
      <c r="M125" s="64"/>
      <c r="N125" s="64"/>
      <c r="U125" s="206"/>
    </row>
    <row r="126" spans="3:21" s="49" customFormat="1" ht="15.75" x14ac:dyDescent="0.25">
      <c r="C126" s="48"/>
      <c r="D126" s="60"/>
      <c r="E126" s="60"/>
      <c r="F126" s="60"/>
      <c r="G126" s="50"/>
      <c r="H126" s="61"/>
      <c r="I126" s="44"/>
      <c r="J126" s="44"/>
      <c r="K126" s="44"/>
      <c r="L126" s="44"/>
      <c r="M126" s="64"/>
      <c r="N126" s="64"/>
      <c r="U126" s="206"/>
    </row>
    <row r="127" spans="3:21" s="49" customFormat="1" ht="15.75" x14ac:dyDescent="0.25">
      <c r="C127" s="48"/>
      <c r="D127" s="60"/>
      <c r="E127" s="60"/>
      <c r="F127" s="60"/>
      <c r="G127" s="50"/>
      <c r="H127" s="61"/>
      <c r="I127" s="44"/>
      <c r="J127" s="44"/>
      <c r="K127" s="44"/>
      <c r="L127" s="44"/>
      <c r="M127" s="64"/>
      <c r="N127" s="64"/>
      <c r="U127" s="206"/>
    </row>
    <row r="128" spans="3:21" s="49" customFormat="1" ht="15.75" x14ac:dyDescent="0.25">
      <c r="C128" s="48"/>
      <c r="D128" s="60"/>
      <c r="E128" s="60"/>
      <c r="F128" s="60"/>
      <c r="G128" s="50"/>
      <c r="H128" s="61"/>
      <c r="I128" s="44"/>
      <c r="J128" s="44"/>
      <c r="K128" s="44"/>
      <c r="L128" s="44"/>
      <c r="M128" s="64"/>
      <c r="N128" s="64"/>
      <c r="U128" s="206"/>
    </row>
    <row r="129" spans="3:21" s="49" customFormat="1" ht="15.75" x14ac:dyDescent="0.25">
      <c r="C129" s="48"/>
      <c r="D129" s="60"/>
      <c r="E129" s="60"/>
      <c r="F129" s="60"/>
      <c r="G129" s="50"/>
      <c r="H129" s="61"/>
      <c r="I129" s="44"/>
      <c r="J129" s="44"/>
      <c r="K129" s="44"/>
      <c r="L129" s="44"/>
      <c r="M129" s="64"/>
      <c r="N129" s="64"/>
      <c r="U129" s="206"/>
    </row>
    <row r="130" spans="3:21" s="49" customFormat="1" ht="15.75" x14ac:dyDescent="0.25">
      <c r="C130" s="48"/>
      <c r="D130" s="60"/>
      <c r="E130" s="60"/>
      <c r="F130" s="60"/>
      <c r="G130" s="50"/>
      <c r="H130" s="61"/>
      <c r="I130" s="44"/>
      <c r="J130" s="44"/>
      <c r="K130" s="44"/>
      <c r="L130" s="44"/>
      <c r="M130" s="64"/>
      <c r="N130" s="64"/>
      <c r="U130" s="206"/>
    </row>
    <row r="131" spans="3:21" s="49" customFormat="1" ht="15.75" x14ac:dyDescent="0.25">
      <c r="C131" s="48"/>
      <c r="D131" s="60"/>
      <c r="E131" s="60"/>
      <c r="F131" s="60"/>
      <c r="G131" s="50"/>
      <c r="H131" s="61"/>
      <c r="I131" s="44"/>
      <c r="J131" s="44"/>
      <c r="K131" s="44"/>
      <c r="L131" s="44"/>
      <c r="M131" s="64"/>
      <c r="N131" s="64"/>
      <c r="U131" s="206"/>
    </row>
    <row r="132" spans="3:21" s="49" customFormat="1" ht="15.75" x14ac:dyDescent="0.25">
      <c r="C132" s="48"/>
      <c r="D132" s="60"/>
      <c r="E132" s="60"/>
      <c r="F132" s="60"/>
      <c r="G132" s="50"/>
      <c r="H132" s="61"/>
      <c r="I132" s="44"/>
      <c r="J132" s="44"/>
      <c r="K132" s="44"/>
      <c r="L132" s="44"/>
      <c r="M132" s="64"/>
      <c r="N132" s="64"/>
      <c r="U132" s="206"/>
    </row>
    <row r="133" spans="3:21" s="49" customFormat="1" ht="15.75" x14ac:dyDescent="0.25">
      <c r="C133" s="48"/>
      <c r="D133" s="60"/>
      <c r="E133" s="60"/>
      <c r="F133" s="60"/>
      <c r="G133" s="50"/>
      <c r="H133" s="61"/>
      <c r="I133" s="44"/>
      <c r="J133" s="44"/>
      <c r="K133" s="44"/>
      <c r="L133" s="44"/>
      <c r="M133" s="64"/>
      <c r="N133" s="64"/>
      <c r="U133" s="206"/>
    </row>
    <row r="134" spans="3:21" s="49" customFormat="1" ht="15.75" x14ac:dyDescent="0.25">
      <c r="C134" s="48"/>
      <c r="D134" s="60"/>
      <c r="E134" s="60"/>
      <c r="F134" s="60"/>
      <c r="G134" s="50"/>
      <c r="H134" s="61"/>
      <c r="I134" s="44"/>
      <c r="J134" s="44"/>
      <c r="K134" s="44"/>
      <c r="L134" s="44"/>
      <c r="M134" s="64"/>
      <c r="N134" s="64"/>
      <c r="U134" s="206"/>
    </row>
    <row r="135" spans="3:21" s="49" customFormat="1" ht="15.75" x14ac:dyDescent="0.25">
      <c r="C135" s="48"/>
      <c r="D135" s="60"/>
      <c r="E135" s="60"/>
      <c r="F135" s="60"/>
      <c r="G135" s="50"/>
      <c r="H135" s="61"/>
      <c r="I135" s="44"/>
      <c r="J135" s="44"/>
      <c r="K135" s="44"/>
      <c r="L135" s="44"/>
      <c r="M135" s="64"/>
      <c r="N135" s="64"/>
      <c r="U135" s="206"/>
    </row>
    <row r="136" spans="3:21" s="49" customFormat="1" ht="15.75" x14ac:dyDescent="0.25">
      <c r="C136" s="48"/>
      <c r="D136" s="60"/>
      <c r="E136" s="60"/>
      <c r="F136" s="60"/>
      <c r="G136" s="50"/>
      <c r="H136" s="61"/>
      <c r="I136" s="44"/>
      <c r="J136" s="44"/>
      <c r="K136" s="44"/>
      <c r="L136" s="44"/>
      <c r="M136" s="64"/>
      <c r="N136" s="64"/>
      <c r="U136" s="206"/>
    </row>
    <row r="137" spans="3:21" s="49" customFormat="1" ht="15.75" x14ac:dyDescent="0.25">
      <c r="C137" s="48"/>
      <c r="D137" s="60"/>
      <c r="E137" s="60"/>
      <c r="F137" s="60"/>
      <c r="G137" s="50"/>
      <c r="H137" s="61"/>
      <c r="I137" s="44"/>
      <c r="J137" s="44"/>
      <c r="K137" s="44"/>
      <c r="L137" s="44"/>
      <c r="M137" s="64"/>
      <c r="N137" s="64"/>
      <c r="U137" s="206"/>
    </row>
    <row r="138" spans="3:21" s="49" customFormat="1" ht="15.75" x14ac:dyDescent="0.25">
      <c r="C138" s="48"/>
      <c r="D138" s="60"/>
      <c r="E138" s="60"/>
      <c r="F138" s="60"/>
      <c r="G138" s="50"/>
      <c r="H138" s="61"/>
      <c r="I138" s="44"/>
      <c r="J138" s="44"/>
      <c r="K138" s="44"/>
      <c r="L138" s="44"/>
      <c r="M138" s="64"/>
      <c r="N138" s="64"/>
      <c r="U138" s="206"/>
    </row>
    <row r="139" spans="3:21" s="49" customFormat="1" ht="15.75" x14ac:dyDescent="0.25">
      <c r="C139" s="48"/>
      <c r="D139" s="60"/>
      <c r="E139" s="60"/>
      <c r="F139" s="60"/>
      <c r="G139" s="50"/>
      <c r="H139" s="61"/>
      <c r="I139" s="44"/>
      <c r="J139" s="44"/>
      <c r="K139" s="44"/>
      <c r="L139" s="44"/>
      <c r="M139" s="64"/>
      <c r="N139" s="64"/>
      <c r="U139" s="206"/>
    </row>
    <row r="140" spans="3:21" s="49" customFormat="1" ht="15.75" x14ac:dyDescent="0.25">
      <c r="C140" s="48"/>
      <c r="D140" s="60"/>
      <c r="E140" s="60"/>
      <c r="F140" s="60"/>
      <c r="G140" s="50"/>
      <c r="H140" s="61"/>
      <c r="I140" s="44"/>
      <c r="J140" s="44"/>
      <c r="K140" s="44"/>
      <c r="L140" s="44"/>
      <c r="M140" s="64"/>
      <c r="N140" s="64"/>
      <c r="U140" s="206"/>
    </row>
    <row r="141" spans="3:21" s="49" customFormat="1" ht="15.75" x14ac:dyDescent="0.25">
      <c r="C141" s="48"/>
      <c r="D141" s="60"/>
      <c r="E141" s="60"/>
      <c r="F141" s="60"/>
      <c r="G141" s="50"/>
      <c r="H141" s="61"/>
      <c r="I141" s="44"/>
      <c r="J141" s="44"/>
      <c r="K141" s="44"/>
      <c r="L141" s="44"/>
      <c r="M141" s="64"/>
      <c r="N141" s="64"/>
      <c r="U141" s="206"/>
    </row>
    <row r="142" spans="3:21" s="49" customFormat="1" ht="15.75" x14ac:dyDescent="0.25">
      <c r="C142" s="48"/>
      <c r="D142" s="60"/>
      <c r="E142" s="60"/>
      <c r="F142" s="60"/>
      <c r="G142" s="50"/>
      <c r="H142" s="61"/>
      <c r="I142" s="44"/>
      <c r="J142" s="44"/>
      <c r="K142" s="44"/>
      <c r="L142" s="44"/>
      <c r="M142" s="64"/>
      <c r="N142" s="64"/>
      <c r="U142" s="206"/>
    </row>
    <row r="143" spans="3:21" s="49" customFormat="1" ht="15.75" x14ac:dyDescent="0.25">
      <c r="C143" s="48"/>
      <c r="D143" s="60"/>
      <c r="E143" s="60"/>
      <c r="F143" s="60"/>
      <c r="G143" s="50"/>
      <c r="H143" s="61"/>
      <c r="I143" s="44"/>
      <c r="J143" s="44"/>
      <c r="K143" s="44"/>
      <c r="L143" s="44"/>
      <c r="M143" s="64"/>
      <c r="N143" s="64"/>
      <c r="U143" s="206"/>
    </row>
    <row r="144" spans="3:21" s="49" customFormat="1" ht="15.75" x14ac:dyDescent="0.25">
      <c r="C144" s="48"/>
      <c r="D144" s="60"/>
      <c r="E144" s="60"/>
      <c r="F144" s="60"/>
      <c r="G144" s="50"/>
      <c r="H144" s="61"/>
      <c r="I144" s="44"/>
      <c r="J144" s="44"/>
      <c r="K144" s="44"/>
      <c r="L144" s="44"/>
      <c r="M144" s="64"/>
      <c r="N144" s="64"/>
      <c r="U144" s="206"/>
    </row>
    <row r="145" spans="3:21" s="49" customFormat="1" ht="15.75" x14ac:dyDescent="0.25">
      <c r="C145" s="48"/>
      <c r="D145" s="60"/>
      <c r="E145" s="60"/>
      <c r="F145" s="60"/>
      <c r="G145" s="50"/>
      <c r="H145" s="61"/>
      <c r="I145" s="44"/>
      <c r="J145" s="44"/>
      <c r="K145" s="44"/>
      <c r="L145" s="44"/>
      <c r="M145" s="64"/>
      <c r="N145" s="64"/>
      <c r="U145" s="206"/>
    </row>
    <row r="146" spans="3:21" s="49" customFormat="1" ht="15.75" x14ac:dyDescent="0.25">
      <c r="C146" s="48"/>
      <c r="D146" s="60"/>
      <c r="E146" s="60"/>
      <c r="F146" s="60"/>
      <c r="G146" s="50"/>
      <c r="H146" s="61"/>
      <c r="I146" s="44"/>
      <c r="J146" s="44"/>
      <c r="K146" s="44"/>
      <c r="L146" s="44"/>
      <c r="M146" s="64"/>
      <c r="N146" s="64"/>
      <c r="U146" s="206"/>
    </row>
    <row r="147" spans="3:21" s="49" customFormat="1" ht="15.75" x14ac:dyDescent="0.25">
      <c r="C147" s="48"/>
      <c r="D147" s="60"/>
      <c r="E147" s="60"/>
      <c r="F147" s="60"/>
      <c r="G147" s="50"/>
      <c r="H147" s="61"/>
      <c r="I147" s="44"/>
      <c r="J147" s="44"/>
      <c r="K147" s="44"/>
      <c r="L147" s="44"/>
      <c r="M147" s="64"/>
      <c r="N147" s="64"/>
      <c r="U147" s="206"/>
    </row>
    <row r="148" spans="3:21" s="49" customFormat="1" ht="15.75" x14ac:dyDescent="0.25">
      <c r="C148" s="48"/>
      <c r="D148" s="60"/>
      <c r="E148" s="60"/>
      <c r="F148" s="60"/>
      <c r="G148" s="50"/>
      <c r="H148" s="61"/>
      <c r="I148" s="44"/>
      <c r="J148" s="44"/>
      <c r="K148" s="44"/>
      <c r="L148" s="44"/>
      <c r="M148" s="64"/>
      <c r="N148" s="64"/>
      <c r="U148" s="206"/>
    </row>
    <row r="149" spans="3:21" s="49" customFormat="1" ht="15.75" x14ac:dyDescent="0.25">
      <c r="C149" s="48"/>
      <c r="D149" s="60"/>
      <c r="E149" s="60"/>
      <c r="F149" s="60"/>
      <c r="G149" s="50"/>
      <c r="H149" s="61"/>
      <c r="I149" s="44"/>
      <c r="J149" s="44"/>
      <c r="K149" s="44"/>
      <c r="L149" s="44"/>
      <c r="M149" s="64"/>
      <c r="N149" s="64"/>
      <c r="U149" s="206"/>
    </row>
    <row r="150" spans="3:21" s="49" customFormat="1" ht="15.75" x14ac:dyDescent="0.25">
      <c r="C150" s="48"/>
      <c r="D150" s="60"/>
      <c r="E150" s="60"/>
      <c r="F150" s="60"/>
      <c r="G150" s="50"/>
      <c r="H150" s="61"/>
      <c r="I150" s="44"/>
      <c r="J150" s="44"/>
      <c r="K150" s="44"/>
      <c r="L150" s="44"/>
      <c r="M150" s="64"/>
      <c r="N150" s="64"/>
      <c r="U150" s="206"/>
    </row>
    <row r="151" spans="3:21" s="49" customFormat="1" ht="15.75" x14ac:dyDescent="0.25">
      <c r="C151" s="48"/>
      <c r="D151" s="60"/>
      <c r="E151" s="60"/>
      <c r="F151" s="60"/>
      <c r="G151" s="50"/>
      <c r="H151" s="61"/>
      <c r="I151" s="44"/>
      <c r="J151" s="44"/>
      <c r="K151" s="44"/>
      <c r="L151" s="44"/>
      <c r="M151" s="64"/>
      <c r="N151" s="64"/>
      <c r="R151" s="38"/>
      <c r="U151" s="206"/>
    </row>
    <row r="152" spans="3:21" s="49" customFormat="1" ht="15.75" x14ac:dyDescent="0.25">
      <c r="C152" s="48"/>
      <c r="D152" s="60"/>
      <c r="E152" s="60"/>
      <c r="F152" s="60"/>
      <c r="G152" s="50"/>
      <c r="H152" s="61"/>
      <c r="I152" s="44"/>
      <c r="J152" s="44"/>
      <c r="K152" s="44"/>
      <c r="L152" s="44"/>
      <c r="M152" s="64"/>
      <c r="N152" s="64"/>
      <c r="R152" s="38"/>
      <c r="U152" s="206"/>
    </row>
    <row r="153" spans="3:21" s="49" customFormat="1" ht="15.75" x14ac:dyDescent="0.25">
      <c r="C153" s="48"/>
      <c r="D153" s="60"/>
      <c r="E153" s="60"/>
      <c r="F153" s="60"/>
      <c r="G153" s="50"/>
      <c r="H153" s="61"/>
      <c r="I153" s="44"/>
      <c r="J153" s="44"/>
      <c r="K153" s="44"/>
      <c r="L153" s="44"/>
      <c r="M153" s="64"/>
      <c r="N153" s="64"/>
      <c r="R153" s="38"/>
      <c r="U153" s="206"/>
    </row>
    <row r="154" spans="3:21" s="49" customFormat="1" ht="15.75" x14ac:dyDescent="0.25">
      <c r="C154" s="48"/>
      <c r="D154" s="60"/>
      <c r="E154" s="60"/>
      <c r="F154" s="60"/>
      <c r="G154" s="50"/>
      <c r="H154" s="61"/>
      <c r="I154" s="44"/>
      <c r="J154" s="44"/>
      <c r="K154" s="44"/>
      <c r="L154" s="44"/>
      <c r="M154" s="64"/>
      <c r="N154" s="64"/>
      <c r="R154" s="38"/>
      <c r="U154" s="206"/>
    </row>
    <row r="155" spans="3:21" s="49" customFormat="1" ht="15.75" x14ac:dyDescent="0.25">
      <c r="C155" s="48"/>
      <c r="D155" s="60"/>
      <c r="E155" s="60"/>
      <c r="F155" s="60"/>
      <c r="G155" s="50"/>
      <c r="H155" s="61"/>
      <c r="I155" s="44"/>
      <c r="J155" s="44"/>
      <c r="K155" s="44"/>
      <c r="L155" s="44"/>
      <c r="M155" s="64"/>
      <c r="N155" s="64"/>
      <c r="R155" s="38"/>
      <c r="U155" s="206"/>
    </row>
    <row r="156" spans="3:21" s="49" customFormat="1" ht="15.75" x14ac:dyDescent="0.25">
      <c r="C156" s="48"/>
      <c r="D156" s="60"/>
      <c r="E156" s="60"/>
      <c r="F156" s="60"/>
      <c r="G156" s="50"/>
      <c r="H156" s="61"/>
      <c r="I156" s="44"/>
      <c r="J156" s="44"/>
      <c r="K156" s="44"/>
      <c r="L156" s="44"/>
      <c r="M156" s="64"/>
      <c r="N156" s="64"/>
      <c r="R156" s="38"/>
      <c r="U156" s="206"/>
    </row>
    <row r="157" spans="3:21" s="49" customFormat="1" ht="15.75" x14ac:dyDescent="0.25">
      <c r="C157" s="48"/>
      <c r="D157" s="60"/>
      <c r="E157" s="60"/>
      <c r="F157" s="60"/>
      <c r="G157" s="50"/>
      <c r="H157" s="61"/>
      <c r="I157" s="44"/>
      <c r="J157" s="44"/>
      <c r="K157" s="44"/>
      <c r="L157" s="44"/>
      <c r="M157" s="64"/>
      <c r="N157" s="64"/>
      <c r="R157" s="38"/>
      <c r="U157" s="206"/>
    </row>
    <row r="158" spans="3:21" s="49" customFormat="1" ht="15.75" x14ac:dyDescent="0.25">
      <c r="C158" s="48"/>
      <c r="D158" s="60"/>
      <c r="E158" s="60"/>
      <c r="F158" s="60"/>
      <c r="G158" s="50"/>
      <c r="H158" s="61"/>
      <c r="I158" s="44"/>
      <c r="J158" s="44"/>
      <c r="K158" s="44"/>
      <c r="L158" s="44"/>
      <c r="M158" s="64"/>
      <c r="N158" s="64"/>
      <c r="R158" s="38"/>
      <c r="U158" s="206"/>
    </row>
    <row r="159" spans="3:21" s="49" customFormat="1" ht="15.75" x14ac:dyDescent="0.25">
      <c r="C159" s="48"/>
      <c r="D159" s="60"/>
      <c r="E159" s="60"/>
      <c r="F159" s="60"/>
      <c r="G159" s="50"/>
      <c r="H159" s="61"/>
      <c r="I159" s="44"/>
      <c r="J159" s="44"/>
      <c r="K159" s="44"/>
      <c r="L159" s="44"/>
      <c r="M159" s="64"/>
      <c r="N159" s="64"/>
      <c r="R159" s="38"/>
      <c r="U159" s="206"/>
    </row>
    <row r="160" spans="3:21" s="49" customFormat="1" ht="15.75" x14ac:dyDescent="0.25">
      <c r="C160" s="48"/>
      <c r="D160" s="60"/>
      <c r="E160" s="60"/>
      <c r="F160" s="60"/>
      <c r="G160" s="50"/>
      <c r="H160" s="61"/>
      <c r="I160" s="44"/>
      <c r="J160" s="44"/>
      <c r="K160" s="44"/>
      <c r="L160" s="44"/>
      <c r="M160" s="64"/>
      <c r="N160" s="64"/>
      <c r="R160" s="39"/>
      <c r="U160" s="206"/>
    </row>
    <row r="161" spans="3:21" s="49" customFormat="1" ht="15.75" x14ac:dyDescent="0.25">
      <c r="C161" s="48"/>
      <c r="D161" s="60"/>
      <c r="E161" s="60"/>
      <c r="F161" s="60"/>
      <c r="G161" s="50"/>
      <c r="H161" s="61"/>
      <c r="I161" s="44"/>
      <c r="J161" s="44"/>
      <c r="K161" s="44"/>
      <c r="L161" s="44"/>
      <c r="M161" s="64"/>
      <c r="N161" s="64"/>
      <c r="R161" s="39"/>
      <c r="U161" s="206"/>
    </row>
    <row r="162" spans="3:21" s="49" customFormat="1" ht="15.75" x14ac:dyDescent="0.25">
      <c r="C162" s="48"/>
      <c r="D162" s="60"/>
      <c r="E162" s="60"/>
      <c r="F162" s="60"/>
      <c r="G162" s="50"/>
      <c r="H162" s="61"/>
      <c r="I162" s="44"/>
      <c r="J162" s="44"/>
      <c r="K162" s="44"/>
      <c r="L162" s="44"/>
      <c r="M162" s="64"/>
      <c r="N162" s="64"/>
      <c r="R162" s="39"/>
      <c r="U162" s="206"/>
    </row>
    <row r="163" spans="3:21" s="49" customFormat="1" ht="15.75" x14ac:dyDescent="0.25">
      <c r="C163" s="48"/>
      <c r="D163" s="60"/>
      <c r="E163" s="60"/>
      <c r="F163" s="60"/>
      <c r="G163" s="50"/>
      <c r="H163" s="61"/>
      <c r="I163" s="44"/>
      <c r="J163" s="44"/>
      <c r="K163" s="44"/>
      <c r="L163" s="44"/>
      <c r="M163" s="64"/>
      <c r="N163" s="64"/>
      <c r="R163" s="39"/>
      <c r="U163" s="206"/>
    </row>
    <row r="164" spans="3:21" s="49" customFormat="1" ht="15.75" x14ac:dyDescent="0.25">
      <c r="C164" s="48"/>
      <c r="D164" s="60"/>
      <c r="E164" s="60"/>
      <c r="F164" s="60"/>
      <c r="G164" s="50"/>
      <c r="H164" s="61"/>
      <c r="I164" s="44"/>
      <c r="J164" s="44"/>
      <c r="K164" s="44"/>
      <c r="L164" s="44"/>
      <c r="M164" s="64"/>
      <c r="N164" s="64"/>
      <c r="R164" s="39"/>
      <c r="U164" s="206"/>
    </row>
    <row r="165" spans="3:21" s="49" customFormat="1" ht="15.75" x14ac:dyDescent="0.25">
      <c r="C165" s="48"/>
      <c r="D165" s="60"/>
      <c r="E165" s="60"/>
      <c r="F165" s="60"/>
      <c r="G165" s="50"/>
      <c r="H165" s="61"/>
      <c r="I165" s="44"/>
      <c r="J165" s="44"/>
      <c r="K165" s="44"/>
      <c r="L165" s="44"/>
      <c r="M165" s="64"/>
      <c r="N165" s="64"/>
      <c r="R165" s="39"/>
      <c r="U165" s="206"/>
    </row>
    <row r="166" spans="3:21" s="49" customFormat="1" ht="15.75" x14ac:dyDescent="0.25">
      <c r="C166" s="48"/>
      <c r="D166" s="60"/>
      <c r="E166" s="60"/>
      <c r="F166" s="60"/>
      <c r="G166" s="50"/>
      <c r="H166" s="61"/>
      <c r="I166" s="44"/>
      <c r="J166" s="44"/>
      <c r="K166" s="44"/>
      <c r="L166" s="44"/>
      <c r="M166" s="64"/>
      <c r="N166" s="64"/>
      <c r="R166" s="39"/>
      <c r="U166" s="206"/>
    </row>
    <row r="167" spans="3:21" s="49" customFormat="1" ht="15.75" x14ac:dyDescent="0.25">
      <c r="C167" s="48"/>
      <c r="D167" s="60"/>
      <c r="E167" s="60"/>
      <c r="F167" s="60"/>
      <c r="G167" s="50"/>
      <c r="H167" s="61"/>
      <c r="I167" s="44"/>
      <c r="J167" s="44"/>
      <c r="K167" s="44"/>
      <c r="L167" s="44"/>
      <c r="M167" s="64"/>
      <c r="N167" s="64"/>
      <c r="R167" s="39"/>
      <c r="U167" s="206"/>
    </row>
    <row r="168" spans="3:21" s="49" customFormat="1" ht="15.75" x14ac:dyDescent="0.25">
      <c r="C168" s="48"/>
      <c r="D168" s="60"/>
      <c r="E168" s="60"/>
      <c r="F168" s="60"/>
      <c r="G168" s="50"/>
      <c r="H168" s="61"/>
      <c r="I168" s="44"/>
      <c r="J168" s="44"/>
      <c r="K168" s="44"/>
      <c r="L168" s="44"/>
      <c r="M168" s="64"/>
      <c r="N168" s="64"/>
      <c r="R168" s="39"/>
      <c r="U168" s="206"/>
    </row>
    <row r="169" spans="3:21" s="49" customFormat="1" ht="15.75" x14ac:dyDescent="0.25">
      <c r="C169" s="48"/>
      <c r="D169" s="60"/>
      <c r="E169" s="60"/>
      <c r="F169" s="60"/>
      <c r="G169" s="50"/>
      <c r="H169" s="61"/>
      <c r="I169" s="44"/>
      <c r="J169" s="44"/>
      <c r="K169" s="44"/>
      <c r="L169" s="44"/>
      <c r="M169" s="64"/>
      <c r="N169" s="64"/>
      <c r="R169" s="39"/>
      <c r="U169" s="206"/>
    </row>
    <row r="170" spans="3:21" s="49" customFormat="1" ht="15.75" x14ac:dyDescent="0.25">
      <c r="C170" s="48"/>
      <c r="D170" s="60"/>
      <c r="E170" s="60"/>
      <c r="F170" s="60"/>
      <c r="G170" s="50"/>
      <c r="H170" s="61"/>
      <c r="I170" s="44"/>
      <c r="J170" s="44"/>
      <c r="K170" s="44"/>
      <c r="L170" s="44"/>
      <c r="M170" s="64"/>
      <c r="N170" s="64"/>
      <c r="R170" s="39"/>
      <c r="U170" s="206"/>
    </row>
    <row r="171" spans="3:21" s="49" customFormat="1" ht="15.75" x14ac:dyDescent="0.25">
      <c r="C171" s="48"/>
      <c r="D171" s="60"/>
      <c r="E171" s="60"/>
      <c r="F171" s="60"/>
      <c r="G171" s="50"/>
      <c r="H171" s="61"/>
      <c r="I171" s="44"/>
      <c r="J171" s="44"/>
      <c r="K171" s="44"/>
      <c r="L171" s="44"/>
      <c r="M171" s="64"/>
      <c r="N171" s="64"/>
      <c r="R171" s="39"/>
      <c r="U171" s="206"/>
    </row>
    <row r="172" spans="3:21" s="49" customFormat="1" ht="15.75" x14ac:dyDescent="0.25">
      <c r="C172" s="48"/>
      <c r="D172" s="60"/>
      <c r="E172" s="60"/>
      <c r="F172" s="60"/>
      <c r="G172" s="50"/>
      <c r="H172" s="61"/>
      <c r="I172" s="44"/>
      <c r="J172" s="44"/>
      <c r="K172" s="44"/>
      <c r="L172" s="44"/>
      <c r="M172" s="64"/>
      <c r="N172" s="64"/>
      <c r="R172" s="39"/>
      <c r="U172" s="206"/>
    </row>
    <row r="173" spans="3:21" s="49" customFormat="1" ht="15.75" x14ac:dyDescent="0.25">
      <c r="C173" s="48"/>
      <c r="D173" s="60"/>
      <c r="E173" s="60"/>
      <c r="F173" s="60"/>
      <c r="G173" s="50"/>
      <c r="H173" s="61"/>
      <c r="I173" s="44"/>
      <c r="J173" s="44"/>
      <c r="K173" s="44"/>
      <c r="L173" s="44"/>
      <c r="M173" s="64"/>
      <c r="N173" s="64"/>
      <c r="R173" s="39"/>
      <c r="U173" s="206"/>
    </row>
    <row r="174" spans="3:21" s="49" customFormat="1" ht="15.75" x14ac:dyDescent="0.25">
      <c r="C174" s="48"/>
      <c r="D174" s="60"/>
      <c r="E174" s="60"/>
      <c r="F174" s="60"/>
      <c r="G174" s="50"/>
      <c r="H174" s="61"/>
      <c r="I174" s="44"/>
      <c r="J174" s="44"/>
      <c r="K174" s="44"/>
      <c r="L174" s="44"/>
      <c r="M174" s="64"/>
      <c r="N174" s="64"/>
      <c r="R174" s="39"/>
      <c r="U174" s="206"/>
    </row>
    <row r="175" spans="3:21" s="49" customFormat="1" ht="15.75" x14ac:dyDescent="0.25">
      <c r="C175" s="48"/>
      <c r="D175" s="60"/>
      <c r="E175" s="60"/>
      <c r="F175" s="60"/>
      <c r="G175" s="50"/>
      <c r="H175" s="61"/>
      <c r="I175" s="44"/>
      <c r="J175" s="44"/>
      <c r="K175" s="44"/>
      <c r="L175" s="44"/>
      <c r="M175" s="64"/>
      <c r="N175" s="64"/>
      <c r="R175" s="39"/>
      <c r="U175" s="206"/>
    </row>
    <row r="176" spans="3:21" s="49" customFormat="1" ht="15.75" x14ac:dyDescent="0.25">
      <c r="C176" s="48"/>
      <c r="D176" s="60"/>
      <c r="E176" s="60"/>
      <c r="F176" s="60"/>
      <c r="G176" s="50"/>
      <c r="H176" s="61"/>
      <c r="I176" s="44"/>
      <c r="J176" s="44"/>
      <c r="K176" s="44"/>
      <c r="L176" s="44"/>
      <c r="M176" s="64"/>
      <c r="N176" s="64"/>
      <c r="R176" s="39"/>
      <c r="U176" s="206"/>
    </row>
    <row r="177" spans="3:21" s="49" customFormat="1" ht="15.75" x14ac:dyDescent="0.25">
      <c r="C177" s="48"/>
      <c r="D177" s="60"/>
      <c r="E177" s="60"/>
      <c r="F177" s="60"/>
      <c r="G177" s="50"/>
      <c r="H177" s="61"/>
      <c r="I177" s="44"/>
      <c r="J177" s="44"/>
      <c r="K177" s="44"/>
      <c r="L177" s="44"/>
      <c r="M177" s="64"/>
      <c r="N177" s="64"/>
      <c r="R177" s="39"/>
      <c r="U177" s="206"/>
    </row>
    <row r="178" spans="3:21" s="49" customFormat="1" ht="15.75" x14ac:dyDescent="0.25">
      <c r="C178" s="48"/>
      <c r="D178" s="60"/>
      <c r="E178" s="60"/>
      <c r="F178" s="60"/>
      <c r="G178" s="50"/>
      <c r="H178" s="61"/>
      <c r="I178" s="44"/>
      <c r="J178" s="44"/>
      <c r="K178" s="44"/>
      <c r="L178" s="44"/>
      <c r="M178" s="64"/>
      <c r="N178" s="64"/>
      <c r="R178" s="39"/>
      <c r="U178" s="206"/>
    </row>
    <row r="179" spans="3:21" s="49" customFormat="1" ht="15.75" x14ac:dyDescent="0.25">
      <c r="C179" s="48"/>
      <c r="D179" s="60"/>
      <c r="E179" s="60"/>
      <c r="F179" s="60"/>
      <c r="G179" s="50"/>
      <c r="H179" s="61"/>
      <c r="I179" s="44"/>
      <c r="J179" s="44"/>
      <c r="K179" s="44"/>
      <c r="L179" s="44"/>
      <c r="M179" s="64"/>
      <c r="N179" s="64"/>
      <c r="R179" s="39"/>
      <c r="U179" s="206"/>
    </row>
    <row r="180" spans="3:21" s="49" customFormat="1" ht="15.75" x14ac:dyDescent="0.25">
      <c r="C180" s="48"/>
      <c r="D180" s="60"/>
      <c r="E180" s="60"/>
      <c r="F180" s="60"/>
      <c r="G180" s="50"/>
      <c r="H180" s="61"/>
      <c r="I180" s="44"/>
      <c r="J180" s="44"/>
      <c r="K180" s="44"/>
      <c r="L180" s="44"/>
      <c r="M180" s="64"/>
      <c r="N180" s="64"/>
      <c r="R180" s="39"/>
      <c r="U180" s="206"/>
    </row>
    <row r="181" spans="3:21" s="49" customFormat="1" ht="15.75" x14ac:dyDescent="0.25">
      <c r="C181" s="48"/>
      <c r="D181" s="60"/>
      <c r="E181" s="60"/>
      <c r="F181" s="60"/>
      <c r="G181" s="50"/>
      <c r="H181" s="61"/>
      <c r="I181" s="44"/>
      <c r="J181" s="44"/>
      <c r="K181" s="44"/>
      <c r="L181" s="44"/>
      <c r="M181" s="64"/>
      <c r="N181" s="64"/>
      <c r="R181" s="39"/>
      <c r="U181" s="206"/>
    </row>
    <row r="182" spans="3:21" s="49" customFormat="1" ht="15.75" x14ac:dyDescent="0.25">
      <c r="C182" s="48"/>
      <c r="D182" s="60"/>
      <c r="E182" s="60"/>
      <c r="F182" s="60"/>
      <c r="G182" s="50"/>
      <c r="H182" s="61"/>
      <c r="I182" s="44"/>
      <c r="J182" s="44"/>
      <c r="K182" s="44"/>
      <c r="L182" s="44"/>
      <c r="M182" s="64"/>
      <c r="N182" s="64"/>
      <c r="R182" s="39"/>
      <c r="U182" s="206"/>
    </row>
    <row r="183" spans="3:21" s="49" customFormat="1" ht="15.75" x14ac:dyDescent="0.25">
      <c r="C183" s="48"/>
      <c r="D183" s="60"/>
      <c r="E183" s="60"/>
      <c r="F183" s="60"/>
      <c r="G183" s="50"/>
      <c r="H183" s="61"/>
      <c r="I183" s="44"/>
      <c r="J183" s="44"/>
      <c r="K183" s="44"/>
      <c r="L183" s="44"/>
      <c r="M183" s="64"/>
      <c r="N183" s="64"/>
      <c r="R183" s="39"/>
      <c r="U183" s="206"/>
    </row>
    <row r="184" spans="3:21" s="49" customFormat="1" ht="15.75" x14ac:dyDescent="0.25">
      <c r="C184" s="48"/>
      <c r="D184" s="60"/>
      <c r="E184" s="60"/>
      <c r="F184" s="60"/>
      <c r="G184" s="50"/>
      <c r="H184" s="61"/>
      <c r="I184" s="44"/>
      <c r="J184" s="44"/>
      <c r="K184" s="44"/>
      <c r="L184" s="44"/>
      <c r="M184" s="64"/>
      <c r="N184" s="64"/>
      <c r="R184" s="39"/>
      <c r="U184" s="206"/>
    </row>
    <row r="185" spans="3:21" s="49" customFormat="1" ht="15.75" x14ac:dyDescent="0.25">
      <c r="C185" s="48"/>
      <c r="D185" s="60"/>
      <c r="E185" s="60"/>
      <c r="F185" s="60"/>
      <c r="G185" s="50"/>
      <c r="H185" s="61"/>
      <c r="I185" s="44"/>
      <c r="J185" s="44"/>
      <c r="K185" s="44"/>
      <c r="L185" s="44"/>
      <c r="M185" s="64"/>
      <c r="N185" s="64"/>
      <c r="R185" s="39"/>
      <c r="U185" s="206"/>
    </row>
    <row r="186" spans="3:21" s="49" customFormat="1" ht="15.75" x14ac:dyDescent="0.25">
      <c r="C186" s="48"/>
      <c r="D186" s="60"/>
      <c r="E186" s="60"/>
      <c r="F186" s="60"/>
      <c r="G186" s="50"/>
      <c r="H186" s="61"/>
      <c r="I186" s="44"/>
      <c r="J186" s="44"/>
      <c r="K186" s="44"/>
      <c r="L186" s="44"/>
      <c r="M186" s="64"/>
      <c r="N186" s="64"/>
      <c r="R186" s="39"/>
      <c r="U186" s="206"/>
    </row>
    <row r="187" spans="3:21" s="49" customFormat="1" ht="15.75" x14ac:dyDescent="0.25">
      <c r="C187" s="48"/>
      <c r="D187" s="60"/>
      <c r="E187" s="60"/>
      <c r="F187" s="60"/>
      <c r="G187" s="50"/>
      <c r="H187" s="61"/>
      <c r="I187" s="44"/>
      <c r="J187" s="44"/>
      <c r="K187" s="44"/>
      <c r="L187" s="44"/>
      <c r="M187" s="64"/>
      <c r="N187" s="64"/>
      <c r="R187" s="39"/>
      <c r="U187" s="206"/>
    </row>
    <row r="188" spans="3:21" s="49" customFormat="1" ht="15.75" x14ac:dyDescent="0.25">
      <c r="C188" s="48"/>
      <c r="D188" s="60"/>
      <c r="E188" s="60"/>
      <c r="F188" s="60"/>
      <c r="G188" s="50"/>
      <c r="H188" s="61"/>
      <c r="I188" s="44"/>
      <c r="J188" s="44"/>
      <c r="K188" s="44"/>
      <c r="L188" s="44"/>
      <c r="M188" s="64"/>
      <c r="N188" s="64"/>
      <c r="R188" s="39"/>
      <c r="U188" s="206"/>
    </row>
    <row r="189" spans="3:21" s="49" customFormat="1" ht="15.75" x14ac:dyDescent="0.25">
      <c r="C189" s="48"/>
      <c r="D189" s="60"/>
      <c r="E189" s="60"/>
      <c r="F189" s="60"/>
      <c r="G189" s="50"/>
      <c r="H189" s="61"/>
      <c r="I189" s="44"/>
      <c r="J189" s="44"/>
      <c r="K189" s="44"/>
      <c r="L189" s="44"/>
      <c r="M189" s="64"/>
      <c r="N189" s="64"/>
      <c r="R189" s="39"/>
      <c r="U189" s="206"/>
    </row>
    <row r="190" spans="3:21" s="49" customFormat="1" ht="15.75" x14ac:dyDescent="0.25">
      <c r="C190" s="48"/>
      <c r="D190" s="60"/>
      <c r="E190" s="60"/>
      <c r="F190" s="60"/>
      <c r="G190" s="50"/>
      <c r="H190" s="61"/>
      <c r="I190" s="44"/>
      <c r="J190" s="44"/>
      <c r="K190" s="44"/>
      <c r="L190" s="44"/>
      <c r="M190" s="64"/>
      <c r="N190" s="64"/>
      <c r="R190" s="39"/>
      <c r="U190" s="206"/>
    </row>
    <row r="191" spans="3:21" s="49" customFormat="1" ht="15.75" x14ac:dyDescent="0.25">
      <c r="C191" s="48"/>
      <c r="D191" s="60"/>
      <c r="E191" s="60"/>
      <c r="F191" s="60"/>
      <c r="G191" s="50"/>
      <c r="H191" s="61"/>
      <c r="I191" s="44"/>
      <c r="J191" s="44"/>
      <c r="K191" s="44"/>
      <c r="L191" s="44"/>
      <c r="M191" s="64"/>
      <c r="N191" s="64"/>
      <c r="R191" s="39"/>
      <c r="U191" s="206"/>
    </row>
    <row r="192" spans="3:21" s="49" customFormat="1" ht="15.75" x14ac:dyDescent="0.25">
      <c r="C192" s="48"/>
      <c r="D192" s="60"/>
      <c r="E192" s="60"/>
      <c r="F192" s="60"/>
      <c r="G192" s="50"/>
      <c r="H192" s="61"/>
      <c r="I192" s="44"/>
      <c r="J192" s="44"/>
      <c r="K192" s="44"/>
      <c r="L192" s="44"/>
      <c r="M192" s="64"/>
      <c r="N192" s="64"/>
      <c r="R192" s="39"/>
      <c r="U192" s="206"/>
    </row>
    <row r="193" spans="3:21" s="49" customFormat="1" ht="15.75" x14ac:dyDescent="0.25">
      <c r="C193" s="48"/>
      <c r="D193" s="60"/>
      <c r="E193" s="60"/>
      <c r="F193" s="60"/>
      <c r="G193" s="50"/>
      <c r="H193" s="61"/>
      <c r="I193" s="44"/>
      <c r="J193" s="44"/>
      <c r="K193" s="44"/>
      <c r="L193" s="44"/>
      <c r="M193" s="64"/>
      <c r="N193" s="64"/>
      <c r="R193" s="39"/>
      <c r="U193" s="206"/>
    </row>
    <row r="194" spans="3:21" s="49" customFormat="1" ht="15.75" x14ac:dyDescent="0.25">
      <c r="C194" s="48"/>
      <c r="D194" s="60"/>
      <c r="E194" s="60"/>
      <c r="F194" s="60"/>
      <c r="G194" s="50"/>
      <c r="H194" s="61"/>
      <c r="I194" s="44"/>
      <c r="J194" s="44"/>
      <c r="K194" s="44"/>
      <c r="L194" s="44"/>
      <c r="M194" s="64"/>
      <c r="N194" s="64"/>
      <c r="R194" s="39"/>
      <c r="U194" s="206"/>
    </row>
    <row r="195" spans="3:21" s="49" customFormat="1" ht="15.75" x14ac:dyDescent="0.25">
      <c r="C195" s="48"/>
      <c r="D195" s="60"/>
      <c r="E195" s="60"/>
      <c r="F195" s="60"/>
      <c r="G195" s="50"/>
      <c r="H195" s="61"/>
      <c r="I195" s="44"/>
      <c r="J195" s="44"/>
      <c r="K195" s="44"/>
      <c r="L195" s="44"/>
      <c r="M195" s="64"/>
      <c r="N195" s="64"/>
      <c r="R195" s="39"/>
      <c r="U195" s="206"/>
    </row>
    <row r="196" spans="3:21" s="49" customFormat="1" ht="15.75" x14ac:dyDescent="0.25">
      <c r="C196" s="48"/>
      <c r="D196" s="60"/>
      <c r="E196" s="60"/>
      <c r="F196" s="60"/>
      <c r="G196" s="50"/>
      <c r="H196" s="61"/>
      <c r="I196" s="44"/>
      <c r="J196" s="44"/>
      <c r="K196" s="44"/>
      <c r="L196" s="44"/>
      <c r="M196" s="64"/>
      <c r="N196" s="64"/>
      <c r="R196" s="39"/>
      <c r="U196" s="206"/>
    </row>
    <row r="197" spans="3:21" s="49" customFormat="1" ht="15.75" x14ac:dyDescent="0.25">
      <c r="C197" s="48"/>
      <c r="D197" s="60"/>
      <c r="E197" s="60"/>
      <c r="F197" s="60"/>
      <c r="G197" s="50"/>
      <c r="H197" s="61"/>
      <c r="I197" s="44"/>
      <c r="J197" s="44"/>
      <c r="K197" s="44"/>
      <c r="L197" s="44"/>
      <c r="M197" s="64"/>
      <c r="N197" s="64"/>
      <c r="R197" s="39"/>
      <c r="U197" s="206"/>
    </row>
    <row r="198" spans="3:21" s="49" customFormat="1" ht="15.75" x14ac:dyDescent="0.25">
      <c r="C198" s="48"/>
      <c r="D198" s="60"/>
      <c r="E198" s="60"/>
      <c r="F198" s="60"/>
      <c r="G198" s="50"/>
      <c r="H198" s="61"/>
      <c r="I198" s="44"/>
      <c r="J198" s="44"/>
      <c r="K198" s="44"/>
      <c r="L198" s="44"/>
      <c r="M198" s="64"/>
      <c r="N198" s="64"/>
      <c r="R198" s="39"/>
      <c r="U198" s="206"/>
    </row>
    <row r="199" spans="3:21" s="49" customFormat="1" ht="15.75" x14ac:dyDescent="0.25">
      <c r="C199" s="48"/>
      <c r="D199" s="60"/>
      <c r="E199" s="60"/>
      <c r="F199" s="60"/>
      <c r="G199" s="50"/>
      <c r="H199" s="61"/>
      <c r="I199" s="44"/>
      <c r="J199" s="44"/>
      <c r="K199" s="44"/>
      <c r="L199" s="44"/>
      <c r="M199" s="64"/>
      <c r="N199" s="64"/>
      <c r="R199" s="39"/>
      <c r="U199" s="206"/>
    </row>
    <row r="200" spans="3:21" s="49" customFormat="1" ht="15.75" x14ac:dyDescent="0.25">
      <c r="C200" s="48"/>
      <c r="D200" s="60"/>
      <c r="E200" s="60"/>
      <c r="F200" s="60"/>
      <c r="G200" s="50"/>
      <c r="H200" s="61"/>
      <c r="I200" s="44"/>
      <c r="J200" s="44"/>
      <c r="K200" s="44"/>
      <c r="L200" s="44"/>
      <c r="M200" s="64"/>
      <c r="N200" s="64"/>
      <c r="R200" s="39"/>
      <c r="U200" s="206"/>
    </row>
    <row r="201" spans="3:21" s="49" customFormat="1" ht="15.75" x14ac:dyDescent="0.25">
      <c r="C201" s="48"/>
      <c r="D201" s="60"/>
      <c r="E201" s="60"/>
      <c r="F201" s="60"/>
      <c r="G201" s="50"/>
      <c r="H201" s="61"/>
      <c r="I201" s="44"/>
      <c r="J201" s="44"/>
      <c r="K201" s="44"/>
      <c r="L201" s="44"/>
      <c r="M201" s="64"/>
      <c r="N201" s="64"/>
      <c r="R201" s="39"/>
      <c r="U201" s="206"/>
    </row>
    <row r="202" spans="3:21" s="49" customFormat="1" ht="15.75" x14ac:dyDescent="0.25">
      <c r="C202" s="48"/>
      <c r="D202" s="60"/>
      <c r="E202" s="60"/>
      <c r="F202" s="60"/>
      <c r="G202" s="50"/>
      <c r="H202" s="61"/>
      <c r="I202" s="44"/>
      <c r="J202" s="44"/>
      <c r="K202" s="44"/>
      <c r="L202" s="44"/>
      <c r="M202" s="64"/>
      <c r="N202" s="64"/>
      <c r="R202" s="39"/>
      <c r="U202" s="206"/>
    </row>
    <row r="203" spans="3:21" s="49" customFormat="1" ht="15.75" x14ac:dyDescent="0.25">
      <c r="C203" s="48"/>
      <c r="D203" s="60"/>
      <c r="E203" s="60"/>
      <c r="F203" s="60"/>
      <c r="G203" s="50"/>
      <c r="H203" s="61"/>
      <c r="I203" s="44"/>
      <c r="J203" s="44"/>
      <c r="K203" s="44"/>
      <c r="L203" s="44"/>
      <c r="M203" s="64"/>
      <c r="N203" s="64"/>
      <c r="R203" s="39"/>
      <c r="U203" s="206"/>
    </row>
    <row r="204" spans="3:21" s="49" customFormat="1" ht="15.75" x14ac:dyDescent="0.25">
      <c r="C204" s="48"/>
      <c r="D204" s="60"/>
      <c r="E204" s="60"/>
      <c r="F204" s="60"/>
      <c r="G204" s="50"/>
      <c r="H204" s="61"/>
      <c r="I204" s="44"/>
      <c r="J204" s="44"/>
      <c r="K204" s="44"/>
      <c r="L204" s="44"/>
      <c r="M204" s="64"/>
      <c r="N204" s="64"/>
      <c r="R204" s="39"/>
      <c r="U204" s="206"/>
    </row>
    <row r="205" spans="3:21" s="49" customFormat="1" ht="15.75" x14ac:dyDescent="0.25">
      <c r="C205" s="48"/>
      <c r="D205" s="60"/>
      <c r="E205" s="60"/>
      <c r="F205" s="60"/>
      <c r="G205" s="50"/>
      <c r="H205" s="61"/>
      <c r="I205" s="44"/>
      <c r="J205" s="44"/>
      <c r="K205" s="44"/>
      <c r="L205" s="44"/>
      <c r="M205" s="64"/>
      <c r="N205" s="64"/>
      <c r="R205" s="39"/>
      <c r="U205" s="206"/>
    </row>
    <row r="206" spans="3:21" s="49" customFormat="1" ht="15.75" x14ac:dyDescent="0.25">
      <c r="C206" s="48"/>
      <c r="D206" s="60"/>
      <c r="E206" s="60"/>
      <c r="F206" s="60"/>
      <c r="G206" s="50"/>
      <c r="H206" s="61"/>
      <c r="I206" s="44"/>
      <c r="J206" s="44"/>
      <c r="K206" s="44"/>
      <c r="L206" s="44"/>
      <c r="M206" s="64"/>
      <c r="N206" s="64"/>
      <c r="R206" s="39"/>
      <c r="U206" s="206"/>
    </row>
    <row r="207" spans="3:21" s="49" customFormat="1" ht="15.75" x14ac:dyDescent="0.25">
      <c r="C207" s="48"/>
      <c r="D207" s="60"/>
      <c r="E207" s="60"/>
      <c r="F207" s="60"/>
      <c r="G207" s="50"/>
      <c r="H207" s="61"/>
      <c r="I207" s="44"/>
      <c r="J207" s="44"/>
      <c r="K207" s="44"/>
      <c r="L207" s="44"/>
      <c r="M207" s="64"/>
      <c r="N207" s="64"/>
      <c r="R207" s="39"/>
      <c r="U207" s="206"/>
    </row>
    <row r="208" spans="3:21" s="49" customFormat="1" ht="15.75" x14ac:dyDescent="0.25">
      <c r="C208" s="48"/>
      <c r="D208" s="60"/>
      <c r="E208" s="60"/>
      <c r="F208" s="60"/>
      <c r="G208" s="50"/>
      <c r="H208" s="61"/>
      <c r="I208" s="44"/>
      <c r="J208" s="44"/>
      <c r="K208" s="44"/>
      <c r="L208" s="44"/>
      <c r="M208" s="64"/>
      <c r="N208" s="64"/>
      <c r="R208" s="39"/>
      <c r="U208" s="206"/>
    </row>
    <row r="209" spans="3:21" s="49" customFormat="1" ht="15.75" x14ac:dyDescent="0.25">
      <c r="C209" s="48"/>
      <c r="D209" s="60"/>
      <c r="E209" s="60"/>
      <c r="F209" s="60"/>
      <c r="G209" s="50"/>
      <c r="H209" s="61"/>
      <c r="I209" s="44"/>
      <c r="J209" s="44"/>
      <c r="K209" s="44"/>
      <c r="L209" s="44"/>
      <c r="M209" s="64"/>
      <c r="N209" s="64"/>
      <c r="R209" s="39"/>
      <c r="U209" s="206"/>
    </row>
    <row r="210" spans="3:21" s="49" customFormat="1" ht="15.75" x14ac:dyDescent="0.25">
      <c r="C210" s="48"/>
      <c r="D210" s="60"/>
      <c r="E210" s="60"/>
      <c r="F210" s="60"/>
      <c r="G210" s="50"/>
      <c r="H210" s="61"/>
      <c r="I210" s="44"/>
      <c r="J210" s="44"/>
      <c r="K210" s="44"/>
      <c r="L210" s="44"/>
      <c r="M210" s="64"/>
      <c r="N210" s="64"/>
      <c r="R210" s="39"/>
      <c r="U210" s="206"/>
    </row>
    <row r="211" spans="3:21" s="49" customFormat="1" ht="15.75" x14ac:dyDescent="0.25">
      <c r="C211" s="48"/>
      <c r="D211" s="60"/>
      <c r="E211" s="60"/>
      <c r="F211" s="60"/>
      <c r="G211" s="50"/>
      <c r="H211" s="61"/>
      <c r="I211" s="44"/>
      <c r="J211" s="44"/>
      <c r="K211" s="44"/>
      <c r="L211" s="44"/>
      <c r="M211" s="64"/>
      <c r="N211" s="64"/>
      <c r="R211" s="39"/>
      <c r="U211" s="206"/>
    </row>
    <row r="212" spans="3:21" s="49" customFormat="1" ht="15.75" x14ac:dyDescent="0.25">
      <c r="C212" s="48"/>
      <c r="D212" s="60"/>
      <c r="E212" s="60"/>
      <c r="F212" s="60"/>
      <c r="G212" s="50"/>
      <c r="H212" s="61"/>
      <c r="I212" s="44"/>
      <c r="J212" s="44"/>
      <c r="K212" s="44"/>
      <c r="L212" s="44"/>
      <c r="M212" s="64"/>
      <c r="N212" s="64"/>
      <c r="R212" s="39"/>
      <c r="U212" s="206"/>
    </row>
    <row r="213" spans="3:21" s="49" customFormat="1" ht="15.75" x14ac:dyDescent="0.25">
      <c r="C213" s="48"/>
      <c r="D213" s="60"/>
      <c r="E213" s="60"/>
      <c r="F213" s="60"/>
      <c r="G213" s="50"/>
      <c r="H213" s="61"/>
      <c r="I213" s="44"/>
      <c r="J213" s="44"/>
      <c r="K213" s="44"/>
      <c r="L213" s="44"/>
      <c r="M213" s="64"/>
      <c r="N213" s="64"/>
      <c r="R213" s="39"/>
      <c r="U213" s="206"/>
    </row>
    <row r="214" spans="3:21" s="49" customFormat="1" ht="15.75" x14ac:dyDescent="0.25">
      <c r="C214" s="48"/>
      <c r="D214" s="60"/>
      <c r="E214" s="60"/>
      <c r="F214" s="60"/>
      <c r="G214" s="50"/>
      <c r="H214" s="61"/>
      <c r="I214" s="44"/>
      <c r="J214" s="44"/>
      <c r="K214" s="44"/>
      <c r="L214" s="44"/>
      <c r="M214" s="64"/>
      <c r="N214" s="64"/>
      <c r="R214" s="39"/>
      <c r="U214" s="206"/>
    </row>
    <row r="215" spans="3:21" s="49" customFormat="1" ht="15.75" x14ac:dyDescent="0.25">
      <c r="C215" s="48"/>
      <c r="D215" s="60"/>
      <c r="E215" s="60"/>
      <c r="F215" s="60"/>
      <c r="G215" s="50"/>
      <c r="H215" s="61"/>
      <c r="I215" s="44"/>
      <c r="J215" s="44"/>
      <c r="K215" s="44"/>
      <c r="L215" s="44"/>
      <c r="M215" s="64"/>
      <c r="N215" s="64"/>
      <c r="R215" s="39"/>
      <c r="U215" s="206"/>
    </row>
    <row r="216" spans="3:21" s="49" customFormat="1" ht="15.75" x14ac:dyDescent="0.25">
      <c r="C216" s="48"/>
      <c r="D216" s="60"/>
      <c r="E216" s="60"/>
      <c r="F216" s="60"/>
      <c r="G216" s="50"/>
      <c r="H216" s="61"/>
      <c r="I216" s="44"/>
      <c r="J216" s="44"/>
      <c r="K216" s="44"/>
      <c r="L216" s="44"/>
      <c r="M216" s="64"/>
      <c r="N216" s="64"/>
      <c r="R216" s="39"/>
      <c r="U216" s="206"/>
    </row>
    <row r="217" spans="3:21" s="49" customFormat="1" ht="15.75" x14ac:dyDescent="0.25">
      <c r="C217" s="48"/>
      <c r="D217" s="60"/>
      <c r="E217" s="60"/>
      <c r="F217" s="60"/>
      <c r="G217" s="50"/>
      <c r="H217" s="61"/>
      <c r="I217" s="44"/>
      <c r="J217" s="44"/>
      <c r="K217" s="44"/>
      <c r="L217" s="44"/>
      <c r="M217" s="64"/>
      <c r="N217" s="64"/>
      <c r="R217" s="39"/>
      <c r="U217" s="206"/>
    </row>
    <row r="218" spans="3:21" s="49" customFormat="1" ht="15.75" x14ac:dyDescent="0.25">
      <c r="C218" s="48"/>
      <c r="D218" s="60"/>
      <c r="E218" s="60"/>
      <c r="F218" s="60"/>
      <c r="G218" s="50"/>
      <c r="H218" s="61"/>
      <c r="I218" s="44"/>
      <c r="J218" s="44"/>
      <c r="K218" s="44"/>
      <c r="L218" s="44"/>
      <c r="M218" s="64"/>
      <c r="N218" s="64"/>
      <c r="R218" s="39"/>
      <c r="U218" s="206"/>
    </row>
    <row r="219" spans="3:21" s="49" customFormat="1" ht="15.75" x14ac:dyDescent="0.25">
      <c r="C219" s="48"/>
      <c r="D219" s="60"/>
      <c r="E219" s="60"/>
      <c r="F219" s="60"/>
      <c r="G219" s="50"/>
      <c r="H219" s="61"/>
      <c r="I219" s="44"/>
      <c r="J219" s="44"/>
      <c r="K219" s="44"/>
      <c r="L219" s="44"/>
      <c r="M219" s="64"/>
      <c r="N219" s="64"/>
      <c r="R219" s="39"/>
      <c r="U219" s="206"/>
    </row>
    <row r="220" spans="3:21" s="49" customFormat="1" ht="15.75" x14ac:dyDescent="0.25">
      <c r="C220" s="48"/>
      <c r="D220" s="60"/>
      <c r="E220" s="60"/>
      <c r="F220" s="60"/>
      <c r="G220" s="50"/>
      <c r="H220" s="61"/>
      <c r="I220" s="44"/>
      <c r="J220" s="44"/>
      <c r="K220" s="44"/>
      <c r="L220" s="44"/>
      <c r="M220" s="64"/>
      <c r="N220" s="64"/>
      <c r="R220" s="39"/>
      <c r="U220" s="206"/>
    </row>
    <row r="221" spans="3:21" s="49" customFormat="1" ht="15.75" x14ac:dyDescent="0.25">
      <c r="C221" s="48"/>
      <c r="D221" s="60"/>
      <c r="E221" s="60"/>
      <c r="F221" s="60"/>
      <c r="G221" s="50"/>
      <c r="H221" s="61"/>
      <c r="I221" s="44"/>
      <c r="J221" s="44"/>
      <c r="K221" s="44"/>
      <c r="L221" s="44"/>
      <c r="M221" s="64"/>
      <c r="N221" s="64"/>
      <c r="R221" s="39"/>
      <c r="U221" s="206"/>
    </row>
    <row r="222" spans="3:21" s="49" customFormat="1" ht="15.75" x14ac:dyDescent="0.25">
      <c r="C222" s="48"/>
      <c r="D222" s="60"/>
      <c r="E222" s="60"/>
      <c r="F222" s="60"/>
      <c r="G222" s="50"/>
      <c r="H222" s="61"/>
      <c r="I222" s="44"/>
      <c r="J222" s="44"/>
      <c r="K222" s="44"/>
      <c r="L222" s="44"/>
      <c r="M222" s="64"/>
      <c r="N222" s="64"/>
      <c r="R222" s="39"/>
      <c r="U222" s="206"/>
    </row>
    <row r="223" spans="3:21" s="49" customFormat="1" ht="15.75" x14ac:dyDescent="0.25">
      <c r="C223" s="48"/>
      <c r="D223" s="60"/>
      <c r="E223" s="60"/>
      <c r="F223" s="60"/>
      <c r="G223" s="50"/>
      <c r="H223" s="61"/>
      <c r="I223" s="44"/>
      <c r="J223" s="44"/>
      <c r="K223" s="44"/>
      <c r="L223" s="44"/>
      <c r="M223" s="64"/>
      <c r="N223" s="64"/>
      <c r="R223" s="39"/>
      <c r="U223" s="206"/>
    </row>
    <row r="224" spans="3:21" s="49" customFormat="1" ht="15.75" x14ac:dyDescent="0.25">
      <c r="C224" s="48"/>
      <c r="D224" s="60"/>
      <c r="E224" s="60"/>
      <c r="F224" s="60"/>
      <c r="G224" s="50"/>
      <c r="H224" s="61"/>
      <c r="I224" s="44"/>
      <c r="J224" s="44"/>
      <c r="K224" s="44"/>
      <c r="L224" s="44"/>
      <c r="M224" s="64"/>
      <c r="N224" s="64"/>
      <c r="R224" s="39"/>
      <c r="U224" s="206"/>
    </row>
    <row r="225" spans="3:21" s="49" customFormat="1" ht="15.75" x14ac:dyDescent="0.25">
      <c r="C225" s="48"/>
      <c r="D225" s="60"/>
      <c r="E225" s="60"/>
      <c r="F225" s="60"/>
      <c r="G225" s="50"/>
      <c r="H225" s="61"/>
      <c r="I225" s="44"/>
      <c r="J225" s="44"/>
      <c r="K225" s="44"/>
      <c r="L225" s="44"/>
      <c r="M225" s="64"/>
      <c r="N225" s="64"/>
      <c r="R225" s="39"/>
      <c r="U225" s="206"/>
    </row>
    <row r="226" spans="3:21" s="49" customFormat="1" ht="15.75" x14ac:dyDescent="0.25">
      <c r="C226" s="48"/>
      <c r="D226" s="60"/>
      <c r="E226" s="60"/>
      <c r="F226" s="60"/>
      <c r="G226" s="50"/>
      <c r="H226" s="61"/>
      <c r="I226" s="44"/>
      <c r="J226" s="44"/>
      <c r="K226" s="44"/>
      <c r="L226" s="44"/>
      <c r="M226" s="64"/>
      <c r="N226" s="64"/>
      <c r="R226" s="39"/>
      <c r="U226" s="206"/>
    </row>
    <row r="227" spans="3:21" s="49" customFormat="1" ht="15.75" x14ac:dyDescent="0.25">
      <c r="C227" s="48"/>
      <c r="D227" s="60"/>
      <c r="E227" s="60"/>
      <c r="F227" s="60"/>
      <c r="G227" s="50"/>
      <c r="H227" s="61"/>
      <c r="I227" s="44"/>
      <c r="J227" s="44"/>
      <c r="K227" s="44"/>
      <c r="L227" s="44"/>
      <c r="M227" s="64"/>
      <c r="N227" s="64"/>
      <c r="R227" s="39"/>
      <c r="U227" s="206"/>
    </row>
    <row r="228" spans="3:21" s="49" customFormat="1" ht="15.75" x14ac:dyDescent="0.25">
      <c r="C228" s="48"/>
      <c r="D228" s="60"/>
      <c r="E228" s="60"/>
      <c r="F228" s="60"/>
      <c r="G228" s="50"/>
      <c r="H228" s="61"/>
      <c r="I228" s="44"/>
      <c r="J228" s="44"/>
      <c r="K228" s="44"/>
      <c r="L228" s="44"/>
      <c r="M228" s="64"/>
      <c r="N228" s="64"/>
      <c r="R228" s="39"/>
      <c r="U228" s="206"/>
    </row>
    <row r="229" spans="3:21" s="49" customFormat="1" ht="15.75" x14ac:dyDescent="0.25">
      <c r="C229" s="48"/>
      <c r="D229" s="60"/>
      <c r="E229" s="60"/>
      <c r="F229" s="60"/>
      <c r="G229" s="50"/>
      <c r="H229" s="61"/>
      <c r="I229" s="44"/>
      <c r="J229" s="44"/>
      <c r="K229" s="44"/>
      <c r="L229" s="44"/>
      <c r="M229" s="64"/>
      <c r="N229" s="64"/>
      <c r="R229" s="39"/>
      <c r="U229" s="206"/>
    </row>
    <row r="230" spans="3:21" s="49" customFormat="1" ht="15.75" x14ac:dyDescent="0.25">
      <c r="C230" s="48"/>
      <c r="D230" s="60"/>
      <c r="E230" s="60"/>
      <c r="F230" s="60"/>
      <c r="G230" s="50"/>
      <c r="H230" s="61"/>
      <c r="I230" s="44"/>
      <c r="J230" s="44"/>
      <c r="K230" s="44"/>
      <c r="L230" s="44"/>
      <c r="M230" s="64"/>
      <c r="N230" s="64"/>
      <c r="R230" s="39"/>
      <c r="U230" s="206"/>
    </row>
    <row r="231" spans="3:21" s="49" customFormat="1" ht="15.75" x14ac:dyDescent="0.25">
      <c r="C231" s="48"/>
      <c r="D231" s="60"/>
      <c r="E231" s="60"/>
      <c r="F231" s="60"/>
      <c r="G231" s="50"/>
      <c r="H231" s="61"/>
      <c r="I231" s="44"/>
      <c r="J231" s="44"/>
      <c r="K231" s="44"/>
      <c r="L231" s="44"/>
      <c r="M231" s="64"/>
      <c r="N231" s="64"/>
      <c r="R231" s="39"/>
      <c r="U231" s="206"/>
    </row>
    <row r="232" spans="3:21" s="49" customFormat="1" ht="15.75" x14ac:dyDescent="0.25">
      <c r="C232" s="48"/>
      <c r="D232" s="60"/>
      <c r="E232" s="60"/>
      <c r="F232" s="60"/>
      <c r="G232" s="50"/>
      <c r="H232" s="61"/>
      <c r="I232" s="44"/>
      <c r="J232" s="44"/>
      <c r="K232" s="44"/>
      <c r="L232" s="44"/>
      <c r="M232" s="64"/>
      <c r="N232" s="64"/>
      <c r="R232" s="39"/>
      <c r="U232" s="206"/>
    </row>
    <row r="233" spans="3:21" s="49" customFormat="1" ht="15.75" x14ac:dyDescent="0.25">
      <c r="C233" s="48"/>
      <c r="D233" s="60"/>
      <c r="E233" s="60"/>
      <c r="F233" s="60"/>
      <c r="G233" s="50"/>
      <c r="H233" s="61"/>
      <c r="I233" s="44"/>
      <c r="J233" s="44"/>
      <c r="K233" s="44"/>
      <c r="L233" s="44"/>
      <c r="M233" s="64"/>
      <c r="N233" s="64"/>
      <c r="R233" s="39"/>
      <c r="U233" s="206"/>
    </row>
    <row r="234" spans="3:21" s="49" customFormat="1" ht="15.75" x14ac:dyDescent="0.25">
      <c r="C234" s="48"/>
      <c r="D234" s="60"/>
      <c r="E234" s="60"/>
      <c r="F234" s="60"/>
      <c r="G234" s="50"/>
      <c r="H234" s="61"/>
      <c r="I234" s="44"/>
      <c r="J234" s="44"/>
      <c r="K234" s="44"/>
      <c r="L234" s="44"/>
      <c r="M234" s="64"/>
      <c r="N234" s="64"/>
      <c r="R234" s="39"/>
      <c r="U234" s="206"/>
    </row>
    <row r="235" spans="3:21" s="49" customFormat="1" ht="15.75" x14ac:dyDescent="0.25">
      <c r="C235" s="48"/>
      <c r="D235" s="60"/>
      <c r="E235" s="60"/>
      <c r="F235" s="60"/>
      <c r="G235" s="50"/>
      <c r="H235" s="61"/>
      <c r="I235" s="44"/>
      <c r="J235" s="44"/>
      <c r="K235" s="44"/>
      <c r="L235" s="44"/>
      <c r="M235" s="64"/>
      <c r="N235" s="64"/>
      <c r="R235" s="39"/>
      <c r="U235" s="206"/>
    </row>
    <row r="236" spans="3:21" s="49" customFormat="1" ht="15.75" x14ac:dyDescent="0.25">
      <c r="C236" s="48"/>
      <c r="D236" s="60"/>
      <c r="E236" s="60"/>
      <c r="F236" s="60"/>
      <c r="G236" s="50"/>
      <c r="H236" s="61"/>
      <c r="I236" s="44"/>
      <c r="J236" s="44"/>
      <c r="K236" s="44"/>
      <c r="L236" s="44"/>
      <c r="M236" s="64"/>
      <c r="N236" s="64"/>
      <c r="R236" s="39"/>
      <c r="U236" s="206"/>
    </row>
    <row r="237" spans="3:21" s="49" customFormat="1" ht="15.75" x14ac:dyDescent="0.25">
      <c r="C237" s="48"/>
      <c r="D237" s="60"/>
      <c r="E237" s="60"/>
      <c r="F237" s="60"/>
      <c r="G237" s="50"/>
      <c r="H237" s="61"/>
      <c r="I237" s="44"/>
      <c r="J237" s="44"/>
      <c r="K237" s="44"/>
      <c r="L237" s="44"/>
      <c r="M237" s="64"/>
      <c r="N237" s="64"/>
      <c r="R237" s="39"/>
      <c r="U237" s="206"/>
    </row>
    <row r="238" spans="3:21" s="49" customFormat="1" ht="15.75" x14ac:dyDescent="0.25">
      <c r="C238" s="48"/>
      <c r="D238" s="60"/>
      <c r="E238" s="60"/>
      <c r="F238" s="60"/>
      <c r="G238" s="50"/>
      <c r="H238" s="61"/>
      <c r="I238" s="44"/>
      <c r="J238" s="44"/>
      <c r="K238" s="44"/>
      <c r="L238" s="44"/>
      <c r="M238" s="64"/>
      <c r="N238" s="64"/>
      <c r="R238" s="39"/>
      <c r="U238" s="206"/>
    </row>
    <row r="239" spans="3:21" s="49" customFormat="1" ht="15.75" x14ac:dyDescent="0.25">
      <c r="C239" s="48"/>
      <c r="D239" s="60"/>
      <c r="E239" s="60"/>
      <c r="F239" s="60"/>
      <c r="G239" s="50"/>
      <c r="H239" s="61"/>
      <c r="I239" s="44"/>
      <c r="J239" s="44"/>
      <c r="K239" s="44"/>
      <c r="L239" s="44"/>
      <c r="M239" s="64"/>
      <c r="N239" s="64"/>
      <c r="R239" s="39"/>
      <c r="U239" s="206"/>
    </row>
    <row r="240" spans="3:21" s="49" customFormat="1" ht="15.75" x14ac:dyDescent="0.25">
      <c r="C240" s="48"/>
      <c r="D240" s="60"/>
      <c r="E240" s="60"/>
      <c r="F240" s="60"/>
      <c r="G240" s="50"/>
      <c r="H240" s="61"/>
      <c r="I240" s="44"/>
      <c r="J240" s="44"/>
      <c r="K240" s="44"/>
      <c r="L240" s="44"/>
      <c r="M240" s="64"/>
      <c r="N240" s="64"/>
      <c r="R240" s="39"/>
      <c r="U240" s="206"/>
    </row>
    <row r="241" spans="3:21" s="49" customFormat="1" ht="15.75" x14ac:dyDescent="0.25">
      <c r="C241" s="48"/>
      <c r="D241" s="60"/>
      <c r="E241" s="60"/>
      <c r="F241" s="60"/>
      <c r="G241" s="50"/>
      <c r="H241" s="61"/>
      <c r="I241" s="44"/>
      <c r="J241" s="44"/>
      <c r="K241" s="44"/>
      <c r="L241" s="44"/>
      <c r="M241" s="64"/>
      <c r="N241" s="64"/>
      <c r="R241" s="39"/>
      <c r="U241" s="206"/>
    </row>
    <row r="242" spans="3:21" s="49" customFormat="1" ht="15.75" x14ac:dyDescent="0.25">
      <c r="C242" s="48"/>
      <c r="D242" s="60"/>
      <c r="E242" s="60"/>
      <c r="F242" s="60"/>
      <c r="G242" s="50"/>
      <c r="H242" s="61"/>
      <c r="I242" s="44"/>
      <c r="J242" s="44"/>
      <c r="K242" s="44"/>
      <c r="L242" s="44"/>
      <c r="M242" s="64"/>
      <c r="N242" s="64"/>
      <c r="R242" s="39"/>
      <c r="U242" s="206"/>
    </row>
    <row r="243" spans="3:21" s="49" customFormat="1" ht="15.75" x14ac:dyDescent="0.25">
      <c r="C243" s="48"/>
      <c r="D243" s="60"/>
      <c r="E243" s="60"/>
      <c r="F243" s="60"/>
      <c r="G243" s="50"/>
      <c r="H243" s="61"/>
      <c r="I243" s="44"/>
      <c r="J243" s="44"/>
      <c r="K243" s="44"/>
      <c r="L243" s="44"/>
      <c r="M243" s="64"/>
      <c r="N243" s="64"/>
      <c r="R243" s="39"/>
      <c r="U243" s="206"/>
    </row>
    <row r="244" spans="3:21" s="49" customFormat="1" ht="15.75" x14ac:dyDescent="0.25">
      <c r="C244" s="48"/>
      <c r="D244" s="60"/>
      <c r="E244" s="60"/>
      <c r="F244" s="60"/>
      <c r="G244" s="50"/>
      <c r="H244" s="61"/>
      <c r="I244" s="44"/>
      <c r="J244" s="44"/>
      <c r="K244" s="44"/>
      <c r="L244" s="44"/>
      <c r="M244" s="64"/>
      <c r="N244" s="64"/>
      <c r="R244" s="39"/>
      <c r="U244" s="206"/>
    </row>
    <row r="245" spans="3:21" s="49" customFormat="1" ht="15.75" x14ac:dyDescent="0.25">
      <c r="C245" s="48"/>
      <c r="D245" s="60"/>
      <c r="E245" s="60"/>
      <c r="F245" s="60"/>
      <c r="G245" s="50"/>
      <c r="H245" s="61"/>
      <c r="I245" s="44"/>
      <c r="J245" s="44"/>
      <c r="K245" s="44"/>
      <c r="L245" s="44"/>
      <c r="M245" s="64"/>
      <c r="N245" s="64"/>
      <c r="R245" s="39"/>
      <c r="U245" s="206"/>
    </row>
    <row r="246" spans="3:21" s="49" customFormat="1" ht="15.75" x14ac:dyDescent="0.25">
      <c r="C246" s="48"/>
      <c r="D246" s="60"/>
      <c r="E246" s="60"/>
      <c r="F246" s="60"/>
      <c r="G246" s="50"/>
      <c r="H246" s="61"/>
      <c r="I246" s="44"/>
      <c r="J246" s="44"/>
      <c r="K246" s="44"/>
      <c r="L246" s="44"/>
      <c r="M246" s="64"/>
      <c r="N246" s="64"/>
      <c r="R246" s="39"/>
      <c r="U246" s="206"/>
    </row>
    <row r="247" spans="3:21" s="49" customFormat="1" ht="15.75" x14ac:dyDescent="0.25">
      <c r="C247" s="48"/>
      <c r="D247" s="60"/>
      <c r="E247" s="60"/>
      <c r="F247" s="60"/>
      <c r="G247" s="50"/>
      <c r="H247" s="61"/>
      <c r="I247" s="44"/>
      <c r="J247" s="44"/>
      <c r="K247" s="44"/>
      <c r="L247" s="44"/>
      <c r="M247" s="64"/>
      <c r="N247" s="64"/>
      <c r="R247" s="39"/>
      <c r="U247" s="206"/>
    </row>
    <row r="248" spans="3:21" s="49" customFormat="1" ht="15.75" x14ac:dyDescent="0.25">
      <c r="C248" s="48"/>
      <c r="D248" s="60"/>
      <c r="E248" s="60"/>
      <c r="F248" s="60"/>
      <c r="G248" s="50"/>
      <c r="H248" s="61"/>
      <c r="I248" s="44"/>
      <c r="J248" s="44"/>
      <c r="K248" s="44"/>
      <c r="L248" s="44"/>
      <c r="M248" s="64"/>
      <c r="N248" s="64"/>
      <c r="R248" s="39"/>
      <c r="U248" s="206"/>
    </row>
    <row r="249" spans="3:21" s="49" customFormat="1" ht="15.75" x14ac:dyDescent="0.25">
      <c r="C249" s="48"/>
      <c r="D249" s="60"/>
      <c r="E249" s="60"/>
      <c r="F249" s="60"/>
      <c r="G249" s="50"/>
      <c r="H249" s="61"/>
      <c r="I249" s="44"/>
      <c r="J249" s="44"/>
      <c r="K249" s="44"/>
      <c r="L249" s="44"/>
      <c r="M249" s="64"/>
      <c r="N249" s="64"/>
      <c r="R249" s="39"/>
      <c r="U249" s="206"/>
    </row>
    <row r="250" spans="3:21" s="49" customFormat="1" ht="15.75" x14ac:dyDescent="0.25">
      <c r="C250" s="48"/>
      <c r="D250" s="60"/>
      <c r="E250" s="60"/>
      <c r="F250" s="60"/>
      <c r="G250" s="50"/>
      <c r="H250" s="61"/>
      <c r="I250" s="44"/>
      <c r="J250" s="44"/>
      <c r="K250" s="44"/>
      <c r="L250" s="44"/>
      <c r="M250" s="64"/>
      <c r="N250" s="64"/>
      <c r="R250" s="39"/>
      <c r="U250" s="206"/>
    </row>
    <row r="251" spans="3:21" s="49" customFormat="1" ht="15.75" x14ac:dyDescent="0.25">
      <c r="C251" s="48"/>
      <c r="D251" s="60"/>
      <c r="E251" s="60"/>
      <c r="F251" s="60"/>
      <c r="G251" s="50"/>
      <c r="H251" s="61"/>
      <c r="I251" s="44"/>
      <c r="J251" s="44"/>
      <c r="K251" s="44"/>
      <c r="L251" s="44"/>
      <c r="M251" s="64"/>
      <c r="N251" s="64"/>
      <c r="R251" s="39"/>
      <c r="U251" s="206"/>
    </row>
    <row r="252" spans="3:21" s="49" customFormat="1" ht="15.75" x14ac:dyDescent="0.25">
      <c r="C252" s="48"/>
      <c r="D252" s="60"/>
      <c r="E252" s="60"/>
      <c r="F252" s="60"/>
      <c r="G252" s="50"/>
      <c r="H252" s="61"/>
      <c r="I252" s="44"/>
      <c r="J252" s="44"/>
      <c r="K252" s="44"/>
      <c r="L252" s="44"/>
      <c r="M252" s="64"/>
      <c r="N252" s="64"/>
      <c r="R252" s="39"/>
      <c r="U252" s="206"/>
    </row>
    <row r="253" spans="3:21" s="49" customFormat="1" ht="15.75" x14ac:dyDescent="0.25">
      <c r="C253" s="48"/>
      <c r="D253" s="60"/>
      <c r="E253" s="60"/>
      <c r="F253" s="60"/>
      <c r="G253" s="50"/>
      <c r="H253" s="61"/>
      <c r="I253" s="44"/>
      <c r="J253" s="44"/>
      <c r="K253" s="44"/>
      <c r="L253" s="44"/>
      <c r="M253" s="64"/>
      <c r="N253" s="64"/>
      <c r="R253" s="39"/>
      <c r="U253" s="206"/>
    </row>
    <row r="254" spans="3:21" s="49" customFormat="1" ht="15.75" x14ac:dyDescent="0.25">
      <c r="C254" s="48"/>
      <c r="D254" s="60"/>
      <c r="E254" s="60"/>
      <c r="F254" s="60"/>
      <c r="G254" s="50"/>
      <c r="H254" s="61"/>
      <c r="I254" s="44"/>
      <c r="J254" s="44"/>
      <c r="K254" s="44"/>
      <c r="L254" s="44"/>
      <c r="M254" s="64"/>
      <c r="N254" s="64"/>
      <c r="R254" s="39"/>
      <c r="U254" s="206"/>
    </row>
    <row r="255" spans="3:21" s="49" customFormat="1" ht="15.75" x14ac:dyDescent="0.25">
      <c r="C255" s="48"/>
      <c r="D255" s="60"/>
      <c r="E255" s="60"/>
      <c r="F255" s="60"/>
      <c r="G255" s="50"/>
      <c r="H255" s="61"/>
      <c r="I255" s="44"/>
      <c r="J255" s="44"/>
      <c r="K255" s="44"/>
      <c r="L255" s="44"/>
      <c r="M255" s="64"/>
      <c r="N255" s="64"/>
      <c r="R255" s="39"/>
      <c r="U255" s="206"/>
    </row>
    <row r="256" spans="3:21" s="49" customFormat="1" ht="15.75" x14ac:dyDescent="0.25">
      <c r="C256" s="48"/>
      <c r="D256" s="60"/>
      <c r="E256" s="60"/>
      <c r="F256" s="60"/>
      <c r="G256" s="50"/>
      <c r="H256" s="61"/>
      <c r="I256" s="44"/>
      <c r="J256" s="44"/>
      <c r="K256" s="44"/>
      <c r="L256" s="44"/>
      <c r="M256" s="64"/>
      <c r="N256" s="64"/>
      <c r="R256" s="39"/>
      <c r="U256" s="206"/>
    </row>
    <row r="257" spans="3:21" s="49" customFormat="1" ht="15.75" x14ac:dyDescent="0.25">
      <c r="C257" s="48"/>
      <c r="D257" s="60"/>
      <c r="E257" s="60"/>
      <c r="F257" s="60"/>
      <c r="G257" s="50"/>
      <c r="H257" s="61"/>
      <c r="I257" s="44"/>
      <c r="J257" s="44"/>
      <c r="K257" s="44"/>
      <c r="L257" s="44"/>
      <c r="M257" s="64"/>
      <c r="N257" s="64"/>
      <c r="R257" s="39"/>
      <c r="U257" s="206"/>
    </row>
    <row r="258" spans="3:21" s="49" customFormat="1" ht="15.75" x14ac:dyDescent="0.25">
      <c r="C258" s="48"/>
      <c r="D258" s="60"/>
      <c r="E258" s="60"/>
      <c r="F258" s="60"/>
      <c r="G258" s="50"/>
      <c r="H258" s="61"/>
      <c r="I258" s="44"/>
      <c r="J258" s="44"/>
      <c r="K258" s="44"/>
      <c r="L258" s="44"/>
      <c r="M258" s="64"/>
      <c r="N258" s="64"/>
      <c r="R258" s="39"/>
      <c r="U258" s="206"/>
    </row>
    <row r="259" spans="3:21" s="49" customFormat="1" ht="15.75" x14ac:dyDescent="0.25">
      <c r="C259" s="48"/>
      <c r="D259" s="60"/>
      <c r="E259" s="60"/>
      <c r="F259" s="60"/>
      <c r="G259" s="50"/>
      <c r="H259" s="61"/>
      <c r="I259" s="44"/>
      <c r="J259" s="44"/>
      <c r="K259" s="44"/>
      <c r="L259" s="44"/>
      <c r="M259" s="64"/>
      <c r="N259" s="64"/>
      <c r="R259" s="39"/>
      <c r="U259" s="206"/>
    </row>
    <row r="260" spans="3:21" s="49" customFormat="1" ht="15.75" x14ac:dyDescent="0.25">
      <c r="C260" s="48"/>
      <c r="D260" s="60"/>
      <c r="E260" s="60"/>
      <c r="F260" s="60"/>
      <c r="G260" s="50"/>
      <c r="H260" s="61"/>
      <c r="I260" s="44"/>
      <c r="J260" s="44"/>
      <c r="K260" s="44"/>
      <c r="L260" s="44"/>
      <c r="M260" s="64"/>
      <c r="N260" s="64"/>
      <c r="R260" s="39"/>
      <c r="U260" s="206"/>
    </row>
    <row r="261" spans="3:21" s="49" customFormat="1" ht="15.75" x14ac:dyDescent="0.25">
      <c r="C261" s="48"/>
      <c r="D261" s="60"/>
      <c r="E261" s="60"/>
      <c r="F261" s="60"/>
      <c r="G261" s="50"/>
      <c r="H261" s="61"/>
      <c r="I261" s="44"/>
      <c r="J261" s="44"/>
      <c r="K261" s="44"/>
      <c r="L261" s="44"/>
      <c r="M261" s="64"/>
      <c r="N261" s="64"/>
      <c r="R261" s="39"/>
      <c r="U261" s="206"/>
    </row>
    <row r="262" spans="3:21" s="49" customFormat="1" ht="15.75" x14ac:dyDescent="0.25">
      <c r="C262" s="48"/>
      <c r="D262" s="60"/>
      <c r="E262" s="60"/>
      <c r="F262" s="60"/>
      <c r="G262" s="50"/>
      <c r="H262" s="61"/>
      <c r="I262" s="44"/>
      <c r="J262" s="44"/>
      <c r="K262" s="44"/>
      <c r="L262" s="44"/>
      <c r="M262" s="64"/>
      <c r="N262" s="64"/>
      <c r="R262" s="39"/>
      <c r="U262" s="206"/>
    </row>
    <row r="263" spans="3:21" s="49" customFormat="1" ht="15.75" x14ac:dyDescent="0.25">
      <c r="C263" s="48"/>
      <c r="D263" s="60"/>
      <c r="E263" s="60"/>
      <c r="F263" s="60"/>
      <c r="G263" s="50"/>
      <c r="H263" s="61"/>
      <c r="I263" s="44"/>
      <c r="J263" s="44"/>
      <c r="K263" s="44"/>
      <c r="L263" s="44"/>
      <c r="M263" s="64"/>
      <c r="N263" s="64"/>
      <c r="R263" s="39"/>
      <c r="U263" s="206"/>
    </row>
    <row r="264" spans="3:21" s="49" customFormat="1" ht="15.75" x14ac:dyDescent="0.25">
      <c r="C264" s="48"/>
      <c r="D264" s="60"/>
      <c r="E264" s="60"/>
      <c r="F264" s="60"/>
      <c r="G264" s="50"/>
      <c r="H264" s="61"/>
      <c r="I264" s="44"/>
      <c r="J264" s="44"/>
      <c r="K264" s="44"/>
      <c r="L264" s="44"/>
      <c r="M264" s="64"/>
      <c r="N264" s="64"/>
      <c r="R264" s="39"/>
      <c r="U264" s="206"/>
    </row>
    <row r="265" spans="3:21" s="49" customFormat="1" ht="15.75" x14ac:dyDescent="0.25">
      <c r="C265" s="48"/>
      <c r="D265" s="60"/>
      <c r="E265" s="60"/>
      <c r="F265" s="60"/>
      <c r="G265" s="50"/>
      <c r="H265" s="61"/>
      <c r="I265" s="44"/>
      <c r="J265" s="44"/>
      <c r="K265" s="44"/>
      <c r="L265" s="44"/>
      <c r="M265" s="64"/>
      <c r="N265" s="64"/>
      <c r="R265" s="39"/>
      <c r="U265" s="206"/>
    </row>
    <row r="266" spans="3:21" s="49" customFormat="1" ht="15.75" x14ac:dyDescent="0.25">
      <c r="C266" s="48"/>
      <c r="D266" s="60"/>
      <c r="E266" s="60"/>
      <c r="F266" s="60"/>
      <c r="G266" s="50"/>
      <c r="H266" s="61"/>
      <c r="I266" s="44"/>
      <c r="J266" s="44"/>
      <c r="K266" s="44"/>
      <c r="L266" s="44"/>
      <c r="M266" s="64"/>
      <c r="N266" s="64"/>
      <c r="R266" s="39"/>
      <c r="U266" s="206"/>
    </row>
    <row r="267" spans="3:21" s="49" customFormat="1" ht="15.75" x14ac:dyDescent="0.25">
      <c r="C267" s="48"/>
      <c r="D267" s="60"/>
      <c r="E267" s="60"/>
      <c r="F267" s="60"/>
      <c r="G267" s="50"/>
      <c r="H267" s="61"/>
      <c r="I267" s="44"/>
      <c r="J267" s="44"/>
      <c r="K267" s="44"/>
      <c r="L267" s="44"/>
      <c r="M267" s="64"/>
      <c r="N267" s="64"/>
      <c r="R267" s="39"/>
      <c r="U267" s="206"/>
    </row>
    <row r="268" spans="3:21" s="49" customFormat="1" ht="15.75" x14ac:dyDescent="0.25">
      <c r="C268" s="48"/>
      <c r="D268" s="60"/>
      <c r="E268" s="60"/>
      <c r="F268" s="60"/>
      <c r="G268" s="50"/>
      <c r="H268" s="61"/>
      <c r="I268" s="44"/>
      <c r="J268" s="44"/>
      <c r="K268" s="44"/>
      <c r="L268" s="44"/>
      <c r="M268" s="64"/>
      <c r="N268" s="64"/>
      <c r="R268" s="39"/>
      <c r="U268" s="206"/>
    </row>
    <row r="269" spans="3:21" s="49" customFormat="1" ht="15.75" x14ac:dyDescent="0.25">
      <c r="C269" s="48"/>
      <c r="D269" s="60"/>
      <c r="E269" s="60"/>
      <c r="F269" s="60"/>
      <c r="G269" s="50"/>
      <c r="H269" s="61"/>
      <c r="I269" s="44"/>
      <c r="J269" s="44"/>
      <c r="K269" s="44"/>
      <c r="L269" s="44"/>
      <c r="M269" s="64"/>
      <c r="N269" s="64"/>
      <c r="R269" s="39"/>
      <c r="U269" s="206"/>
    </row>
    <row r="270" spans="3:21" s="49" customFormat="1" ht="15.75" x14ac:dyDescent="0.25">
      <c r="C270" s="48"/>
      <c r="D270" s="60"/>
      <c r="E270" s="60"/>
      <c r="F270" s="60"/>
      <c r="G270" s="50"/>
      <c r="H270" s="61"/>
      <c r="I270" s="44"/>
      <c r="J270" s="44"/>
      <c r="K270" s="44"/>
      <c r="L270" s="44"/>
      <c r="M270" s="64"/>
      <c r="N270" s="64"/>
      <c r="R270" s="39"/>
      <c r="U270" s="206"/>
    </row>
    <row r="271" spans="3:21" s="49" customFormat="1" ht="15.75" x14ac:dyDescent="0.25">
      <c r="C271" s="48"/>
      <c r="D271" s="60"/>
      <c r="E271" s="60"/>
      <c r="F271" s="60"/>
      <c r="G271" s="50"/>
      <c r="H271" s="61"/>
      <c r="I271" s="44"/>
      <c r="J271" s="44"/>
      <c r="K271" s="44"/>
      <c r="L271" s="44"/>
      <c r="M271" s="64"/>
      <c r="N271" s="64"/>
      <c r="R271" s="39"/>
      <c r="U271" s="206"/>
    </row>
    <row r="272" spans="3:21" s="49" customFormat="1" ht="15.75" x14ac:dyDescent="0.25">
      <c r="C272" s="48"/>
      <c r="D272" s="60"/>
      <c r="E272" s="60"/>
      <c r="F272" s="60"/>
      <c r="G272" s="50"/>
      <c r="H272" s="61"/>
      <c r="I272" s="44"/>
      <c r="J272" s="44"/>
      <c r="K272" s="44"/>
      <c r="L272" s="44"/>
      <c r="M272" s="64"/>
      <c r="N272" s="64"/>
      <c r="R272" s="39"/>
      <c r="U272" s="206"/>
    </row>
    <row r="273" spans="3:21" s="49" customFormat="1" ht="15.75" x14ac:dyDescent="0.25">
      <c r="C273" s="48"/>
      <c r="D273" s="60"/>
      <c r="E273" s="60"/>
      <c r="F273" s="60"/>
      <c r="G273" s="50"/>
      <c r="H273" s="61"/>
      <c r="I273" s="44"/>
      <c r="J273" s="44"/>
      <c r="K273" s="44"/>
      <c r="L273" s="44"/>
      <c r="M273" s="64"/>
      <c r="N273" s="64"/>
      <c r="R273" s="39"/>
      <c r="U273" s="206"/>
    </row>
    <row r="274" spans="3:21" s="49" customFormat="1" ht="15.75" x14ac:dyDescent="0.25">
      <c r="C274" s="48"/>
      <c r="D274" s="60"/>
      <c r="E274" s="60"/>
      <c r="F274" s="60"/>
      <c r="G274" s="50"/>
      <c r="H274" s="61"/>
      <c r="I274" s="44"/>
      <c r="J274" s="44"/>
      <c r="K274" s="44"/>
      <c r="L274" s="44"/>
      <c r="M274" s="64"/>
      <c r="N274" s="64"/>
      <c r="R274" s="39"/>
      <c r="U274" s="206"/>
    </row>
    <row r="275" spans="3:21" s="49" customFormat="1" ht="15.75" x14ac:dyDescent="0.25">
      <c r="C275" s="48"/>
      <c r="D275" s="60"/>
      <c r="E275" s="60"/>
      <c r="F275" s="60"/>
      <c r="G275" s="50"/>
      <c r="H275" s="61"/>
      <c r="I275" s="44"/>
      <c r="J275" s="44"/>
      <c r="K275" s="44"/>
      <c r="L275" s="44"/>
      <c r="M275" s="64"/>
      <c r="N275" s="64"/>
      <c r="R275" s="39"/>
      <c r="U275" s="206"/>
    </row>
    <row r="276" spans="3:21" s="49" customFormat="1" ht="15.75" x14ac:dyDescent="0.25">
      <c r="C276" s="48"/>
      <c r="D276" s="60"/>
      <c r="E276" s="60"/>
      <c r="F276" s="60"/>
      <c r="G276" s="50"/>
      <c r="H276" s="61"/>
      <c r="I276" s="44"/>
      <c r="J276" s="44"/>
      <c r="K276" s="44"/>
      <c r="L276" s="44"/>
      <c r="M276" s="64"/>
      <c r="N276" s="64"/>
      <c r="R276" s="39"/>
      <c r="U276" s="206"/>
    </row>
    <row r="277" spans="3:21" s="49" customFormat="1" ht="15.75" x14ac:dyDescent="0.25">
      <c r="C277" s="48"/>
      <c r="D277" s="60"/>
      <c r="E277" s="60"/>
      <c r="F277" s="60"/>
      <c r="G277" s="50"/>
      <c r="H277" s="61"/>
      <c r="I277" s="44"/>
      <c r="J277" s="44"/>
      <c r="K277" s="44"/>
      <c r="L277" s="44"/>
      <c r="M277" s="64"/>
      <c r="N277" s="64"/>
      <c r="R277" s="39"/>
      <c r="U277" s="206"/>
    </row>
    <row r="278" spans="3:21" s="49" customFormat="1" ht="15.75" x14ac:dyDescent="0.25">
      <c r="C278" s="48"/>
      <c r="D278" s="60"/>
      <c r="E278" s="60"/>
      <c r="F278" s="60"/>
      <c r="G278" s="50"/>
      <c r="H278" s="61"/>
      <c r="I278" s="44"/>
      <c r="J278" s="44"/>
      <c r="K278" s="44"/>
      <c r="L278" s="44"/>
      <c r="M278" s="64"/>
      <c r="N278" s="64"/>
      <c r="R278" s="39"/>
      <c r="U278" s="206"/>
    </row>
    <row r="279" spans="3:21" s="49" customFormat="1" ht="15.75" x14ac:dyDescent="0.25">
      <c r="C279" s="48"/>
      <c r="D279" s="60"/>
      <c r="E279" s="60"/>
      <c r="F279" s="60"/>
      <c r="G279" s="50"/>
      <c r="H279" s="61"/>
      <c r="I279" s="44"/>
      <c r="J279" s="44"/>
      <c r="K279" s="44"/>
      <c r="L279" s="44"/>
      <c r="M279" s="64"/>
      <c r="N279" s="64"/>
      <c r="R279" s="39"/>
      <c r="U279" s="206"/>
    </row>
    <row r="280" spans="3:21" s="49" customFormat="1" ht="15.75" x14ac:dyDescent="0.25">
      <c r="C280" s="48"/>
      <c r="D280" s="60"/>
      <c r="E280" s="60"/>
      <c r="F280" s="60"/>
      <c r="G280" s="50"/>
      <c r="H280" s="61"/>
      <c r="I280" s="44"/>
      <c r="J280" s="44"/>
      <c r="K280" s="44"/>
      <c r="L280" s="44"/>
      <c r="M280" s="64"/>
      <c r="N280" s="64"/>
      <c r="R280" s="39"/>
      <c r="U280" s="206"/>
    </row>
    <row r="281" spans="3:21" s="49" customFormat="1" ht="15.75" x14ac:dyDescent="0.25">
      <c r="C281" s="48"/>
      <c r="D281" s="60"/>
      <c r="E281" s="60"/>
      <c r="F281" s="60"/>
      <c r="G281" s="50"/>
      <c r="H281" s="61"/>
      <c r="I281" s="44"/>
      <c r="J281" s="44"/>
      <c r="K281" s="44"/>
      <c r="L281" s="44"/>
      <c r="M281" s="64"/>
      <c r="N281" s="64"/>
      <c r="R281" s="39"/>
      <c r="U281" s="206"/>
    </row>
    <row r="282" spans="3:21" s="49" customFormat="1" ht="15.75" x14ac:dyDescent="0.25">
      <c r="C282" s="48"/>
      <c r="D282" s="60"/>
      <c r="E282" s="60"/>
      <c r="F282" s="60"/>
      <c r="G282" s="50"/>
      <c r="H282" s="61"/>
      <c r="I282" s="44"/>
      <c r="J282" s="44"/>
      <c r="K282" s="44"/>
      <c r="L282" s="44"/>
      <c r="M282" s="64"/>
      <c r="N282" s="64"/>
      <c r="R282" s="39"/>
      <c r="U282" s="206"/>
    </row>
    <row r="283" spans="3:21" s="49" customFormat="1" ht="15.75" x14ac:dyDescent="0.25">
      <c r="C283" s="48"/>
      <c r="D283" s="60"/>
      <c r="E283" s="60"/>
      <c r="F283" s="60"/>
      <c r="G283" s="50"/>
      <c r="H283" s="61"/>
      <c r="I283" s="44"/>
      <c r="J283" s="44"/>
      <c r="K283" s="44"/>
      <c r="L283" s="44"/>
      <c r="M283" s="64"/>
      <c r="N283" s="64"/>
      <c r="R283" s="39"/>
      <c r="U283" s="206"/>
    </row>
    <row r="284" spans="3:21" s="49" customFormat="1" ht="15.75" x14ac:dyDescent="0.25">
      <c r="C284" s="48"/>
      <c r="D284" s="60"/>
      <c r="E284" s="60"/>
      <c r="F284" s="60"/>
      <c r="G284" s="50"/>
      <c r="H284" s="61"/>
      <c r="I284" s="44"/>
      <c r="J284" s="44"/>
      <c r="K284" s="44"/>
      <c r="L284" s="44"/>
      <c r="M284" s="64"/>
      <c r="N284" s="64"/>
      <c r="R284" s="39"/>
      <c r="U284" s="206"/>
    </row>
    <row r="285" spans="3:21" s="49" customFormat="1" ht="15.75" x14ac:dyDescent="0.25">
      <c r="C285" s="48"/>
      <c r="D285" s="60"/>
      <c r="E285" s="60"/>
      <c r="F285" s="60"/>
      <c r="G285" s="50"/>
      <c r="H285" s="61"/>
      <c r="I285" s="44"/>
      <c r="J285" s="44"/>
      <c r="K285" s="44"/>
      <c r="L285" s="44"/>
      <c r="M285" s="64"/>
      <c r="N285" s="64"/>
      <c r="R285" s="39"/>
      <c r="U285" s="206"/>
    </row>
    <row r="286" spans="3:21" s="49" customFormat="1" ht="15.75" x14ac:dyDescent="0.25">
      <c r="C286" s="48"/>
      <c r="D286" s="60"/>
      <c r="E286" s="60"/>
      <c r="F286" s="60"/>
      <c r="G286" s="50"/>
      <c r="H286" s="61"/>
      <c r="I286" s="44"/>
      <c r="J286" s="44"/>
      <c r="K286" s="44"/>
      <c r="L286" s="44"/>
      <c r="M286" s="64"/>
      <c r="N286" s="64"/>
      <c r="R286" s="39"/>
      <c r="U286" s="206"/>
    </row>
    <row r="287" spans="3:21" s="49" customFormat="1" ht="15.75" x14ac:dyDescent="0.25">
      <c r="C287" s="48"/>
      <c r="D287" s="60"/>
      <c r="E287" s="60"/>
      <c r="F287" s="60"/>
      <c r="G287" s="50"/>
      <c r="H287" s="61"/>
      <c r="I287" s="44"/>
      <c r="J287" s="44"/>
      <c r="K287" s="44"/>
      <c r="L287" s="44"/>
      <c r="M287" s="64"/>
      <c r="N287" s="64"/>
      <c r="R287" s="39"/>
      <c r="U287" s="206"/>
    </row>
    <row r="288" spans="3:21" s="49" customFormat="1" ht="15.75" x14ac:dyDescent="0.25">
      <c r="C288" s="48"/>
      <c r="D288" s="60"/>
      <c r="E288" s="60"/>
      <c r="F288" s="60"/>
      <c r="G288" s="50"/>
      <c r="H288" s="61"/>
      <c r="I288" s="44"/>
      <c r="J288" s="44"/>
      <c r="K288" s="44"/>
      <c r="L288" s="44"/>
      <c r="M288" s="64"/>
      <c r="N288" s="64"/>
      <c r="R288" s="39"/>
      <c r="U288" s="206"/>
    </row>
    <row r="289" spans="3:21" s="49" customFormat="1" ht="15.75" x14ac:dyDescent="0.25">
      <c r="C289" s="48"/>
      <c r="D289" s="60"/>
      <c r="E289" s="60"/>
      <c r="F289" s="60"/>
      <c r="G289" s="50"/>
      <c r="H289" s="61"/>
      <c r="I289" s="44"/>
      <c r="J289" s="44"/>
      <c r="K289" s="44"/>
      <c r="L289" s="44"/>
      <c r="M289" s="64"/>
      <c r="N289" s="64"/>
      <c r="R289" s="39"/>
      <c r="U289" s="206"/>
    </row>
    <row r="290" spans="3:21" s="49" customFormat="1" ht="15.75" x14ac:dyDescent="0.25">
      <c r="C290" s="48"/>
      <c r="D290" s="60"/>
      <c r="E290" s="60"/>
      <c r="F290" s="60"/>
      <c r="G290" s="50"/>
      <c r="H290" s="61"/>
      <c r="I290" s="44"/>
      <c r="J290" s="44"/>
      <c r="K290" s="44"/>
      <c r="L290" s="44"/>
      <c r="M290" s="64"/>
      <c r="N290" s="64"/>
      <c r="R290" s="39"/>
      <c r="U290" s="206"/>
    </row>
    <row r="291" spans="3:21" s="49" customFormat="1" ht="15.75" x14ac:dyDescent="0.25">
      <c r="C291" s="48"/>
      <c r="D291" s="60"/>
      <c r="E291" s="60"/>
      <c r="F291" s="60"/>
      <c r="G291" s="50"/>
      <c r="H291" s="61"/>
      <c r="I291" s="44"/>
      <c r="J291" s="44"/>
      <c r="K291" s="44"/>
      <c r="L291" s="44"/>
      <c r="M291" s="64"/>
      <c r="N291" s="64"/>
      <c r="R291" s="39"/>
      <c r="U291" s="206"/>
    </row>
    <row r="292" spans="3:21" s="49" customFormat="1" ht="15.75" x14ac:dyDescent="0.25">
      <c r="C292" s="48"/>
      <c r="D292" s="60"/>
      <c r="E292" s="60"/>
      <c r="F292" s="60"/>
      <c r="G292" s="50"/>
      <c r="H292" s="61"/>
      <c r="I292" s="44"/>
      <c r="J292" s="44"/>
      <c r="K292" s="44"/>
      <c r="L292" s="44"/>
      <c r="M292" s="64"/>
      <c r="N292" s="64"/>
      <c r="R292" s="39"/>
      <c r="U292" s="206"/>
    </row>
    <row r="293" spans="3:21" s="49" customFormat="1" ht="15.75" x14ac:dyDescent="0.25">
      <c r="C293" s="48"/>
      <c r="D293" s="60"/>
      <c r="E293" s="60"/>
      <c r="F293" s="60"/>
      <c r="G293" s="50"/>
      <c r="H293" s="61"/>
      <c r="I293" s="44"/>
      <c r="J293" s="44"/>
      <c r="K293" s="44"/>
      <c r="L293" s="44"/>
      <c r="M293" s="64"/>
      <c r="N293" s="64"/>
      <c r="R293" s="39"/>
      <c r="U293" s="206"/>
    </row>
    <row r="294" spans="3:21" s="49" customFormat="1" ht="15.75" x14ac:dyDescent="0.25">
      <c r="C294" s="48"/>
      <c r="D294" s="60"/>
      <c r="E294" s="60"/>
      <c r="F294" s="60"/>
      <c r="G294" s="50"/>
      <c r="H294" s="61"/>
      <c r="I294" s="44"/>
      <c r="J294" s="44"/>
      <c r="K294" s="44"/>
      <c r="L294" s="44"/>
      <c r="M294" s="64"/>
      <c r="N294" s="64"/>
      <c r="R294" s="39"/>
      <c r="U294" s="206"/>
    </row>
    <row r="295" spans="3:21" s="49" customFormat="1" ht="15.75" x14ac:dyDescent="0.25">
      <c r="C295" s="48"/>
      <c r="D295" s="60"/>
      <c r="E295" s="60"/>
      <c r="F295" s="60"/>
      <c r="G295" s="50"/>
      <c r="H295" s="61"/>
      <c r="I295" s="44"/>
      <c r="J295" s="44"/>
      <c r="K295" s="44"/>
      <c r="L295" s="44"/>
      <c r="M295" s="64"/>
      <c r="N295" s="64"/>
      <c r="R295" s="39"/>
      <c r="U295" s="206"/>
    </row>
    <row r="296" spans="3:21" s="49" customFormat="1" ht="15.75" x14ac:dyDescent="0.25">
      <c r="C296" s="48"/>
      <c r="D296" s="60"/>
      <c r="E296" s="60"/>
      <c r="F296" s="60"/>
      <c r="G296" s="50"/>
      <c r="H296" s="61"/>
      <c r="I296" s="44"/>
      <c r="J296" s="44"/>
      <c r="K296" s="44"/>
      <c r="L296" s="44"/>
      <c r="M296" s="64"/>
      <c r="N296" s="64"/>
      <c r="R296" s="39"/>
      <c r="U296" s="206"/>
    </row>
    <row r="297" spans="3:21" s="49" customFormat="1" ht="15.75" x14ac:dyDescent="0.25">
      <c r="C297" s="48"/>
      <c r="D297" s="60"/>
      <c r="E297" s="60"/>
      <c r="F297" s="60"/>
      <c r="G297" s="50"/>
      <c r="H297" s="61"/>
      <c r="I297" s="44"/>
      <c r="J297" s="44"/>
      <c r="K297" s="44"/>
      <c r="L297" s="44"/>
      <c r="M297" s="64"/>
      <c r="N297" s="64"/>
      <c r="R297" s="39"/>
      <c r="U297" s="206"/>
    </row>
    <row r="298" spans="3:21" s="49" customFormat="1" ht="15.75" x14ac:dyDescent="0.25">
      <c r="C298" s="48"/>
      <c r="D298" s="60"/>
      <c r="E298" s="60"/>
      <c r="F298" s="60"/>
      <c r="G298" s="50"/>
      <c r="H298" s="61"/>
      <c r="I298" s="44"/>
      <c r="J298" s="44"/>
      <c r="K298" s="44"/>
      <c r="L298" s="44"/>
      <c r="M298" s="64"/>
      <c r="N298" s="64"/>
      <c r="R298" s="39"/>
      <c r="U298" s="206"/>
    </row>
    <row r="299" spans="3:21" s="49" customFormat="1" ht="15.75" x14ac:dyDescent="0.25">
      <c r="C299" s="48"/>
      <c r="D299" s="60"/>
      <c r="E299" s="60"/>
      <c r="F299" s="60"/>
      <c r="G299" s="50"/>
      <c r="H299" s="61"/>
      <c r="I299" s="44"/>
      <c r="J299" s="44"/>
      <c r="K299" s="44"/>
      <c r="L299" s="44"/>
      <c r="M299" s="64"/>
      <c r="N299" s="64"/>
      <c r="R299" s="39"/>
      <c r="U299" s="206"/>
    </row>
    <row r="300" spans="3:21" s="49" customFormat="1" ht="15.75" x14ac:dyDescent="0.25">
      <c r="C300" s="48"/>
      <c r="D300" s="60"/>
      <c r="E300" s="60"/>
      <c r="F300" s="60"/>
      <c r="G300" s="50"/>
      <c r="H300" s="61"/>
      <c r="I300" s="44"/>
      <c r="J300" s="44"/>
      <c r="K300" s="44"/>
      <c r="L300" s="44"/>
      <c r="M300" s="64"/>
      <c r="N300" s="64"/>
      <c r="R300" s="39"/>
      <c r="U300" s="206"/>
    </row>
    <row r="301" spans="3:21" s="49" customFormat="1" ht="15.75" x14ac:dyDescent="0.25">
      <c r="C301" s="48"/>
      <c r="D301" s="60"/>
      <c r="E301" s="60"/>
      <c r="F301" s="60"/>
      <c r="G301" s="50"/>
      <c r="H301" s="61"/>
      <c r="I301" s="44"/>
      <c r="J301" s="44"/>
      <c r="K301" s="44"/>
      <c r="L301" s="44"/>
      <c r="M301" s="64"/>
      <c r="N301" s="64"/>
      <c r="R301" s="39"/>
      <c r="U301" s="206"/>
    </row>
    <row r="302" spans="3:21" s="49" customFormat="1" ht="15.75" x14ac:dyDescent="0.25">
      <c r="C302" s="48"/>
      <c r="D302" s="60"/>
      <c r="E302" s="60"/>
      <c r="F302" s="60"/>
      <c r="G302" s="50"/>
      <c r="H302" s="61"/>
      <c r="I302" s="44"/>
      <c r="J302" s="44"/>
      <c r="K302" s="44"/>
      <c r="L302" s="44"/>
      <c r="M302" s="64"/>
      <c r="N302" s="64"/>
      <c r="R302" s="39"/>
      <c r="U302" s="206"/>
    </row>
    <row r="303" spans="3:21" s="49" customFormat="1" ht="15.75" x14ac:dyDescent="0.25">
      <c r="C303" s="48"/>
      <c r="D303" s="60"/>
      <c r="E303" s="60"/>
      <c r="F303" s="60"/>
      <c r="G303" s="50"/>
      <c r="H303" s="61"/>
      <c r="I303" s="44"/>
      <c r="J303" s="44"/>
      <c r="K303" s="44"/>
      <c r="L303" s="44"/>
      <c r="M303" s="64"/>
      <c r="N303" s="64"/>
      <c r="R303" s="39"/>
      <c r="U303" s="206"/>
    </row>
    <row r="304" spans="3:21" s="49" customFormat="1" ht="15.75" x14ac:dyDescent="0.25">
      <c r="C304" s="48"/>
      <c r="D304" s="60"/>
      <c r="E304" s="60"/>
      <c r="F304" s="60"/>
      <c r="G304" s="50"/>
      <c r="H304" s="61"/>
      <c r="I304" s="44"/>
      <c r="J304" s="44"/>
      <c r="K304" s="44"/>
      <c r="L304" s="44"/>
      <c r="M304" s="64"/>
      <c r="N304" s="64"/>
      <c r="R304" s="39"/>
      <c r="U304" s="206"/>
    </row>
    <row r="305" spans="3:21" s="49" customFormat="1" ht="15.75" x14ac:dyDescent="0.25">
      <c r="C305" s="48"/>
      <c r="D305" s="60"/>
      <c r="E305" s="60"/>
      <c r="F305" s="60"/>
      <c r="G305" s="50"/>
      <c r="H305" s="61"/>
      <c r="I305" s="44"/>
      <c r="J305" s="44"/>
      <c r="K305" s="44"/>
      <c r="L305" s="44"/>
      <c r="M305" s="64"/>
      <c r="N305" s="64"/>
      <c r="R305" s="39"/>
      <c r="U305" s="206"/>
    </row>
    <row r="306" spans="3:21" s="49" customFormat="1" ht="15.75" x14ac:dyDescent="0.25">
      <c r="C306" s="48"/>
      <c r="D306" s="60"/>
      <c r="E306" s="60"/>
      <c r="F306" s="60"/>
      <c r="G306" s="50"/>
      <c r="H306" s="61"/>
      <c r="I306" s="44"/>
      <c r="J306" s="44"/>
      <c r="K306" s="44"/>
      <c r="L306" s="44"/>
      <c r="M306" s="64"/>
      <c r="N306" s="64"/>
      <c r="R306" s="39"/>
      <c r="U306" s="206"/>
    </row>
    <row r="307" spans="3:21" s="49" customFormat="1" ht="15.75" x14ac:dyDescent="0.25">
      <c r="C307" s="48"/>
      <c r="D307" s="60"/>
      <c r="E307" s="60"/>
      <c r="F307" s="60"/>
      <c r="G307" s="50"/>
      <c r="H307" s="61"/>
      <c r="I307" s="44"/>
      <c r="J307" s="44"/>
      <c r="K307" s="44"/>
      <c r="L307" s="44"/>
      <c r="M307" s="64"/>
      <c r="N307" s="64"/>
      <c r="R307" s="39"/>
      <c r="U307" s="206"/>
    </row>
    <row r="308" spans="3:21" s="49" customFormat="1" ht="15.75" x14ac:dyDescent="0.25">
      <c r="C308" s="48"/>
      <c r="D308" s="60"/>
      <c r="E308" s="60"/>
      <c r="F308" s="60"/>
      <c r="G308" s="50"/>
      <c r="H308" s="61"/>
      <c r="I308" s="44"/>
      <c r="J308" s="44"/>
      <c r="K308" s="44"/>
      <c r="L308" s="44"/>
      <c r="M308" s="64"/>
      <c r="N308" s="64"/>
      <c r="R308" s="39"/>
      <c r="U308" s="206"/>
    </row>
    <row r="309" spans="3:21" s="49" customFormat="1" ht="15.75" x14ac:dyDescent="0.25">
      <c r="C309" s="48"/>
      <c r="D309" s="60"/>
      <c r="E309" s="60"/>
      <c r="F309" s="60"/>
      <c r="G309" s="50"/>
      <c r="H309" s="61"/>
      <c r="I309" s="44"/>
      <c r="J309" s="44"/>
      <c r="K309" s="44"/>
      <c r="L309" s="44"/>
      <c r="M309" s="64"/>
      <c r="N309" s="64"/>
      <c r="R309" s="39"/>
      <c r="U309" s="206"/>
    </row>
    <row r="310" spans="3:21" s="49" customFormat="1" ht="15.75" x14ac:dyDescent="0.25">
      <c r="C310" s="48"/>
      <c r="D310" s="60"/>
      <c r="E310" s="60"/>
      <c r="F310" s="60"/>
      <c r="G310" s="50"/>
      <c r="H310" s="61"/>
      <c r="I310" s="44"/>
      <c r="J310" s="44"/>
      <c r="K310" s="44"/>
      <c r="L310" s="44"/>
      <c r="M310" s="64"/>
      <c r="N310" s="64"/>
      <c r="R310" s="39"/>
      <c r="U310" s="206"/>
    </row>
    <row r="311" spans="3:21" s="49" customFormat="1" ht="15.75" x14ac:dyDescent="0.25">
      <c r="C311" s="48"/>
      <c r="D311" s="60"/>
      <c r="E311" s="60"/>
      <c r="F311" s="60"/>
      <c r="G311" s="50"/>
      <c r="H311" s="61"/>
      <c r="I311" s="44"/>
      <c r="J311" s="44"/>
      <c r="K311" s="44"/>
      <c r="L311" s="44"/>
      <c r="M311" s="64"/>
      <c r="N311" s="64"/>
      <c r="R311" s="39"/>
      <c r="U311" s="206"/>
    </row>
    <row r="312" spans="3:21" s="49" customFormat="1" ht="15.75" x14ac:dyDescent="0.25">
      <c r="C312" s="48"/>
      <c r="D312" s="60"/>
      <c r="E312" s="60"/>
      <c r="F312" s="60"/>
      <c r="G312" s="50"/>
      <c r="H312" s="61"/>
      <c r="I312" s="44"/>
      <c r="J312" s="44"/>
      <c r="K312" s="44"/>
      <c r="L312" s="44"/>
      <c r="M312" s="64"/>
      <c r="N312" s="64"/>
      <c r="R312" s="39"/>
      <c r="U312" s="206"/>
    </row>
    <row r="313" spans="3:21" ht="15" x14ac:dyDescent="0.25">
      <c r="D313" s="65"/>
      <c r="E313" s="65"/>
      <c r="F313" s="65"/>
      <c r="R313" s="39"/>
    </row>
    <row r="314" spans="3:21" ht="15" x14ac:dyDescent="0.25">
      <c r="D314" s="65"/>
      <c r="E314" s="65"/>
      <c r="F314" s="65"/>
      <c r="R314" s="39"/>
    </row>
    <row r="315" spans="3:21" ht="15" x14ac:dyDescent="0.25">
      <c r="D315" s="65"/>
      <c r="E315" s="65"/>
      <c r="F315" s="65"/>
      <c r="R315" s="39"/>
    </row>
    <row r="316" spans="3:21" ht="15" x14ac:dyDescent="0.25">
      <c r="D316" s="65"/>
      <c r="E316" s="65"/>
      <c r="F316" s="65"/>
      <c r="R316" s="39"/>
    </row>
    <row r="317" spans="3:21" ht="15" x14ac:dyDescent="0.25">
      <c r="D317" s="65"/>
      <c r="E317" s="65"/>
      <c r="F317" s="65"/>
      <c r="R317" s="39"/>
    </row>
    <row r="318" spans="3:21" ht="15" x14ac:dyDescent="0.25">
      <c r="D318" s="65"/>
      <c r="E318" s="65"/>
      <c r="F318" s="65"/>
      <c r="R318" s="39"/>
    </row>
    <row r="319" spans="3:21" ht="15" x14ac:dyDescent="0.25">
      <c r="D319" s="65"/>
      <c r="E319" s="65"/>
      <c r="F319" s="65"/>
      <c r="R319" s="39"/>
    </row>
    <row r="320" spans="3:21" ht="15" x14ac:dyDescent="0.25">
      <c r="D320" s="65"/>
      <c r="E320" s="65"/>
      <c r="F320" s="65"/>
      <c r="R320" s="39"/>
    </row>
    <row r="321" spans="4:18" ht="15" x14ac:dyDescent="0.25">
      <c r="D321" s="65"/>
      <c r="E321" s="65"/>
      <c r="F321" s="65"/>
      <c r="R321" s="39"/>
    </row>
    <row r="322" spans="4:18" ht="15" x14ac:dyDescent="0.25">
      <c r="D322" s="65"/>
      <c r="E322" s="65"/>
      <c r="F322" s="65"/>
      <c r="R322" s="39"/>
    </row>
    <row r="323" spans="4:18" ht="15" x14ac:dyDescent="0.25">
      <c r="D323" s="65"/>
      <c r="E323" s="65"/>
      <c r="F323" s="65"/>
      <c r="R323" s="39"/>
    </row>
    <row r="324" spans="4:18" ht="15" x14ac:dyDescent="0.25">
      <c r="D324" s="65"/>
      <c r="E324" s="65"/>
      <c r="F324" s="65"/>
      <c r="R324" s="39"/>
    </row>
    <row r="325" spans="4:18" ht="15" x14ac:dyDescent="0.25">
      <c r="D325" s="65"/>
      <c r="E325" s="65"/>
      <c r="F325" s="65"/>
      <c r="R325" s="39"/>
    </row>
    <row r="326" spans="4:18" ht="15" x14ac:dyDescent="0.25">
      <c r="D326" s="65"/>
      <c r="E326" s="65"/>
      <c r="F326" s="65"/>
      <c r="R326" s="39"/>
    </row>
    <row r="327" spans="4:18" ht="15" x14ac:dyDescent="0.25">
      <c r="D327" s="65"/>
      <c r="E327" s="65"/>
      <c r="F327" s="65"/>
      <c r="R327" s="39"/>
    </row>
    <row r="328" spans="4:18" ht="15" x14ac:dyDescent="0.25">
      <c r="D328" s="65"/>
      <c r="E328" s="65"/>
      <c r="F328" s="65"/>
      <c r="R328" s="39"/>
    </row>
    <row r="329" spans="4:18" ht="15" x14ac:dyDescent="0.25">
      <c r="D329" s="65"/>
      <c r="E329" s="65"/>
      <c r="F329" s="65"/>
      <c r="R329" s="39"/>
    </row>
    <row r="330" spans="4:18" ht="15" x14ac:dyDescent="0.25">
      <c r="D330" s="65"/>
      <c r="E330" s="65"/>
      <c r="F330" s="65"/>
      <c r="R330" s="39"/>
    </row>
    <row r="331" spans="4:18" ht="15" x14ac:dyDescent="0.25">
      <c r="D331" s="65"/>
      <c r="E331" s="65"/>
      <c r="F331" s="65"/>
      <c r="R331" s="39"/>
    </row>
    <row r="332" spans="4:18" ht="15" x14ac:dyDescent="0.25">
      <c r="D332" s="65"/>
      <c r="E332" s="65"/>
      <c r="F332" s="65"/>
      <c r="R332" s="39"/>
    </row>
    <row r="333" spans="4:18" ht="15" x14ac:dyDescent="0.25">
      <c r="D333" s="65"/>
      <c r="E333" s="65"/>
      <c r="F333" s="65"/>
      <c r="R333" s="39"/>
    </row>
    <row r="334" spans="4:18" ht="15" x14ac:dyDescent="0.25">
      <c r="D334" s="65"/>
      <c r="E334" s="65"/>
      <c r="F334" s="65"/>
      <c r="R334" s="39"/>
    </row>
    <row r="335" spans="4:18" ht="15" x14ac:dyDescent="0.25">
      <c r="D335" s="65"/>
      <c r="E335" s="65"/>
      <c r="F335" s="65"/>
      <c r="R335" s="39"/>
    </row>
    <row r="336" spans="4:18" ht="15" x14ac:dyDescent="0.25">
      <c r="D336" s="65"/>
      <c r="E336" s="65"/>
      <c r="F336" s="65"/>
      <c r="R336" s="39"/>
    </row>
    <row r="337" spans="4:18" ht="15" x14ac:dyDescent="0.25">
      <c r="D337" s="65"/>
      <c r="E337" s="65"/>
      <c r="F337" s="65"/>
      <c r="R337" s="39"/>
    </row>
    <row r="338" spans="4:18" ht="15" x14ac:dyDescent="0.25">
      <c r="D338" s="65"/>
      <c r="E338" s="65"/>
      <c r="F338" s="65"/>
      <c r="R338" s="39"/>
    </row>
    <row r="339" spans="4:18" ht="15" x14ac:dyDescent="0.25">
      <c r="D339" s="65"/>
      <c r="E339" s="65"/>
      <c r="F339" s="65"/>
      <c r="R339" s="39"/>
    </row>
    <row r="340" spans="4:18" ht="15" x14ac:dyDescent="0.25">
      <c r="D340" s="65"/>
      <c r="E340" s="65"/>
      <c r="F340" s="65"/>
      <c r="R340" s="39"/>
    </row>
    <row r="341" spans="4:18" ht="15" x14ac:dyDescent="0.25">
      <c r="D341" s="65"/>
      <c r="E341" s="65"/>
      <c r="F341" s="65"/>
      <c r="R341" s="39"/>
    </row>
    <row r="342" spans="4:18" ht="15" x14ac:dyDescent="0.25">
      <c r="D342" s="65"/>
      <c r="E342" s="65"/>
      <c r="F342" s="65"/>
      <c r="R342" s="39"/>
    </row>
    <row r="343" spans="4:18" ht="15" x14ac:dyDescent="0.25">
      <c r="D343" s="65"/>
      <c r="E343" s="65"/>
      <c r="F343" s="65"/>
      <c r="R343" s="39"/>
    </row>
    <row r="344" spans="4:18" ht="15" x14ac:dyDescent="0.25">
      <c r="D344" s="65"/>
      <c r="E344" s="65"/>
      <c r="F344" s="65"/>
      <c r="R344" s="39"/>
    </row>
    <row r="345" spans="4:18" ht="15" x14ac:dyDescent="0.25">
      <c r="D345" s="65"/>
      <c r="E345" s="65"/>
      <c r="F345" s="65"/>
      <c r="R345" s="39"/>
    </row>
    <row r="346" spans="4:18" ht="15" x14ac:dyDescent="0.25">
      <c r="D346" s="65"/>
      <c r="E346" s="65"/>
      <c r="F346" s="65"/>
      <c r="R346" s="39"/>
    </row>
    <row r="347" spans="4:18" ht="15" x14ac:dyDescent="0.25">
      <c r="D347" s="65"/>
      <c r="E347" s="65"/>
      <c r="F347" s="65"/>
      <c r="R347" s="39"/>
    </row>
    <row r="348" spans="4:18" ht="15" x14ac:dyDescent="0.25">
      <c r="D348" s="65"/>
      <c r="E348" s="65"/>
      <c r="F348" s="65"/>
      <c r="R348" s="39"/>
    </row>
    <row r="349" spans="4:18" ht="15" x14ac:dyDescent="0.25">
      <c r="D349" s="65"/>
      <c r="E349" s="65"/>
      <c r="F349" s="65"/>
      <c r="R349" s="39"/>
    </row>
    <row r="350" spans="4:18" ht="15" x14ac:dyDescent="0.25">
      <c r="D350" s="65"/>
      <c r="E350" s="65"/>
      <c r="F350" s="65"/>
      <c r="R350" s="39"/>
    </row>
    <row r="351" spans="4:18" ht="15" x14ac:dyDescent="0.25">
      <c r="D351" s="65"/>
      <c r="E351" s="65"/>
      <c r="F351" s="65"/>
      <c r="R351" s="39"/>
    </row>
    <row r="352" spans="4:18" ht="15" x14ac:dyDescent="0.25">
      <c r="D352" s="65"/>
      <c r="E352" s="65"/>
      <c r="F352" s="65"/>
      <c r="R352" s="39"/>
    </row>
    <row r="353" spans="4:18" ht="15" x14ac:dyDescent="0.25">
      <c r="D353" s="65"/>
      <c r="E353" s="65"/>
      <c r="F353" s="65"/>
      <c r="R353" s="39"/>
    </row>
    <row r="354" spans="4:18" ht="15" x14ac:dyDescent="0.25">
      <c r="D354" s="65"/>
      <c r="E354" s="65"/>
      <c r="F354" s="65"/>
      <c r="R354" s="39"/>
    </row>
    <row r="355" spans="4:18" ht="15" x14ac:dyDescent="0.25">
      <c r="D355" s="65"/>
      <c r="E355" s="65"/>
      <c r="F355" s="65"/>
      <c r="R355" s="39"/>
    </row>
    <row r="356" spans="4:18" ht="15" x14ac:dyDescent="0.25">
      <c r="D356" s="65"/>
      <c r="E356" s="65"/>
      <c r="F356" s="65"/>
      <c r="R356" s="39"/>
    </row>
    <row r="357" spans="4:18" ht="15" x14ac:dyDescent="0.25">
      <c r="D357" s="65"/>
      <c r="E357" s="65"/>
      <c r="F357" s="65"/>
      <c r="R357" s="39"/>
    </row>
    <row r="358" spans="4:18" ht="15" x14ac:dyDescent="0.25">
      <c r="D358" s="65"/>
      <c r="E358" s="65"/>
      <c r="F358" s="65"/>
      <c r="R358" s="39"/>
    </row>
    <row r="359" spans="4:18" ht="15" x14ac:dyDescent="0.25">
      <c r="D359" s="65"/>
      <c r="E359" s="65"/>
      <c r="F359" s="65"/>
      <c r="R359" s="39"/>
    </row>
    <row r="360" spans="4:18" ht="15" x14ac:dyDescent="0.25">
      <c r="D360" s="65"/>
      <c r="E360" s="65"/>
      <c r="F360" s="65"/>
      <c r="R360" s="39"/>
    </row>
    <row r="361" spans="4:18" ht="15" x14ac:dyDescent="0.25">
      <c r="D361" s="65"/>
      <c r="E361" s="65"/>
      <c r="F361" s="65"/>
      <c r="R361" s="39"/>
    </row>
    <row r="362" spans="4:18" ht="15" x14ac:dyDescent="0.25">
      <c r="D362" s="65"/>
      <c r="E362" s="65"/>
      <c r="F362" s="65"/>
      <c r="R362" s="39"/>
    </row>
    <row r="363" spans="4:18" ht="15" x14ac:dyDescent="0.25">
      <c r="D363" s="65"/>
      <c r="E363" s="65"/>
      <c r="F363" s="65"/>
      <c r="R363" s="39"/>
    </row>
    <row r="364" spans="4:18" ht="15" x14ac:dyDescent="0.25">
      <c r="D364" s="65"/>
      <c r="E364" s="65"/>
      <c r="F364" s="65"/>
      <c r="R364" s="39"/>
    </row>
    <row r="365" spans="4:18" ht="15" x14ac:dyDescent="0.25">
      <c r="D365" s="65"/>
      <c r="E365" s="65"/>
      <c r="F365" s="65"/>
      <c r="R365" s="39"/>
    </row>
    <row r="366" spans="4:18" ht="15" x14ac:dyDescent="0.25">
      <c r="D366" s="65"/>
      <c r="E366" s="65"/>
      <c r="F366" s="65"/>
      <c r="R366" s="39"/>
    </row>
    <row r="367" spans="4:18" ht="15" x14ac:dyDescent="0.25">
      <c r="D367" s="65"/>
      <c r="E367" s="65"/>
      <c r="F367" s="65"/>
      <c r="R367" s="39"/>
    </row>
    <row r="368" spans="4:18" ht="15" x14ac:dyDescent="0.25">
      <c r="D368" s="65"/>
      <c r="E368" s="65"/>
      <c r="F368" s="65"/>
      <c r="R368" s="39"/>
    </row>
    <row r="369" spans="4:18" ht="15" x14ac:dyDescent="0.25">
      <c r="D369" s="65"/>
      <c r="E369" s="65"/>
      <c r="F369" s="65"/>
      <c r="R369" s="39"/>
    </row>
    <row r="370" spans="4:18" ht="15" x14ac:dyDescent="0.25">
      <c r="D370" s="65"/>
      <c r="E370" s="65"/>
      <c r="F370" s="65"/>
      <c r="R370" s="39"/>
    </row>
    <row r="371" spans="4:18" ht="15" x14ac:dyDescent="0.25">
      <c r="D371" s="65"/>
      <c r="E371" s="65"/>
      <c r="F371" s="65"/>
      <c r="R371" s="39"/>
    </row>
    <row r="372" spans="4:18" ht="15" x14ac:dyDescent="0.25">
      <c r="D372" s="65"/>
      <c r="E372" s="65"/>
      <c r="F372" s="65"/>
      <c r="R372" s="39"/>
    </row>
    <row r="373" spans="4:18" ht="15" x14ac:dyDescent="0.25">
      <c r="D373" s="65"/>
      <c r="E373" s="65"/>
      <c r="F373" s="65"/>
      <c r="R373" s="39"/>
    </row>
    <row r="374" spans="4:18" ht="15" x14ac:dyDescent="0.25">
      <c r="D374" s="65"/>
      <c r="E374" s="65"/>
      <c r="F374" s="65"/>
      <c r="R374" s="39"/>
    </row>
    <row r="375" spans="4:18" ht="15" x14ac:dyDescent="0.25">
      <c r="D375" s="65"/>
      <c r="E375" s="65"/>
      <c r="F375" s="65"/>
      <c r="R375" s="39"/>
    </row>
    <row r="376" spans="4:18" ht="15" x14ac:dyDescent="0.25">
      <c r="D376" s="65"/>
      <c r="E376" s="65"/>
      <c r="F376" s="65"/>
      <c r="R376" s="39"/>
    </row>
    <row r="377" spans="4:18" ht="15" x14ac:dyDescent="0.25">
      <c r="D377" s="65"/>
      <c r="E377" s="65"/>
      <c r="F377" s="65"/>
      <c r="R377" s="39"/>
    </row>
    <row r="378" spans="4:18" ht="15" x14ac:dyDescent="0.25">
      <c r="D378" s="65"/>
      <c r="E378" s="65"/>
      <c r="F378" s="65"/>
      <c r="R378" s="39"/>
    </row>
    <row r="379" spans="4:18" ht="15" x14ac:dyDescent="0.25">
      <c r="D379" s="65"/>
      <c r="E379" s="65"/>
      <c r="F379" s="65"/>
      <c r="R379" s="39"/>
    </row>
    <row r="380" spans="4:18" ht="15" x14ac:dyDescent="0.25">
      <c r="D380" s="65"/>
      <c r="E380" s="65"/>
      <c r="F380" s="65"/>
      <c r="R380" s="39"/>
    </row>
    <row r="381" spans="4:18" ht="15" x14ac:dyDescent="0.25">
      <c r="D381" s="65"/>
      <c r="E381" s="65"/>
      <c r="F381" s="65"/>
      <c r="R381" s="39"/>
    </row>
    <row r="382" spans="4:18" ht="15" x14ac:dyDescent="0.25">
      <c r="D382" s="65"/>
      <c r="E382" s="65"/>
      <c r="F382" s="65"/>
      <c r="R382" s="39"/>
    </row>
    <row r="383" spans="4:18" ht="15" x14ac:dyDescent="0.25">
      <c r="D383" s="65"/>
      <c r="E383" s="65"/>
      <c r="F383" s="65"/>
      <c r="R383" s="39"/>
    </row>
    <row r="384" spans="4:18" ht="15" x14ac:dyDescent="0.25">
      <c r="D384" s="65"/>
      <c r="E384" s="65"/>
      <c r="F384" s="65"/>
      <c r="R384" s="39"/>
    </row>
    <row r="385" spans="4:18" ht="15" x14ac:dyDescent="0.25">
      <c r="D385" s="65"/>
      <c r="E385" s="65"/>
      <c r="F385" s="65"/>
      <c r="R385" s="39"/>
    </row>
    <row r="386" spans="4:18" ht="15" x14ac:dyDescent="0.25">
      <c r="D386" s="65"/>
      <c r="E386" s="65"/>
      <c r="F386" s="65"/>
      <c r="R386" s="39"/>
    </row>
    <row r="387" spans="4:18" ht="15" x14ac:dyDescent="0.25">
      <c r="D387" s="65"/>
      <c r="E387" s="65"/>
      <c r="F387" s="65"/>
      <c r="R387" s="39"/>
    </row>
    <row r="388" spans="4:18" ht="15" x14ac:dyDescent="0.25">
      <c r="D388" s="65"/>
      <c r="E388" s="65"/>
      <c r="F388" s="65"/>
      <c r="R388" s="39"/>
    </row>
    <row r="389" spans="4:18" ht="15" x14ac:dyDescent="0.25">
      <c r="D389" s="65"/>
      <c r="E389" s="65"/>
      <c r="F389" s="65"/>
      <c r="R389" s="39"/>
    </row>
    <row r="390" spans="4:18" ht="15" x14ac:dyDescent="0.25">
      <c r="D390" s="65"/>
      <c r="E390" s="65"/>
      <c r="F390" s="65"/>
      <c r="R390" s="39"/>
    </row>
    <row r="391" spans="4:18" ht="15" x14ac:dyDescent="0.25">
      <c r="D391" s="65"/>
      <c r="E391" s="65"/>
      <c r="F391" s="65"/>
      <c r="R391" s="39"/>
    </row>
    <row r="392" spans="4:18" ht="15" x14ac:dyDescent="0.25">
      <c r="D392" s="65"/>
      <c r="E392" s="65"/>
      <c r="F392" s="65"/>
      <c r="R392" s="39"/>
    </row>
    <row r="393" spans="4:18" ht="15" x14ac:dyDescent="0.25">
      <c r="D393" s="65"/>
      <c r="E393" s="65"/>
      <c r="F393" s="65"/>
      <c r="R393" s="39"/>
    </row>
    <row r="394" spans="4:18" ht="15" x14ac:dyDescent="0.25">
      <c r="D394" s="65"/>
      <c r="E394" s="65"/>
      <c r="F394" s="65"/>
      <c r="R394" s="39"/>
    </row>
    <row r="395" spans="4:18" ht="15" x14ac:dyDescent="0.25">
      <c r="D395" s="65"/>
      <c r="E395" s="65"/>
      <c r="F395" s="65"/>
      <c r="R395" s="39"/>
    </row>
    <row r="396" spans="4:18" ht="15" x14ac:dyDescent="0.25">
      <c r="D396" s="65"/>
      <c r="E396" s="65"/>
      <c r="F396" s="65"/>
      <c r="R396" s="39"/>
    </row>
    <row r="397" spans="4:18" ht="15" x14ac:dyDescent="0.25">
      <c r="D397" s="65"/>
      <c r="E397" s="65"/>
      <c r="F397" s="65"/>
      <c r="R397" s="39"/>
    </row>
    <row r="398" spans="4:18" ht="15" x14ac:dyDescent="0.25">
      <c r="D398" s="65"/>
      <c r="E398" s="65"/>
      <c r="F398" s="65"/>
      <c r="R398" s="39"/>
    </row>
    <row r="399" spans="4:18" ht="15" x14ac:dyDescent="0.25">
      <c r="D399" s="65"/>
      <c r="E399" s="65"/>
      <c r="F399" s="65"/>
      <c r="R399" s="39"/>
    </row>
    <row r="400" spans="4:18" ht="15" x14ac:dyDescent="0.25">
      <c r="D400" s="65"/>
      <c r="E400" s="65"/>
      <c r="F400" s="65"/>
      <c r="R400" s="39"/>
    </row>
    <row r="401" spans="4:18" ht="15" x14ac:dyDescent="0.25">
      <c r="D401" s="65"/>
      <c r="E401" s="65"/>
      <c r="F401" s="65"/>
      <c r="R401" s="39"/>
    </row>
    <row r="402" spans="4:18" ht="15" x14ac:dyDescent="0.25">
      <c r="D402" s="65"/>
      <c r="E402" s="65"/>
      <c r="F402" s="65"/>
      <c r="R402" s="39"/>
    </row>
    <row r="403" spans="4:18" ht="15" x14ac:dyDescent="0.25">
      <c r="D403" s="65"/>
      <c r="E403" s="65"/>
      <c r="F403" s="65"/>
      <c r="R403" s="39"/>
    </row>
    <row r="404" spans="4:18" ht="15" x14ac:dyDescent="0.25">
      <c r="D404" s="65"/>
      <c r="E404" s="65"/>
      <c r="F404" s="65"/>
      <c r="R404" s="39"/>
    </row>
    <row r="405" spans="4:18" ht="15" x14ac:dyDescent="0.25">
      <c r="D405" s="65"/>
      <c r="E405" s="65"/>
      <c r="F405" s="65"/>
      <c r="R405" s="39"/>
    </row>
    <row r="406" spans="4:18" ht="15" x14ac:dyDescent="0.25">
      <c r="D406" s="65"/>
      <c r="E406" s="65"/>
      <c r="F406" s="65"/>
      <c r="R406" s="39"/>
    </row>
    <row r="407" spans="4:18" ht="15" x14ac:dyDescent="0.25">
      <c r="D407" s="65"/>
      <c r="E407" s="65"/>
      <c r="F407" s="65"/>
      <c r="R407" s="39"/>
    </row>
    <row r="408" spans="4:18" ht="15" x14ac:dyDescent="0.25">
      <c r="D408" s="65"/>
      <c r="E408" s="65"/>
      <c r="F408" s="65"/>
      <c r="R408" s="39"/>
    </row>
    <row r="409" spans="4:18" ht="15" x14ac:dyDescent="0.25">
      <c r="D409" s="65"/>
      <c r="E409" s="65"/>
      <c r="F409" s="65"/>
      <c r="R409" s="39"/>
    </row>
    <row r="410" spans="4:18" ht="15" x14ac:dyDescent="0.25">
      <c r="D410" s="65"/>
      <c r="E410" s="65"/>
      <c r="F410" s="65"/>
      <c r="R410" s="39"/>
    </row>
    <row r="411" spans="4:18" ht="15" x14ac:dyDescent="0.25">
      <c r="D411" s="65"/>
      <c r="E411" s="65"/>
      <c r="F411" s="65"/>
      <c r="R411" s="39"/>
    </row>
    <row r="412" spans="4:18" ht="15" x14ac:dyDescent="0.25">
      <c r="D412" s="65"/>
      <c r="E412" s="65"/>
      <c r="F412" s="65"/>
      <c r="R412" s="39"/>
    </row>
    <row r="413" spans="4:18" ht="15" x14ac:dyDescent="0.25">
      <c r="D413" s="65"/>
      <c r="E413" s="65"/>
      <c r="F413" s="65"/>
      <c r="R413" s="39"/>
    </row>
    <row r="414" spans="4:18" ht="15" x14ac:dyDescent="0.25">
      <c r="D414" s="65"/>
      <c r="E414" s="65"/>
      <c r="F414" s="65"/>
      <c r="R414" s="39"/>
    </row>
    <row r="415" spans="4:18" ht="15" x14ac:dyDescent="0.25">
      <c r="D415" s="65"/>
      <c r="E415" s="65"/>
      <c r="F415" s="65"/>
      <c r="R415" s="39"/>
    </row>
    <row r="416" spans="4:18" ht="15" x14ac:dyDescent="0.25">
      <c r="D416" s="65"/>
      <c r="E416" s="65"/>
      <c r="F416" s="65"/>
      <c r="R416" s="39"/>
    </row>
    <row r="417" spans="4:18" ht="15" x14ac:dyDescent="0.25">
      <c r="D417" s="65"/>
      <c r="E417" s="65"/>
      <c r="F417" s="65"/>
      <c r="R417" s="39"/>
    </row>
    <row r="418" spans="4:18" ht="15" x14ac:dyDescent="0.25">
      <c r="D418" s="65"/>
      <c r="E418" s="65"/>
      <c r="F418" s="65"/>
      <c r="R418" s="39"/>
    </row>
    <row r="419" spans="4:18" ht="15" x14ac:dyDescent="0.25">
      <c r="D419" s="65"/>
      <c r="E419" s="65"/>
      <c r="F419" s="65"/>
      <c r="R419" s="39"/>
    </row>
    <row r="420" spans="4:18" ht="15" x14ac:dyDescent="0.25">
      <c r="D420" s="65"/>
      <c r="E420" s="65"/>
      <c r="F420" s="65"/>
      <c r="R420" s="39"/>
    </row>
    <row r="421" spans="4:18" ht="15" x14ac:dyDescent="0.25">
      <c r="D421" s="65"/>
      <c r="E421" s="65"/>
      <c r="F421" s="65"/>
      <c r="R421" s="39"/>
    </row>
    <row r="422" spans="4:18" ht="15" x14ac:dyDescent="0.25">
      <c r="D422" s="65"/>
      <c r="E422" s="65"/>
      <c r="F422" s="65"/>
      <c r="R422" s="39"/>
    </row>
    <row r="423" spans="4:18" ht="15" x14ac:dyDescent="0.25">
      <c r="D423" s="65"/>
      <c r="E423" s="65"/>
      <c r="F423" s="65"/>
      <c r="R423" s="39"/>
    </row>
    <row r="424" spans="4:18" ht="15" x14ac:dyDescent="0.25">
      <c r="D424" s="65"/>
      <c r="E424" s="65"/>
      <c r="F424" s="65"/>
      <c r="R424" s="39"/>
    </row>
    <row r="425" spans="4:18" ht="15" x14ac:dyDescent="0.25">
      <c r="D425" s="65"/>
      <c r="E425" s="65"/>
      <c r="F425" s="65"/>
      <c r="R425" s="39"/>
    </row>
    <row r="426" spans="4:18" ht="15" x14ac:dyDescent="0.25">
      <c r="D426" s="65"/>
      <c r="E426" s="65"/>
      <c r="F426" s="65"/>
      <c r="R426" s="39"/>
    </row>
    <row r="427" spans="4:18" ht="15" x14ac:dyDescent="0.25">
      <c r="D427" s="65"/>
      <c r="E427" s="65"/>
      <c r="F427" s="65"/>
      <c r="R427" s="39"/>
    </row>
    <row r="428" spans="4:18" ht="15" x14ac:dyDescent="0.25">
      <c r="D428" s="65"/>
      <c r="E428" s="65"/>
      <c r="F428" s="65"/>
      <c r="R428" s="39"/>
    </row>
    <row r="429" spans="4:18" ht="15" x14ac:dyDescent="0.25">
      <c r="D429" s="65"/>
      <c r="E429" s="65"/>
      <c r="F429" s="65"/>
      <c r="R429" s="39"/>
    </row>
    <row r="430" spans="4:18" ht="15" x14ac:dyDescent="0.25">
      <c r="D430" s="65"/>
      <c r="E430" s="65"/>
      <c r="F430" s="65"/>
      <c r="R430" s="39"/>
    </row>
    <row r="431" spans="4:18" ht="15" x14ac:dyDescent="0.25">
      <c r="D431" s="65"/>
      <c r="E431" s="65"/>
      <c r="F431" s="65"/>
      <c r="R431" s="39"/>
    </row>
    <row r="432" spans="4:18" ht="15" x14ac:dyDescent="0.25">
      <c r="D432" s="65"/>
      <c r="E432" s="65"/>
      <c r="F432" s="65"/>
      <c r="R432" s="39"/>
    </row>
    <row r="433" spans="4:18" ht="15" x14ac:dyDescent="0.25">
      <c r="D433" s="65"/>
      <c r="E433" s="65"/>
      <c r="F433" s="65"/>
      <c r="R433" s="39"/>
    </row>
    <row r="434" spans="4:18" ht="15" x14ac:dyDescent="0.25">
      <c r="D434" s="65"/>
      <c r="E434" s="65"/>
      <c r="F434" s="65"/>
      <c r="R434" s="39"/>
    </row>
    <row r="435" spans="4:18" ht="15" x14ac:dyDescent="0.25">
      <c r="D435" s="65"/>
      <c r="E435" s="65"/>
      <c r="F435" s="65"/>
      <c r="R435" s="39"/>
    </row>
    <row r="436" spans="4:18" ht="15" x14ac:dyDescent="0.25">
      <c r="D436" s="65"/>
      <c r="E436" s="65"/>
      <c r="F436" s="65"/>
      <c r="R436" s="39"/>
    </row>
    <row r="437" spans="4:18" ht="15" x14ac:dyDescent="0.25">
      <c r="D437" s="65"/>
      <c r="E437" s="65"/>
      <c r="F437" s="65"/>
      <c r="R437" s="39"/>
    </row>
    <row r="438" spans="4:18" ht="15" x14ac:dyDescent="0.25">
      <c r="D438" s="65"/>
      <c r="E438" s="65"/>
      <c r="F438" s="65"/>
      <c r="R438" s="39"/>
    </row>
    <row r="439" spans="4:18" ht="15" x14ac:dyDescent="0.25">
      <c r="D439" s="65"/>
      <c r="E439" s="65"/>
      <c r="F439" s="65"/>
      <c r="R439" s="39"/>
    </row>
    <row r="440" spans="4:18" ht="15" x14ac:dyDescent="0.25">
      <c r="D440" s="65"/>
      <c r="E440" s="65"/>
      <c r="F440" s="65"/>
      <c r="R440" s="39"/>
    </row>
    <row r="441" spans="4:18" ht="15" x14ac:dyDescent="0.25">
      <c r="D441" s="65"/>
      <c r="E441" s="65"/>
      <c r="F441" s="65"/>
      <c r="R441" s="39"/>
    </row>
    <row r="442" spans="4:18" ht="15" x14ac:dyDescent="0.25">
      <c r="D442" s="65"/>
      <c r="E442" s="65"/>
      <c r="F442" s="65"/>
      <c r="R442" s="39"/>
    </row>
    <row r="443" spans="4:18" ht="15" x14ac:dyDescent="0.25">
      <c r="D443" s="65"/>
      <c r="E443" s="65"/>
      <c r="F443" s="65"/>
      <c r="R443" s="39"/>
    </row>
    <row r="444" spans="4:18" ht="15" x14ac:dyDescent="0.25">
      <c r="D444" s="65"/>
      <c r="E444" s="65"/>
      <c r="F444" s="65"/>
      <c r="R444" s="39"/>
    </row>
    <row r="445" spans="4:18" ht="15" x14ac:dyDescent="0.25">
      <c r="D445" s="65"/>
      <c r="E445" s="65"/>
      <c r="F445" s="65"/>
      <c r="R445" s="39"/>
    </row>
    <row r="446" spans="4:18" ht="15" x14ac:dyDescent="0.25">
      <c r="D446" s="65"/>
      <c r="E446" s="65"/>
      <c r="F446" s="65"/>
      <c r="R446" s="39"/>
    </row>
    <row r="447" spans="4:18" ht="15" x14ac:dyDescent="0.25">
      <c r="D447" s="65"/>
      <c r="E447" s="65"/>
      <c r="F447" s="65"/>
      <c r="R447" s="39"/>
    </row>
    <row r="448" spans="4:18" ht="15" x14ac:dyDescent="0.25">
      <c r="D448" s="65"/>
      <c r="E448" s="65"/>
      <c r="F448" s="65"/>
      <c r="R448" s="39"/>
    </row>
    <row r="449" spans="4:18" ht="15" x14ac:dyDescent="0.25">
      <c r="D449" s="65"/>
      <c r="E449" s="65"/>
      <c r="F449" s="65"/>
      <c r="R449" s="39"/>
    </row>
    <row r="450" spans="4:18" ht="15" x14ac:dyDescent="0.25">
      <c r="D450" s="65"/>
      <c r="E450" s="65"/>
      <c r="F450" s="65"/>
      <c r="R450" s="39"/>
    </row>
    <row r="451" spans="4:18" ht="15" x14ac:dyDescent="0.25">
      <c r="D451" s="65"/>
      <c r="E451" s="65"/>
      <c r="F451" s="65"/>
      <c r="R451" s="39"/>
    </row>
    <row r="452" spans="4:18" ht="15" x14ac:dyDescent="0.25">
      <c r="D452" s="65"/>
      <c r="E452" s="65"/>
      <c r="F452" s="65"/>
      <c r="R452" s="39"/>
    </row>
    <row r="453" spans="4:18" ht="15" x14ac:dyDescent="0.25">
      <c r="D453" s="65"/>
      <c r="E453" s="65"/>
      <c r="F453" s="65"/>
      <c r="R453" s="39"/>
    </row>
    <row r="454" spans="4:18" ht="15" x14ac:dyDescent="0.25">
      <c r="D454" s="65"/>
      <c r="E454" s="65"/>
      <c r="F454" s="65"/>
      <c r="R454" s="39"/>
    </row>
    <row r="455" spans="4:18" ht="15" x14ac:dyDescent="0.25">
      <c r="D455" s="65"/>
      <c r="E455" s="65"/>
      <c r="F455" s="65"/>
      <c r="R455" s="39"/>
    </row>
    <row r="456" spans="4:18" ht="15" x14ac:dyDescent="0.25">
      <c r="D456" s="65"/>
      <c r="E456" s="65"/>
      <c r="F456" s="65"/>
      <c r="R456" s="39"/>
    </row>
    <row r="457" spans="4:18" ht="15" x14ac:dyDescent="0.25">
      <c r="D457" s="65"/>
      <c r="E457" s="65"/>
      <c r="F457" s="65"/>
      <c r="R457" s="39"/>
    </row>
    <row r="458" spans="4:18" ht="15" x14ac:dyDescent="0.25">
      <c r="D458" s="65"/>
      <c r="E458" s="65"/>
      <c r="F458" s="65"/>
      <c r="R458" s="39"/>
    </row>
    <row r="459" spans="4:18" ht="15" x14ac:dyDescent="0.25">
      <c r="D459" s="65"/>
      <c r="E459" s="65"/>
      <c r="F459" s="65"/>
      <c r="R459" s="39"/>
    </row>
    <row r="460" spans="4:18" ht="15" x14ac:dyDescent="0.25">
      <c r="D460" s="65"/>
      <c r="E460" s="65"/>
      <c r="F460" s="65"/>
      <c r="R460" s="39"/>
    </row>
    <row r="461" spans="4:18" ht="15" x14ac:dyDescent="0.25">
      <c r="D461" s="65"/>
      <c r="E461" s="65"/>
      <c r="F461" s="65"/>
      <c r="R461" s="39"/>
    </row>
    <row r="462" spans="4:18" ht="15" x14ac:dyDescent="0.25">
      <c r="D462" s="65"/>
      <c r="E462" s="65"/>
      <c r="F462" s="65"/>
      <c r="R462" s="39"/>
    </row>
    <row r="463" spans="4:18" ht="15" x14ac:dyDescent="0.25">
      <c r="D463" s="65"/>
      <c r="E463" s="65"/>
      <c r="F463" s="65"/>
      <c r="R463" s="39"/>
    </row>
    <row r="464" spans="4:18" ht="15" x14ac:dyDescent="0.25">
      <c r="D464" s="65"/>
      <c r="E464" s="65"/>
      <c r="F464" s="65"/>
      <c r="R464" s="39"/>
    </row>
    <row r="465" spans="4:18" ht="15" x14ac:dyDescent="0.25">
      <c r="D465" s="65"/>
      <c r="E465" s="65"/>
      <c r="F465" s="65"/>
      <c r="R465" s="39"/>
    </row>
    <row r="466" spans="4:18" ht="15" x14ac:dyDescent="0.25">
      <c r="D466" s="65"/>
      <c r="E466" s="65"/>
      <c r="F466" s="65"/>
      <c r="R466" s="39"/>
    </row>
    <row r="467" spans="4:18" ht="15" x14ac:dyDescent="0.25">
      <c r="D467" s="65"/>
      <c r="E467" s="65"/>
      <c r="F467" s="65"/>
      <c r="R467" s="39"/>
    </row>
    <row r="468" spans="4:18" ht="15" x14ac:dyDescent="0.25">
      <c r="D468" s="65"/>
      <c r="E468" s="65"/>
      <c r="F468" s="65"/>
      <c r="R468" s="39"/>
    </row>
    <row r="469" spans="4:18" ht="15" x14ac:dyDescent="0.25">
      <c r="D469" s="65"/>
      <c r="E469" s="65"/>
      <c r="F469" s="65"/>
      <c r="R469" s="39"/>
    </row>
    <row r="470" spans="4:18" ht="15" x14ac:dyDescent="0.25">
      <c r="D470" s="65"/>
      <c r="E470" s="65"/>
      <c r="F470" s="65"/>
      <c r="R470" s="39"/>
    </row>
    <row r="471" spans="4:18" ht="15" x14ac:dyDescent="0.25">
      <c r="D471" s="65"/>
      <c r="E471" s="65"/>
      <c r="F471" s="65"/>
      <c r="R471" s="39"/>
    </row>
    <row r="472" spans="4:18" ht="15" x14ac:dyDescent="0.25">
      <c r="D472" s="65"/>
      <c r="E472" s="65"/>
      <c r="F472" s="65"/>
      <c r="R472" s="39"/>
    </row>
    <row r="473" spans="4:18" ht="15" x14ac:dyDescent="0.25">
      <c r="D473" s="65"/>
      <c r="E473" s="65"/>
      <c r="F473" s="65"/>
      <c r="R473" s="39"/>
    </row>
    <row r="474" spans="4:18" ht="15" x14ac:dyDescent="0.25">
      <c r="D474" s="65"/>
      <c r="E474" s="65"/>
      <c r="F474" s="65"/>
      <c r="R474" s="39"/>
    </row>
    <row r="475" spans="4:18" ht="15" x14ac:dyDescent="0.25">
      <c r="D475" s="65"/>
      <c r="E475" s="65"/>
      <c r="F475" s="65"/>
      <c r="R475" s="39"/>
    </row>
    <row r="476" spans="4:18" ht="15" x14ac:dyDescent="0.25">
      <c r="D476" s="65"/>
      <c r="E476" s="65"/>
      <c r="F476" s="65"/>
      <c r="R476" s="39"/>
    </row>
    <row r="477" spans="4:18" ht="15" x14ac:dyDescent="0.25">
      <c r="D477" s="65"/>
      <c r="E477" s="65"/>
      <c r="F477" s="65"/>
      <c r="R477" s="39"/>
    </row>
    <row r="478" spans="4:18" ht="15" x14ac:dyDescent="0.25">
      <c r="D478" s="65"/>
      <c r="E478" s="65"/>
      <c r="F478" s="65"/>
      <c r="R478" s="39"/>
    </row>
    <row r="479" spans="4:18" ht="15" x14ac:dyDescent="0.25">
      <c r="D479" s="65"/>
      <c r="E479" s="65"/>
      <c r="F479" s="65"/>
      <c r="R479" s="39"/>
    </row>
    <row r="480" spans="4:18" ht="15" x14ac:dyDescent="0.25">
      <c r="D480" s="65"/>
      <c r="E480" s="65"/>
      <c r="F480" s="65"/>
      <c r="R480" s="39"/>
    </row>
    <row r="481" spans="4:18" ht="15" x14ac:dyDescent="0.25">
      <c r="D481" s="65"/>
      <c r="E481" s="65"/>
      <c r="F481" s="65"/>
      <c r="R481" s="39"/>
    </row>
    <row r="482" spans="4:18" ht="15" x14ac:dyDescent="0.25">
      <c r="D482" s="65"/>
      <c r="E482" s="65"/>
      <c r="F482" s="65"/>
      <c r="R482" s="39"/>
    </row>
    <row r="483" spans="4:18" ht="15" x14ac:dyDescent="0.25">
      <c r="D483" s="65"/>
      <c r="E483" s="65"/>
      <c r="F483" s="65"/>
      <c r="R483" s="39"/>
    </row>
    <row r="484" spans="4:18" ht="15" x14ac:dyDescent="0.25">
      <c r="D484" s="65"/>
      <c r="E484" s="65"/>
      <c r="F484" s="65"/>
      <c r="R484" s="39"/>
    </row>
    <row r="485" spans="4:18" ht="15" x14ac:dyDescent="0.25">
      <c r="D485" s="65"/>
      <c r="E485" s="65"/>
      <c r="F485" s="65"/>
      <c r="R485" s="39"/>
    </row>
    <row r="486" spans="4:18" ht="15" x14ac:dyDescent="0.25">
      <c r="D486" s="65"/>
      <c r="E486" s="65"/>
      <c r="F486" s="65"/>
      <c r="R486" s="39"/>
    </row>
    <row r="487" spans="4:18" ht="15" x14ac:dyDescent="0.25">
      <c r="D487" s="65"/>
      <c r="E487" s="65"/>
      <c r="F487" s="65"/>
      <c r="R487" s="39"/>
    </row>
    <row r="488" spans="4:18" ht="15" x14ac:dyDescent="0.25">
      <c r="D488" s="65"/>
      <c r="E488" s="65"/>
      <c r="F488" s="65"/>
      <c r="R488" s="39"/>
    </row>
    <row r="489" spans="4:18" ht="15" x14ac:dyDescent="0.25">
      <c r="D489" s="65"/>
      <c r="E489" s="65"/>
      <c r="F489" s="65"/>
      <c r="R489" s="39"/>
    </row>
    <row r="490" spans="4:18" ht="15" x14ac:dyDescent="0.25">
      <c r="D490" s="65"/>
      <c r="E490" s="65"/>
      <c r="F490" s="65"/>
      <c r="R490" s="39"/>
    </row>
    <row r="491" spans="4:18" ht="15" x14ac:dyDescent="0.25">
      <c r="D491" s="65"/>
      <c r="E491" s="65"/>
      <c r="F491" s="65"/>
      <c r="R491" s="39"/>
    </row>
    <row r="492" spans="4:18" ht="15" x14ac:dyDescent="0.25">
      <c r="D492" s="65"/>
      <c r="E492" s="65"/>
      <c r="F492" s="65"/>
      <c r="R492" s="39"/>
    </row>
    <row r="493" spans="4:18" ht="15" x14ac:dyDescent="0.25">
      <c r="D493" s="65"/>
      <c r="E493" s="65"/>
      <c r="F493" s="65"/>
      <c r="R493" s="39"/>
    </row>
    <row r="494" spans="4:18" ht="15" x14ac:dyDescent="0.25">
      <c r="D494" s="65"/>
      <c r="E494" s="65"/>
      <c r="F494" s="65"/>
      <c r="R494" s="39"/>
    </row>
    <row r="495" spans="4:18" ht="15" x14ac:dyDescent="0.25">
      <c r="D495" s="65"/>
      <c r="E495" s="65"/>
      <c r="F495" s="65"/>
      <c r="R495" s="39"/>
    </row>
    <row r="496" spans="4:18" ht="15" x14ac:dyDescent="0.25">
      <c r="D496" s="65"/>
      <c r="E496" s="65"/>
      <c r="F496" s="65"/>
      <c r="R496" s="39"/>
    </row>
    <row r="497" spans="4:18" ht="15" x14ac:dyDescent="0.25">
      <c r="D497" s="65"/>
      <c r="E497" s="65"/>
      <c r="F497" s="65"/>
      <c r="R497" s="39"/>
    </row>
    <row r="498" spans="4:18" ht="15" x14ac:dyDescent="0.25">
      <c r="D498" s="65"/>
      <c r="E498" s="65"/>
      <c r="F498" s="65"/>
      <c r="R498" s="39"/>
    </row>
    <row r="499" spans="4:18" ht="15" x14ac:dyDescent="0.25">
      <c r="D499" s="65"/>
      <c r="E499" s="65"/>
      <c r="F499" s="65"/>
      <c r="R499" s="39"/>
    </row>
    <row r="500" spans="4:18" ht="15" x14ac:dyDescent="0.25">
      <c r="D500" s="65"/>
      <c r="E500" s="65"/>
      <c r="F500" s="65"/>
      <c r="R500" s="39"/>
    </row>
    <row r="501" spans="4:18" ht="15" x14ac:dyDescent="0.25">
      <c r="D501" s="65"/>
      <c r="E501" s="65"/>
      <c r="F501" s="65"/>
      <c r="R501" s="39"/>
    </row>
    <row r="502" spans="4:18" ht="15" x14ac:dyDescent="0.25">
      <c r="D502" s="65"/>
      <c r="E502" s="65"/>
      <c r="F502" s="65"/>
      <c r="R502" s="39"/>
    </row>
    <row r="503" spans="4:18" ht="15" x14ac:dyDescent="0.25">
      <c r="D503" s="65"/>
      <c r="E503" s="65"/>
      <c r="F503" s="65"/>
      <c r="R503" s="39"/>
    </row>
    <row r="504" spans="4:18" ht="15" x14ac:dyDescent="0.25">
      <c r="D504" s="65"/>
      <c r="E504" s="65"/>
      <c r="F504" s="65"/>
      <c r="R504" s="39"/>
    </row>
    <row r="505" spans="4:18" ht="15" x14ac:dyDescent="0.25">
      <c r="D505" s="65"/>
      <c r="E505" s="65"/>
      <c r="F505" s="65"/>
      <c r="R505" s="39"/>
    </row>
    <row r="506" spans="4:18" ht="15" x14ac:dyDescent="0.25">
      <c r="D506" s="65"/>
      <c r="E506" s="65"/>
      <c r="F506" s="65"/>
      <c r="R506" s="39"/>
    </row>
    <row r="507" spans="4:18" ht="15" x14ac:dyDescent="0.25">
      <c r="D507" s="65"/>
      <c r="E507" s="65"/>
      <c r="F507" s="65"/>
      <c r="R507" s="39"/>
    </row>
    <row r="508" spans="4:18" ht="15" x14ac:dyDescent="0.25">
      <c r="D508" s="65"/>
      <c r="E508" s="65"/>
      <c r="F508" s="65"/>
      <c r="R508" s="39"/>
    </row>
    <row r="509" spans="4:18" ht="15" x14ac:dyDescent="0.25">
      <c r="D509" s="65"/>
      <c r="E509" s="65"/>
      <c r="F509" s="65"/>
      <c r="R509" s="39"/>
    </row>
    <row r="510" spans="4:18" ht="15" x14ac:dyDescent="0.25">
      <c r="D510" s="65"/>
      <c r="E510" s="65"/>
      <c r="F510" s="65"/>
      <c r="R510" s="39"/>
    </row>
    <row r="511" spans="4:18" ht="15" x14ac:dyDescent="0.25">
      <c r="D511" s="65"/>
      <c r="E511" s="65"/>
      <c r="F511" s="65"/>
      <c r="R511" s="39"/>
    </row>
    <row r="512" spans="4:18" ht="15" x14ac:dyDescent="0.25">
      <c r="D512" s="65"/>
      <c r="E512" s="65"/>
      <c r="F512" s="65"/>
      <c r="R512" s="39"/>
    </row>
    <row r="513" spans="4:18" ht="15" x14ac:dyDescent="0.25">
      <c r="D513" s="65"/>
      <c r="E513" s="65"/>
      <c r="F513" s="65"/>
      <c r="R513" s="39"/>
    </row>
    <row r="514" spans="4:18" ht="15" x14ac:dyDescent="0.25">
      <c r="D514" s="65"/>
      <c r="E514" s="65"/>
      <c r="F514" s="65"/>
      <c r="R514" s="39"/>
    </row>
    <row r="515" spans="4:18" ht="15" x14ac:dyDescent="0.25">
      <c r="D515" s="65"/>
      <c r="E515" s="65"/>
      <c r="F515" s="65"/>
      <c r="R515" s="39"/>
    </row>
    <row r="516" spans="4:18" ht="15" x14ac:dyDescent="0.25">
      <c r="D516" s="65"/>
      <c r="E516" s="65"/>
      <c r="F516" s="65"/>
      <c r="R516" s="39"/>
    </row>
    <row r="517" spans="4:18" ht="15" x14ac:dyDescent="0.25">
      <c r="D517" s="65"/>
      <c r="E517" s="65"/>
      <c r="F517" s="65"/>
      <c r="R517" s="39"/>
    </row>
    <row r="518" spans="4:18" ht="15" x14ac:dyDescent="0.25">
      <c r="D518" s="65"/>
      <c r="E518" s="65"/>
      <c r="F518" s="65"/>
      <c r="R518" s="39"/>
    </row>
    <row r="519" spans="4:18" ht="15" x14ac:dyDescent="0.25">
      <c r="D519" s="65"/>
      <c r="E519" s="65"/>
      <c r="F519" s="65"/>
      <c r="R519" s="39"/>
    </row>
    <row r="520" spans="4:18" ht="15" x14ac:dyDescent="0.25">
      <c r="D520" s="65"/>
      <c r="E520" s="65"/>
      <c r="F520" s="65"/>
      <c r="R520" s="39"/>
    </row>
    <row r="521" spans="4:18" ht="15" x14ac:dyDescent="0.25">
      <c r="D521" s="65"/>
      <c r="E521" s="65"/>
      <c r="F521" s="65"/>
      <c r="R521" s="39"/>
    </row>
    <row r="522" spans="4:18" ht="15" x14ac:dyDescent="0.25">
      <c r="D522" s="65"/>
      <c r="E522" s="65"/>
      <c r="F522" s="65"/>
      <c r="R522" s="39"/>
    </row>
    <row r="523" spans="4:18" ht="15" x14ac:dyDescent="0.25">
      <c r="D523" s="65"/>
      <c r="E523" s="65"/>
      <c r="F523" s="65"/>
      <c r="R523" s="39"/>
    </row>
    <row r="524" spans="4:18" ht="15" x14ac:dyDescent="0.25">
      <c r="D524" s="65"/>
      <c r="E524" s="65"/>
      <c r="F524" s="65"/>
      <c r="R524" s="39"/>
    </row>
    <row r="525" spans="4:18" ht="15" x14ac:dyDescent="0.25">
      <c r="D525" s="65"/>
      <c r="E525" s="65"/>
      <c r="F525" s="65"/>
      <c r="R525" s="39"/>
    </row>
    <row r="526" spans="4:18" ht="15" x14ac:dyDescent="0.25">
      <c r="D526" s="65"/>
      <c r="E526" s="65"/>
      <c r="F526" s="65"/>
      <c r="R526" s="39"/>
    </row>
    <row r="527" spans="4:18" ht="15" x14ac:dyDescent="0.25">
      <c r="D527" s="65"/>
      <c r="E527" s="65"/>
      <c r="F527" s="65"/>
      <c r="R527" s="39"/>
    </row>
    <row r="528" spans="4:18" ht="15" x14ac:dyDescent="0.25">
      <c r="D528" s="65"/>
      <c r="E528" s="65"/>
      <c r="F528" s="65"/>
    </row>
  </sheetData>
  <pageMargins left="0.7" right="0.7" top="0.75" bottom="0.75" header="0.3" footer="0.3"/>
  <pageSetup paperSize="9" scale="1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C2:AY527"/>
  <sheetViews>
    <sheetView showGridLines="0" showRowColHeaders="0" view="pageBreakPreview" zoomScale="80" zoomScaleNormal="100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1" width="1.75" style="38" customWidth="1"/>
    <col min="2" max="2" width="2.875" style="38" customWidth="1"/>
    <col min="3" max="3" width="6.625" style="37" customWidth="1"/>
    <col min="4" max="4" width="19.25" style="38" customWidth="1"/>
    <col min="5" max="5" width="7.625" style="38" customWidth="1"/>
    <col min="6" max="6" width="8.125" style="38" customWidth="1"/>
    <col min="7" max="7" width="10.25" style="39" customWidth="1"/>
    <col min="8" max="8" width="11.125" style="40" customWidth="1"/>
    <col min="9" max="12" width="11.75" style="41" customWidth="1"/>
    <col min="13" max="13" width="11.75" style="42" customWidth="1"/>
    <col min="14" max="14" width="11.75" style="42" customWidth="1" outlineLevel="1"/>
    <col min="15" max="16" width="11.75" style="38" customWidth="1" outlineLevel="1"/>
    <col min="17" max="17" width="9.25" style="38" customWidth="1" outlineLevel="1"/>
    <col min="18" max="18" width="12.75" style="38" customWidth="1" outlineLevel="1"/>
    <col min="19" max="19" width="8.25" style="38" customWidth="1" outlineLevel="1"/>
    <col min="20" max="21" width="10.5" style="38" customWidth="1" outlineLevel="1"/>
    <col min="22" max="22" width="2.5" style="38" customWidth="1"/>
    <col min="23" max="23" width="10.5" style="38"/>
    <col min="24" max="31" width="10.5" style="38" customWidth="1" outlineLevel="1"/>
    <col min="32" max="32" width="1.625" style="38" customWidth="1"/>
    <col min="33" max="33" width="10.5" style="38"/>
    <col min="34" max="41" width="10.5" style="38" customWidth="1" outlineLevel="1"/>
    <col min="42" max="42" width="1.625" style="38" customWidth="1"/>
    <col min="43" max="43" width="10.5" style="38"/>
    <col min="44" max="51" width="10.5" style="38" customWidth="1" outlineLevel="1"/>
    <col min="52" max="52" width="2.875" style="38" customWidth="1"/>
    <col min="53" max="16384" width="10.5" style="38"/>
  </cols>
  <sheetData>
    <row r="2" spans="3:51" ht="18.75" x14ac:dyDescent="0.25">
      <c r="D2" s="384" t="s">
        <v>103</v>
      </c>
    </row>
    <row r="3" spans="3:51" ht="19.899999999999999" customHeight="1" x14ac:dyDescent="0.25">
      <c r="H3" s="41"/>
    </row>
    <row r="4" spans="3:51" x14ac:dyDescent="0.25">
      <c r="D4" s="43" t="s">
        <v>42</v>
      </c>
      <c r="H4" s="41"/>
    </row>
    <row r="5" spans="3:51" ht="15" thickBot="1" x14ac:dyDescent="0.3">
      <c r="D5" s="43"/>
      <c r="H5" s="41"/>
    </row>
    <row r="6" spans="3:51" ht="17.25" thickTop="1" thickBot="1" x14ac:dyDescent="0.3"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V6" s="295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F6" s="295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P6" s="295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1" s="49" customFormat="1" ht="39.75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282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</row>
    <row r="8" spans="3:51" s="52" customFormat="1" ht="48.75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0</v>
      </c>
      <c r="AS8" s="363">
        <f t="shared" si="6"/>
        <v>0</v>
      </c>
      <c r="AT8" s="363">
        <f t="shared" si="6"/>
        <v>0</v>
      </c>
      <c r="AU8" s="363">
        <f t="shared" si="6"/>
        <v>0</v>
      </c>
      <c r="AV8" s="363">
        <f>+SUM(AV9:AV29)</f>
        <v>0</v>
      </c>
      <c r="AW8" s="363">
        <f t="shared" ref="AW8:AX8" si="7">+SUM(AW9:AW29)</f>
        <v>0</v>
      </c>
      <c r="AX8" s="363">
        <f t="shared" si="7"/>
        <v>0</v>
      </c>
      <c r="AY8" s="364">
        <f>+SUM(AY9:AY29)</f>
        <v>0</v>
      </c>
    </row>
    <row r="9" spans="3:51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/>
      <c r="AS9" s="289"/>
      <c r="AT9" s="289"/>
      <c r="AU9" s="289"/>
      <c r="AV9" s="289"/>
      <c r="AW9" s="289"/>
      <c r="AX9" s="289"/>
      <c r="AY9" s="290"/>
    </row>
    <row r="10" spans="3:51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</row>
    <row r="11" spans="3:51" s="49" customFormat="1" ht="18" customHeight="1" x14ac:dyDescent="0.25">
      <c r="C11" s="56">
        <f t="shared" ref="C11:C28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</row>
    <row r="12" spans="3:51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</row>
    <row r="13" spans="3:51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</row>
    <row r="14" spans="3:51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</row>
    <row r="15" spans="3:51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</row>
    <row r="16" spans="3:51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</row>
    <row r="17" spans="3:51" s="49" customFormat="1" ht="18" customHeight="1" x14ac:dyDescent="0.25"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</row>
    <row r="18" spans="3:51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</row>
    <row r="19" spans="3:51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</row>
    <row r="20" spans="3:51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</row>
    <row r="21" spans="3:51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</row>
    <row r="22" spans="3:51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</row>
    <row r="23" spans="3:51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</row>
    <row r="24" spans="3:51" s="49" customFormat="1" ht="15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</row>
    <row r="25" spans="3:51" s="49" customFormat="1" ht="15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</row>
    <row r="26" spans="3:51" s="49" customFormat="1" ht="15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</row>
    <row r="27" spans="3:51" s="49" customFormat="1" ht="15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</row>
    <row r="28" spans="3:51" s="49" customFormat="1" ht="15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</row>
    <row r="29" spans="3:51" s="49" customFormat="1" ht="15.75" x14ac:dyDescent="0.25">
      <c r="C29" s="48"/>
      <c r="D29" s="60"/>
      <c r="E29" s="60"/>
      <c r="F29" s="60"/>
      <c r="G29" s="50"/>
      <c r="H29" s="61"/>
      <c r="I29" s="62"/>
      <c r="J29" s="62"/>
      <c r="K29" s="62"/>
      <c r="L29" s="62"/>
      <c r="M29" s="63"/>
      <c r="N29" s="63"/>
      <c r="O29" s="63"/>
      <c r="P29" s="63"/>
      <c r="Q29" s="63"/>
    </row>
    <row r="30" spans="3:51" s="49" customFormat="1" ht="15.75" x14ac:dyDescent="0.25">
      <c r="C30" s="48"/>
      <c r="D30" s="60"/>
      <c r="E30" s="60"/>
      <c r="F30" s="60"/>
      <c r="G30" s="50"/>
      <c r="H30" s="61"/>
      <c r="I30" s="62"/>
      <c r="J30" s="62"/>
      <c r="K30" s="62"/>
      <c r="L30" s="62"/>
      <c r="M30" s="63"/>
      <c r="N30" s="63"/>
      <c r="O30" s="63"/>
      <c r="P30" s="63"/>
      <c r="Q30" s="63"/>
    </row>
    <row r="31" spans="3:51" s="49" customFormat="1" ht="15.75" x14ac:dyDescent="0.25">
      <c r="C31" s="48"/>
      <c r="D31" s="60"/>
      <c r="E31" s="60"/>
      <c r="F31" s="60"/>
      <c r="G31" s="50"/>
      <c r="H31" s="61"/>
      <c r="I31" s="62"/>
      <c r="J31" s="62"/>
      <c r="K31" s="62"/>
      <c r="L31" s="62"/>
      <c r="M31" s="63"/>
      <c r="N31" s="63"/>
      <c r="O31" s="63"/>
      <c r="P31" s="63"/>
      <c r="Q31" s="63"/>
    </row>
    <row r="32" spans="3:51" s="49" customFormat="1" ht="15.75" x14ac:dyDescent="0.25">
      <c r="C32" s="48"/>
      <c r="D32" s="60"/>
      <c r="E32" s="60"/>
      <c r="F32" s="60"/>
      <c r="G32" s="50"/>
      <c r="H32" s="61"/>
      <c r="I32" s="62"/>
      <c r="J32" s="62"/>
      <c r="K32" s="62"/>
      <c r="L32" s="62"/>
      <c r="M32" s="63"/>
      <c r="N32" s="63"/>
      <c r="O32" s="63"/>
      <c r="P32" s="63"/>
      <c r="Q32" s="63"/>
    </row>
    <row r="33" spans="3:17" s="49" customFormat="1" ht="15.75" x14ac:dyDescent="0.25">
      <c r="C33" s="48"/>
      <c r="D33" s="60"/>
      <c r="E33" s="60"/>
      <c r="F33" s="60"/>
      <c r="G33" s="50"/>
      <c r="H33" s="61"/>
      <c r="I33" s="62"/>
      <c r="J33" s="62"/>
      <c r="K33" s="62"/>
      <c r="L33" s="62"/>
      <c r="M33" s="63"/>
      <c r="N33" s="63"/>
      <c r="O33" s="63"/>
      <c r="P33" s="63"/>
      <c r="Q33" s="63"/>
    </row>
    <row r="34" spans="3:17" s="49" customFormat="1" ht="15.75" x14ac:dyDescent="0.25">
      <c r="C34" s="48"/>
      <c r="D34" s="60"/>
      <c r="E34" s="60"/>
      <c r="F34" s="60"/>
      <c r="G34" s="50"/>
      <c r="H34" s="61"/>
      <c r="I34" s="62"/>
      <c r="J34" s="62"/>
      <c r="K34" s="62"/>
      <c r="L34" s="62"/>
      <c r="M34" s="63"/>
      <c r="N34" s="63"/>
      <c r="O34" s="63"/>
      <c r="P34" s="63"/>
      <c r="Q34" s="63"/>
    </row>
    <row r="35" spans="3:17" s="49" customFormat="1" ht="15.75" x14ac:dyDescent="0.25">
      <c r="C35" s="48"/>
      <c r="D35" s="60"/>
      <c r="E35" s="60"/>
      <c r="F35" s="60"/>
      <c r="G35" s="50"/>
      <c r="H35" s="61"/>
      <c r="I35" s="62"/>
      <c r="J35" s="62"/>
      <c r="K35" s="62"/>
      <c r="L35" s="62"/>
      <c r="M35" s="63"/>
      <c r="N35" s="63"/>
      <c r="O35" s="63"/>
      <c r="P35" s="63"/>
      <c r="Q35" s="63"/>
    </row>
    <row r="36" spans="3:17" s="49" customFormat="1" ht="15.75" x14ac:dyDescent="0.25">
      <c r="C36" s="48"/>
      <c r="D36" s="60"/>
      <c r="E36" s="60"/>
      <c r="F36" s="60"/>
      <c r="G36" s="50"/>
      <c r="H36" s="61"/>
      <c r="I36" s="62"/>
      <c r="J36" s="62"/>
      <c r="K36" s="62"/>
      <c r="L36" s="62"/>
      <c r="M36" s="63"/>
      <c r="N36" s="63"/>
      <c r="O36" s="63"/>
      <c r="P36" s="63"/>
      <c r="Q36" s="63"/>
    </row>
    <row r="37" spans="3:17" s="49" customFormat="1" ht="15.75" x14ac:dyDescent="0.25">
      <c r="C37" s="48"/>
      <c r="D37" s="60"/>
      <c r="E37" s="60"/>
      <c r="F37" s="60"/>
      <c r="G37" s="50"/>
      <c r="H37" s="61"/>
      <c r="I37" s="62"/>
      <c r="J37" s="62"/>
      <c r="K37" s="62"/>
      <c r="L37" s="62"/>
      <c r="M37" s="63"/>
      <c r="N37" s="63"/>
      <c r="O37" s="63"/>
      <c r="P37" s="63"/>
      <c r="Q37" s="63"/>
    </row>
    <row r="38" spans="3:17" s="49" customFormat="1" ht="15.75" x14ac:dyDescent="0.25">
      <c r="C38" s="48"/>
      <c r="D38" s="60"/>
      <c r="E38" s="60"/>
      <c r="F38" s="60"/>
      <c r="G38" s="50"/>
      <c r="H38" s="61"/>
      <c r="I38" s="62"/>
      <c r="J38" s="62"/>
      <c r="K38" s="62"/>
      <c r="L38" s="62"/>
      <c r="M38" s="63"/>
      <c r="N38" s="63"/>
      <c r="O38" s="63"/>
      <c r="P38" s="63"/>
      <c r="Q38" s="63"/>
    </row>
    <row r="39" spans="3:17" s="49" customFormat="1" ht="15.75" x14ac:dyDescent="0.25">
      <c r="C39" s="48"/>
      <c r="D39" s="60"/>
      <c r="E39" s="60"/>
      <c r="F39" s="60"/>
      <c r="G39" s="50"/>
      <c r="H39" s="61"/>
      <c r="I39" s="62"/>
      <c r="J39" s="62"/>
      <c r="K39" s="62"/>
      <c r="L39" s="62"/>
      <c r="M39" s="63"/>
      <c r="N39" s="63"/>
      <c r="O39" s="63"/>
      <c r="P39" s="63"/>
      <c r="Q39" s="63"/>
    </row>
    <row r="40" spans="3:17" s="49" customFormat="1" ht="15.75" x14ac:dyDescent="0.25">
      <c r="C40" s="48"/>
      <c r="D40" s="60"/>
      <c r="E40" s="60"/>
      <c r="F40" s="60"/>
      <c r="G40" s="50"/>
      <c r="H40" s="61"/>
      <c r="I40" s="62"/>
      <c r="J40" s="62"/>
      <c r="K40" s="62"/>
      <c r="L40" s="62"/>
      <c r="M40" s="63"/>
      <c r="N40" s="63"/>
      <c r="O40" s="63"/>
      <c r="P40" s="63"/>
      <c r="Q40" s="63"/>
    </row>
    <row r="41" spans="3:17" s="49" customFormat="1" ht="15.75" x14ac:dyDescent="0.25">
      <c r="C41" s="48"/>
      <c r="D41" s="60"/>
      <c r="E41" s="60"/>
      <c r="F41" s="60"/>
      <c r="G41" s="50"/>
      <c r="H41" s="61"/>
      <c r="I41" s="62"/>
      <c r="J41" s="62"/>
      <c r="K41" s="62"/>
      <c r="L41" s="62"/>
      <c r="M41" s="63"/>
      <c r="N41" s="63"/>
      <c r="O41" s="63"/>
      <c r="P41" s="63"/>
      <c r="Q41" s="63"/>
    </row>
    <row r="42" spans="3:17" s="49" customFormat="1" ht="15.75" x14ac:dyDescent="0.25">
      <c r="C42" s="48"/>
      <c r="D42" s="60"/>
      <c r="E42" s="60"/>
      <c r="F42" s="60"/>
      <c r="G42" s="50"/>
      <c r="H42" s="61"/>
      <c r="I42" s="62"/>
      <c r="J42" s="62"/>
      <c r="K42" s="62"/>
      <c r="L42" s="62"/>
      <c r="M42" s="63"/>
      <c r="N42" s="63"/>
      <c r="O42" s="63"/>
      <c r="P42" s="63"/>
      <c r="Q42" s="63"/>
    </row>
    <row r="43" spans="3:17" s="49" customFormat="1" ht="15.75" x14ac:dyDescent="0.25">
      <c r="C43" s="48"/>
      <c r="D43" s="60"/>
      <c r="E43" s="60"/>
      <c r="F43" s="60"/>
      <c r="G43" s="50"/>
      <c r="H43" s="61"/>
      <c r="I43" s="62"/>
      <c r="J43" s="62"/>
      <c r="K43" s="62"/>
      <c r="L43" s="62"/>
      <c r="M43" s="63"/>
      <c r="N43" s="63"/>
      <c r="O43" s="63"/>
      <c r="P43" s="63"/>
      <c r="Q43" s="63"/>
    </row>
    <row r="44" spans="3:17" s="49" customFormat="1" ht="15.75" x14ac:dyDescent="0.25">
      <c r="C44" s="48"/>
      <c r="D44" s="60"/>
      <c r="E44" s="60"/>
      <c r="F44" s="60"/>
      <c r="G44" s="50"/>
      <c r="H44" s="61"/>
      <c r="I44" s="62"/>
      <c r="J44" s="62"/>
      <c r="K44" s="62"/>
      <c r="L44" s="62"/>
      <c r="M44" s="63"/>
      <c r="N44" s="63"/>
      <c r="O44" s="63"/>
      <c r="P44" s="63"/>
      <c r="Q44" s="63"/>
    </row>
    <row r="45" spans="3:17" s="49" customFormat="1" ht="15.75" x14ac:dyDescent="0.25">
      <c r="C45" s="48"/>
      <c r="D45" s="60"/>
      <c r="E45" s="60"/>
      <c r="F45" s="60"/>
      <c r="G45" s="50"/>
      <c r="H45" s="61"/>
      <c r="I45" s="62"/>
      <c r="J45" s="62"/>
      <c r="K45" s="62"/>
      <c r="L45" s="62"/>
      <c r="M45" s="63"/>
      <c r="N45" s="63"/>
      <c r="O45" s="63"/>
      <c r="P45" s="63"/>
      <c r="Q45" s="63"/>
    </row>
    <row r="46" spans="3:17" s="49" customFormat="1" ht="15.75" x14ac:dyDescent="0.25">
      <c r="C46" s="48"/>
      <c r="D46" s="60"/>
      <c r="E46" s="60"/>
      <c r="F46" s="60"/>
      <c r="G46" s="50"/>
      <c r="H46" s="61"/>
      <c r="I46" s="62"/>
      <c r="J46" s="62"/>
      <c r="K46" s="62"/>
      <c r="L46" s="62"/>
      <c r="M46" s="63"/>
      <c r="N46" s="63"/>
      <c r="O46" s="63"/>
      <c r="P46" s="63"/>
      <c r="Q46" s="63"/>
    </row>
    <row r="47" spans="3:17" s="49" customFormat="1" ht="15.75" x14ac:dyDescent="0.25">
      <c r="C47" s="48"/>
      <c r="D47" s="60"/>
      <c r="E47" s="60"/>
      <c r="F47" s="60"/>
      <c r="G47" s="50"/>
      <c r="H47" s="61"/>
      <c r="I47" s="62"/>
      <c r="J47" s="62"/>
      <c r="K47" s="62"/>
      <c r="L47" s="62"/>
      <c r="M47" s="63"/>
      <c r="N47" s="63"/>
      <c r="O47" s="63"/>
      <c r="P47" s="63"/>
      <c r="Q47" s="63"/>
    </row>
    <row r="48" spans="3:17" s="49" customFormat="1" ht="15.75" x14ac:dyDescent="0.25">
      <c r="C48" s="48"/>
      <c r="D48" s="60"/>
      <c r="E48" s="60"/>
      <c r="F48" s="60"/>
      <c r="G48" s="50"/>
      <c r="H48" s="61"/>
      <c r="I48" s="62"/>
      <c r="J48" s="62"/>
      <c r="K48" s="62"/>
      <c r="L48" s="62"/>
      <c r="M48" s="63"/>
      <c r="N48" s="63"/>
      <c r="O48" s="63"/>
      <c r="P48" s="63"/>
      <c r="Q48" s="63"/>
    </row>
    <row r="49" spans="3:17" s="49" customFormat="1" ht="15.75" x14ac:dyDescent="0.25">
      <c r="C49" s="48"/>
      <c r="D49" s="60"/>
      <c r="E49" s="60"/>
      <c r="F49" s="60"/>
      <c r="G49" s="50"/>
      <c r="H49" s="61"/>
      <c r="I49" s="62"/>
      <c r="J49" s="62"/>
      <c r="K49" s="62"/>
      <c r="L49" s="62"/>
      <c r="M49" s="63"/>
      <c r="N49" s="63"/>
      <c r="O49" s="63"/>
      <c r="P49" s="63"/>
      <c r="Q49" s="63"/>
    </row>
    <row r="50" spans="3:17" s="49" customFormat="1" ht="15.75" x14ac:dyDescent="0.25">
      <c r="C50" s="48"/>
      <c r="D50" s="60"/>
      <c r="E50" s="60"/>
      <c r="F50" s="60"/>
      <c r="G50" s="50"/>
      <c r="H50" s="61"/>
      <c r="I50" s="62"/>
      <c r="J50" s="62"/>
      <c r="K50" s="62"/>
      <c r="L50" s="62"/>
      <c r="M50" s="63"/>
      <c r="N50" s="63"/>
      <c r="O50" s="63"/>
      <c r="P50" s="63"/>
      <c r="Q50" s="63"/>
    </row>
    <row r="51" spans="3:17" s="49" customFormat="1" ht="15.75" x14ac:dyDescent="0.25">
      <c r="C51" s="48"/>
      <c r="D51" s="60"/>
      <c r="E51" s="60"/>
      <c r="F51" s="60"/>
      <c r="G51" s="50"/>
      <c r="H51" s="61"/>
      <c r="I51" s="62"/>
      <c r="J51" s="62"/>
      <c r="K51" s="62"/>
      <c r="L51" s="62"/>
      <c r="M51" s="63"/>
      <c r="N51" s="63"/>
      <c r="O51" s="63"/>
      <c r="P51" s="63"/>
      <c r="Q51" s="63"/>
    </row>
    <row r="52" spans="3:17" s="49" customFormat="1" ht="15.75" x14ac:dyDescent="0.25">
      <c r="C52" s="48"/>
      <c r="D52" s="60"/>
      <c r="E52" s="60"/>
      <c r="F52" s="60"/>
      <c r="G52" s="50"/>
      <c r="H52" s="61"/>
      <c r="I52" s="62"/>
      <c r="J52" s="62"/>
      <c r="K52" s="62"/>
      <c r="L52" s="62"/>
      <c r="M52" s="63"/>
      <c r="N52" s="63"/>
      <c r="O52" s="63"/>
      <c r="P52" s="63"/>
      <c r="Q52" s="63"/>
    </row>
    <row r="53" spans="3:17" s="49" customFormat="1" ht="15.75" x14ac:dyDescent="0.25">
      <c r="C53" s="48"/>
      <c r="D53" s="60"/>
      <c r="E53" s="60"/>
      <c r="F53" s="60"/>
      <c r="G53" s="50"/>
      <c r="H53" s="61"/>
      <c r="I53" s="62"/>
      <c r="J53" s="62"/>
      <c r="K53" s="62"/>
      <c r="L53" s="62"/>
      <c r="M53" s="63"/>
      <c r="N53" s="63"/>
      <c r="O53" s="63"/>
      <c r="P53" s="63"/>
      <c r="Q53" s="63"/>
    </row>
    <row r="54" spans="3:17" s="49" customFormat="1" ht="15.75" x14ac:dyDescent="0.25">
      <c r="C54" s="48"/>
      <c r="D54" s="60"/>
      <c r="E54" s="60"/>
      <c r="F54" s="60"/>
      <c r="G54" s="50"/>
      <c r="H54" s="61"/>
      <c r="I54" s="62"/>
      <c r="J54" s="62"/>
      <c r="K54" s="62"/>
      <c r="L54" s="62"/>
      <c r="M54" s="63"/>
      <c r="N54" s="63"/>
      <c r="O54" s="63"/>
      <c r="P54" s="63"/>
      <c r="Q54" s="63"/>
    </row>
    <row r="55" spans="3:17" s="49" customFormat="1" ht="15.75" x14ac:dyDescent="0.25">
      <c r="C55" s="48"/>
      <c r="D55" s="60"/>
      <c r="E55" s="60"/>
      <c r="F55" s="60"/>
      <c r="G55" s="50"/>
      <c r="H55" s="61"/>
      <c r="I55" s="62"/>
      <c r="J55" s="62"/>
      <c r="K55" s="62"/>
      <c r="L55" s="62"/>
      <c r="M55" s="63"/>
      <c r="N55" s="63"/>
      <c r="O55" s="63"/>
      <c r="P55" s="63"/>
      <c r="Q55" s="63"/>
    </row>
    <row r="56" spans="3:17" s="49" customFormat="1" ht="15.75" x14ac:dyDescent="0.25">
      <c r="C56" s="48"/>
      <c r="D56" s="60"/>
      <c r="E56" s="60"/>
      <c r="F56" s="60"/>
      <c r="G56" s="50"/>
      <c r="H56" s="61"/>
      <c r="I56" s="62"/>
      <c r="J56" s="62"/>
      <c r="K56" s="62"/>
      <c r="L56" s="62"/>
      <c r="M56" s="63"/>
      <c r="N56" s="63"/>
      <c r="O56" s="63"/>
      <c r="P56" s="63"/>
      <c r="Q56" s="63"/>
    </row>
    <row r="57" spans="3:17" s="49" customFormat="1" ht="15.75" x14ac:dyDescent="0.25">
      <c r="C57" s="48"/>
      <c r="D57" s="60"/>
      <c r="E57" s="60"/>
      <c r="F57" s="60"/>
      <c r="G57" s="50"/>
      <c r="H57" s="61"/>
      <c r="I57" s="62"/>
      <c r="J57" s="62"/>
      <c r="K57" s="62"/>
      <c r="L57" s="62"/>
      <c r="M57" s="63"/>
      <c r="N57" s="63"/>
      <c r="O57" s="63"/>
      <c r="P57" s="63"/>
      <c r="Q57" s="63"/>
    </row>
    <row r="58" spans="3:17" s="49" customFormat="1" ht="15.75" x14ac:dyDescent="0.25">
      <c r="C58" s="48"/>
      <c r="D58" s="60"/>
      <c r="E58" s="60"/>
      <c r="F58" s="60"/>
      <c r="G58" s="50"/>
      <c r="H58" s="61"/>
      <c r="I58" s="62"/>
      <c r="J58" s="62"/>
      <c r="K58" s="62"/>
      <c r="L58" s="62"/>
      <c r="M58" s="63"/>
      <c r="N58" s="63"/>
      <c r="O58" s="63"/>
      <c r="P58" s="63"/>
      <c r="Q58" s="63"/>
    </row>
    <row r="59" spans="3:17" s="49" customFormat="1" ht="15.75" x14ac:dyDescent="0.25">
      <c r="C59" s="48"/>
      <c r="D59" s="60"/>
      <c r="E59" s="60"/>
      <c r="F59" s="60"/>
      <c r="G59" s="50"/>
      <c r="H59" s="61"/>
      <c r="I59" s="62"/>
      <c r="J59" s="62"/>
      <c r="K59" s="62"/>
      <c r="L59" s="62"/>
      <c r="M59" s="63"/>
      <c r="N59" s="63"/>
      <c r="O59" s="63"/>
      <c r="P59" s="63"/>
      <c r="Q59" s="63"/>
    </row>
    <row r="60" spans="3:17" s="49" customFormat="1" ht="15.75" x14ac:dyDescent="0.25">
      <c r="C60" s="48"/>
      <c r="D60" s="60"/>
      <c r="E60" s="60"/>
      <c r="F60" s="60"/>
      <c r="G60" s="50"/>
      <c r="H60" s="61"/>
      <c r="I60" s="62"/>
      <c r="J60" s="62"/>
      <c r="K60" s="62"/>
      <c r="L60" s="62"/>
      <c r="M60" s="63"/>
      <c r="N60" s="63"/>
      <c r="O60" s="63"/>
      <c r="P60" s="63"/>
      <c r="Q60" s="63"/>
    </row>
    <row r="61" spans="3:17" s="49" customFormat="1" ht="15.75" x14ac:dyDescent="0.25">
      <c r="C61" s="48"/>
      <c r="D61" s="60"/>
      <c r="E61" s="60"/>
      <c r="F61" s="60"/>
      <c r="G61" s="50"/>
      <c r="H61" s="61"/>
      <c r="I61" s="62"/>
      <c r="J61" s="62"/>
      <c r="K61" s="62"/>
      <c r="L61" s="62"/>
      <c r="M61" s="63"/>
      <c r="N61" s="63"/>
      <c r="O61" s="63"/>
      <c r="P61" s="63"/>
      <c r="Q61" s="63"/>
    </row>
    <row r="62" spans="3:17" s="49" customFormat="1" ht="15.75" x14ac:dyDescent="0.25">
      <c r="C62" s="48"/>
      <c r="D62" s="60"/>
      <c r="E62" s="60"/>
      <c r="F62" s="60"/>
      <c r="G62" s="50"/>
      <c r="H62" s="61"/>
      <c r="I62" s="62"/>
      <c r="J62" s="62"/>
      <c r="K62" s="62"/>
      <c r="L62" s="62"/>
      <c r="M62" s="63"/>
      <c r="N62" s="63"/>
      <c r="O62" s="63"/>
      <c r="P62" s="63"/>
      <c r="Q62" s="63"/>
    </row>
    <row r="63" spans="3:17" s="49" customFormat="1" ht="15.75" x14ac:dyDescent="0.25">
      <c r="C63" s="48"/>
      <c r="D63" s="60"/>
      <c r="E63" s="60"/>
      <c r="F63" s="60"/>
      <c r="G63" s="50"/>
      <c r="H63" s="61"/>
      <c r="I63" s="62"/>
      <c r="J63" s="62"/>
      <c r="K63" s="62"/>
      <c r="L63" s="62"/>
      <c r="M63" s="63"/>
      <c r="N63" s="63"/>
      <c r="O63" s="63"/>
      <c r="P63" s="63"/>
      <c r="Q63" s="63"/>
    </row>
    <row r="64" spans="3:17" s="49" customFormat="1" ht="15.75" x14ac:dyDescent="0.25">
      <c r="C64" s="48"/>
      <c r="D64" s="60"/>
      <c r="E64" s="60"/>
      <c r="F64" s="60"/>
      <c r="G64" s="50"/>
      <c r="H64" s="61"/>
      <c r="I64" s="62"/>
      <c r="J64" s="62"/>
      <c r="K64" s="62"/>
      <c r="L64" s="62"/>
      <c r="M64" s="63"/>
      <c r="N64" s="63"/>
      <c r="O64" s="63"/>
      <c r="P64" s="63"/>
      <c r="Q64" s="63"/>
    </row>
    <row r="65" spans="3:17" s="49" customFormat="1" ht="15.75" x14ac:dyDescent="0.25">
      <c r="C65" s="48"/>
      <c r="D65" s="60"/>
      <c r="E65" s="60"/>
      <c r="F65" s="60"/>
      <c r="G65" s="50"/>
      <c r="H65" s="61"/>
      <c r="I65" s="62"/>
      <c r="J65" s="62"/>
      <c r="K65" s="62"/>
      <c r="L65" s="62"/>
      <c r="M65" s="63"/>
      <c r="N65" s="63"/>
      <c r="O65" s="63"/>
      <c r="P65" s="63"/>
      <c r="Q65" s="63"/>
    </row>
    <row r="66" spans="3:17" s="49" customFormat="1" ht="15.75" x14ac:dyDescent="0.25">
      <c r="C66" s="48"/>
      <c r="D66" s="60"/>
      <c r="E66" s="60"/>
      <c r="F66" s="60"/>
      <c r="G66" s="50"/>
      <c r="H66" s="61"/>
      <c r="I66" s="62"/>
      <c r="J66" s="62"/>
      <c r="K66" s="62"/>
      <c r="L66" s="62"/>
      <c r="M66" s="63"/>
      <c r="N66" s="63"/>
      <c r="O66" s="63"/>
      <c r="P66" s="63"/>
      <c r="Q66" s="63"/>
    </row>
    <row r="67" spans="3:17" s="49" customFormat="1" ht="15.75" x14ac:dyDescent="0.25">
      <c r="C67" s="48"/>
      <c r="D67" s="60"/>
      <c r="E67" s="60"/>
      <c r="F67" s="60"/>
      <c r="G67" s="50"/>
      <c r="H67" s="61"/>
      <c r="I67" s="62"/>
      <c r="J67" s="62"/>
      <c r="K67" s="62"/>
      <c r="L67" s="62"/>
      <c r="M67" s="63"/>
      <c r="N67" s="63"/>
      <c r="O67" s="63"/>
      <c r="P67" s="63"/>
      <c r="Q67" s="63"/>
    </row>
    <row r="68" spans="3:17" s="49" customFormat="1" ht="15.75" x14ac:dyDescent="0.25">
      <c r="C68" s="48"/>
      <c r="D68" s="60"/>
      <c r="E68" s="60"/>
      <c r="F68" s="60"/>
      <c r="G68" s="50"/>
      <c r="H68" s="61"/>
      <c r="I68" s="62"/>
      <c r="J68" s="62"/>
      <c r="K68" s="62"/>
      <c r="L68" s="62"/>
      <c r="M68" s="63"/>
      <c r="N68" s="63"/>
      <c r="O68" s="63"/>
      <c r="P68" s="63"/>
      <c r="Q68" s="63"/>
    </row>
    <row r="69" spans="3:17" s="49" customFormat="1" ht="15.75" x14ac:dyDescent="0.25">
      <c r="C69" s="48"/>
      <c r="D69" s="60"/>
      <c r="E69" s="60"/>
      <c r="F69" s="60"/>
      <c r="G69" s="50"/>
      <c r="H69" s="61"/>
      <c r="I69" s="62"/>
      <c r="J69" s="62"/>
      <c r="K69" s="62"/>
      <c r="L69" s="62"/>
      <c r="M69" s="63"/>
      <c r="N69" s="63"/>
      <c r="O69" s="63"/>
      <c r="P69" s="63"/>
      <c r="Q69" s="63"/>
    </row>
    <row r="70" spans="3:17" s="49" customFormat="1" ht="15.75" x14ac:dyDescent="0.25">
      <c r="C70" s="48"/>
      <c r="D70" s="60"/>
      <c r="E70" s="60"/>
      <c r="F70" s="60"/>
      <c r="G70" s="50"/>
      <c r="H70" s="61"/>
      <c r="I70" s="62"/>
      <c r="J70" s="62"/>
      <c r="K70" s="62"/>
      <c r="L70" s="62"/>
      <c r="M70" s="63"/>
      <c r="N70" s="63"/>
      <c r="O70" s="63"/>
      <c r="P70" s="63"/>
      <c r="Q70" s="63"/>
    </row>
    <row r="71" spans="3:17" s="49" customFormat="1" ht="15.75" x14ac:dyDescent="0.25">
      <c r="C71" s="48"/>
      <c r="D71" s="60"/>
      <c r="E71" s="60"/>
      <c r="F71" s="60"/>
      <c r="G71" s="50"/>
      <c r="H71" s="61"/>
      <c r="I71" s="62"/>
      <c r="J71" s="62"/>
      <c r="K71" s="62"/>
      <c r="L71" s="62"/>
      <c r="M71" s="63"/>
      <c r="N71" s="63"/>
      <c r="O71" s="63"/>
      <c r="P71" s="63"/>
      <c r="Q71" s="63"/>
    </row>
    <row r="72" spans="3:17" s="49" customFormat="1" ht="15.75" x14ac:dyDescent="0.25">
      <c r="C72" s="48"/>
      <c r="D72" s="60"/>
      <c r="E72" s="60"/>
      <c r="F72" s="60"/>
      <c r="G72" s="50"/>
      <c r="H72" s="61"/>
      <c r="I72" s="62"/>
      <c r="J72" s="62"/>
      <c r="K72" s="62"/>
      <c r="L72" s="62"/>
      <c r="M72" s="63"/>
      <c r="N72" s="63"/>
      <c r="O72" s="63"/>
      <c r="P72" s="63"/>
      <c r="Q72" s="63"/>
    </row>
    <row r="73" spans="3:17" s="49" customFormat="1" ht="15.75" x14ac:dyDescent="0.25">
      <c r="C73" s="48"/>
      <c r="D73" s="60"/>
      <c r="E73" s="60"/>
      <c r="F73" s="60"/>
      <c r="G73" s="50"/>
      <c r="H73" s="61"/>
      <c r="I73" s="62"/>
      <c r="J73" s="62"/>
      <c r="K73" s="62"/>
      <c r="L73" s="62"/>
      <c r="M73" s="63"/>
      <c r="N73" s="63"/>
      <c r="O73" s="63"/>
      <c r="P73" s="63"/>
      <c r="Q73" s="63"/>
    </row>
    <row r="74" spans="3:17" s="49" customFormat="1" ht="15.75" x14ac:dyDescent="0.25">
      <c r="C74" s="48"/>
      <c r="D74" s="60"/>
      <c r="E74" s="60"/>
      <c r="F74" s="60"/>
      <c r="G74" s="50"/>
      <c r="H74" s="61"/>
      <c r="I74" s="62"/>
      <c r="J74" s="62"/>
      <c r="K74" s="62"/>
      <c r="L74" s="62"/>
      <c r="M74" s="63"/>
      <c r="N74" s="63"/>
      <c r="O74" s="63"/>
      <c r="P74" s="63"/>
      <c r="Q74" s="63"/>
    </row>
    <row r="75" spans="3:17" s="49" customFormat="1" ht="15.75" x14ac:dyDescent="0.25">
      <c r="C75" s="48"/>
      <c r="D75" s="60"/>
      <c r="E75" s="60"/>
      <c r="F75" s="60"/>
      <c r="G75" s="50"/>
      <c r="H75" s="61"/>
      <c r="I75" s="62"/>
      <c r="J75" s="62"/>
      <c r="K75" s="62"/>
      <c r="L75" s="62"/>
      <c r="M75" s="63"/>
      <c r="N75" s="63"/>
      <c r="O75" s="63"/>
      <c r="P75" s="63"/>
      <c r="Q75" s="63"/>
    </row>
    <row r="76" spans="3:17" s="49" customFormat="1" ht="15.75" x14ac:dyDescent="0.25">
      <c r="C76" s="48"/>
      <c r="D76" s="60"/>
      <c r="E76" s="60"/>
      <c r="F76" s="60"/>
      <c r="G76" s="50"/>
      <c r="H76" s="61"/>
      <c r="I76" s="62"/>
      <c r="J76" s="62"/>
      <c r="K76" s="62"/>
      <c r="L76" s="62"/>
      <c r="M76" s="63"/>
      <c r="N76" s="63"/>
      <c r="O76" s="63"/>
      <c r="P76" s="63"/>
      <c r="Q76" s="63"/>
    </row>
    <row r="77" spans="3:17" s="49" customFormat="1" ht="15.75" x14ac:dyDescent="0.25">
      <c r="C77" s="48"/>
      <c r="D77" s="60"/>
      <c r="E77" s="60"/>
      <c r="F77" s="60"/>
      <c r="G77" s="50"/>
      <c r="H77" s="61"/>
      <c r="I77" s="62"/>
      <c r="J77" s="62"/>
      <c r="K77" s="62"/>
      <c r="L77" s="62"/>
      <c r="M77" s="63"/>
      <c r="N77" s="63"/>
      <c r="O77" s="63"/>
      <c r="P77" s="63"/>
      <c r="Q77" s="63"/>
    </row>
    <row r="78" spans="3:17" s="49" customFormat="1" ht="15.75" x14ac:dyDescent="0.25">
      <c r="C78" s="48"/>
      <c r="D78" s="60"/>
      <c r="E78" s="60"/>
      <c r="F78" s="60"/>
      <c r="G78" s="50"/>
      <c r="H78" s="61"/>
      <c r="I78" s="62"/>
      <c r="J78" s="62"/>
      <c r="K78" s="62"/>
      <c r="L78" s="62"/>
      <c r="M78" s="63"/>
      <c r="N78" s="63"/>
      <c r="O78" s="63"/>
      <c r="P78" s="63"/>
      <c r="Q78" s="63"/>
    </row>
    <row r="79" spans="3:17" s="49" customFormat="1" ht="15.75" x14ac:dyDescent="0.25">
      <c r="C79" s="48"/>
      <c r="D79" s="60"/>
      <c r="E79" s="60"/>
      <c r="F79" s="60"/>
      <c r="G79" s="50"/>
      <c r="H79" s="61"/>
      <c r="I79" s="62"/>
      <c r="J79" s="62"/>
      <c r="K79" s="62"/>
      <c r="L79" s="62"/>
      <c r="M79" s="63"/>
      <c r="N79" s="63"/>
      <c r="O79" s="63"/>
      <c r="P79" s="63"/>
      <c r="Q79" s="63"/>
    </row>
    <row r="80" spans="3:17" s="49" customFormat="1" ht="15.75" x14ac:dyDescent="0.25">
      <c r="C80" s="48"/>
      <c r="D80" s="60"/>
      <c r="E80" s="60"/>
      <c r="F80" s="60"/>
      <c r="G80" s="50"/>
      <c r="H80" s="61"/>
      <c r="I80" s="62"/>
      <c r="J80" s="62"/>
      <c r="K80" s="62"/>
      <c r="L80" s="62"/>
      <c r="M80" s="63"/>
      <c r="N80" s="63"/>
      <c r="O80" s="63"/>
      <c r="P80" s="63"/>
      <c r="Q80" s="63"/>
    </row>
    <row r="81" spans="3:17" s="49" customFormat="1" ht="15.75" x14ac:dyDescent="0.25">
      <c r="C81" s="48"/>
      <c r="D81" s="60"/>
      <c r="E81" s="60"/>
      <c r="F81" s="60"/>
      <c r="G81" s="50"/>
      <c r="H81" s="61"/>
      <c r="I81" s="62"/>
      <c r="J81" s="62"/>
      <c r="K81" s="62"/>
      <c r="L81" s="62"/>
      <c r="M81" s="63"/>
      <c r="N81" s="63"/>
      <c r="O81" s="63"/>
      <c r="P81" s="63"/>
      <c r="Q81" s="63"/>
    </row>
    <row r="82" spans="3:17" s="49" customFormat="1" ht="15.75" x14ac:dyDescent="0.25">
      <c r="C82" s="48"/>
      <c r="D82" s="60"/>
      <c r="E82" s="60"/>
      <c r="F82" s="60"/>
      <c r="G82" s="50"/>
      <c r="H82" s="61"/>
      <c r="I82" s="62"/>
      <c r="J82" s="62"/>
      <c r="K82" s="62"/>
      <c r="L82" s="62"/>
      <c r="M82" s="63"/>
      <c r="N82" s="63"/>
      <c r="O82" s="63"/>
      <c r="P82" s="63"/>
      <c r="Q82" s="63"/>
    </row>
    <row r="83" spans="3:17" s="49" customFormat="1" ht="15.75" x14ac:dyDescent="0.25">
      <c r="C83" s="48"/>
      <c r="D83" s="60"/>
      <c r="E83" s="60"/>
      <c r="F83" s="60"/>
      <c r="G83" s="50"/>
      <c r="H83" s="61"/>
      <c r="I83" s="62"/>
      <c r="J83" s="62"/>
      <c r="K83" s="62"/>
      <c r="L83" s="62"/>
      <c r="M83" s="63"/>
      <c r="N83" s="63"/>
      <c r="O83" s="63"/>
      <c r="P83" s="63"/>
      <c r="Q83" s="63"/>
    </row>
    <row r="84" spans="3:17" s="49" customFormat="1" ht="15.75" x14ac:dyDescent="0.25">
      <c r="C84" s="48"/>
      <c r="D84" s="60"/>
      <c r="E84" s="60"/>
      <c r="F84" s="60"/>
      <c r="G84" s="50"/>
      <c r="H84" s="61"/>
      <c r="I84" s="62"/>
      <c r="J84" s="62"/>
      <c r="K84" s="62"/>
      <c r="L84" s="62"/>
      <c r="M84" s="63"/>
      <c r="N84" s="63"/>
      <c r="O84" s="63"/>
      <c r="P84" s="63"/>
      <c r="Q84" s="63"/>
    </row>
    <row r="85" spans="3:17" s="49" customFormat="1" ht="15.75" x14ac:dyDescent="0.25">
      <c r="C85" s="48"/>
      <c r="D85" s="60"/>
      <c r="E85" s="60"/>
      <c r="F85" s="60"/>
      <c r="G85" s="50"/>
      <c r="H85" s="61"/>
      <c r="I85" s="62"/>
      <c r="J85" s="62"/>
      <c r="K85" s="62"/>
      <c r="L85" s="62"/>
      <c r="M85" s="63"/>
      <c r="N85" s="63"/>
      <c r="O85" s="63"/>
      <c r="P85" s="63"/>
      <c r="Q85" s="63"/>
    </row>
    <row r="86" spans="3:17" s="49" customFormat="1" ht="15.75" x14ac:dyDescent="0.25">
      <c r="C86" s="48"/>
      <c r="D86" s="60"/>
      <c r="E86" s="60"/>
      <c r="F86" s="60"/>
      <c r="G86" s="50"/>
      <c r="H86" s="61"/>
      <c r="I86" s="62"/>
      <c r="J86" s="62"/>
      <c r="K86" s="62"/>
      <c r="L86" s="62"/>
      <c r="M86" s="63"/>
      <c r="N86" s="63"/>
      <c r="O86" s="63"/>
      <c r="P86" s="63"/>
      <c r="Q86" s="63"/>
    </row>
    <row r="87" spans="3:17" s="49" customFormat="1" ht="15.75" x14ac:dyDescent="0.25">
      <c r="C87" s="48"/>
      <c r="D87" s="60"/>
      <c r="E87" s="60"/>
      <c r="F87" s="60"/>
      <c r="G87" s="50"/>
      <c r="H87" s="61"/>
      <c r="I87" s="62"/>
      <c r="J87" s="62"/>
      <c r="K87" s="62"/>
      <c r="L87" s="62"/>
      <c r="M87" s="63"/>
      <c r="N87" s="63"/>
      <c r="O87" s="63"/>
      <c r="P87" s="63"/>
      <c r="Q87" s="63"/>
    </row>
    <row r="88" spans="3:17" s="49" customFormat="1" ht="15.75" x14ac:dyDescent="0.25">
      <c r="C88" s="48"/>
      <c r="D88" s="60"/>
      <c r="E88" s="60"/>
      <c r="F88" s="60"/>
      <c r="G88" s="50"/>
      <c r="H88" s="61"/>
      <c r="I88" s="62"/>
      <c r="J88" s="62"/>
      <c r="K88" s="62"/>
      <c r="L88" s="62"/>
      <c r="M88" s="63"/>
      <c r="N88" s="63"/>
      <c r="O88" s="63"/>
      <c r="P88" s="63"/>
      <c r="Q88" s="63"/>
    </row>
    <row r="89" spans="3:17" s="49" customFormat="1" ht="15.75" x14ac:dyDescent="0.25">
      <c r="C89" s="48"/>
      <c r="D89" s="60"/>
      <c r="E89" s="60"/>
      <c r="F89" s="60"/>
      <c r="G89" s="50"/>
      <c r="H89" s="61"/>
      <c r="I89" s="62"/>
      <c r="J89" s="62"/>
      <c r="K89" s="62"/>
      <c r="L89" s="62"/>
      <c r="M89" s="63"/>
      <c r="N89" s="63"/>
      <c r="O89" s="63"/>
      <c r="P89" s="63"/>
      <c r="Q89" s="63"/>
    </row>
    <row r="90" spans="3:17" s="49" customFormat="1" ht="15.75" x14ac:dyDescent="0.25">
      <c r="C90" s="48"/>
      <c r="D90" s="60"/>
      <c r="E90" s="60"/>
      <c r="F90" s="60"/>
      <c r="G90" s="50"/>
      <c r="H90" s="61"/>
      <c r="I90" s="62"/>
      <c r="J90" s="62"/>
      <c r="K90" s="62"/>
      <c r="L90" s="62"/>
      <c r="M90" s="63"/>
      <c r="N90" s="63"/>
      <c r="O90" s="63"/>
      <c r="P90" s="63"/>
      <c r="Q90" s="63"/>
    </row>
    <row r="91" spans="3:17" s="49" customFormat="1" ht="15.75" x14ac:dyDescent="0.25">
      <c r="C91" s="48"/>
      <c r="D91" s="60"/>
      <c r="E91" s="60"/>
      <c r="F91" s="60"/>
      <c r="G91" s="50"/>
      <c r="H91" s="61"/>
      <c r="I91" s="62"/>
      <c r="J91" s="62"/>
      <c r="K91" s="62"/>
      <c r="L91" s="62"/>
      <c r="M91" s="63"/>
      <c r="N91" s="63"/>
      <c r="O91" s="63"/>
      <c r="P91" s="63"/>
      <c r="Q91" s="63"/>
    </row>
    <row r="92" spans="3:17" s="49" customFormat="1" ht="15.75" x14ac:dyDescent="0.25">
      <c r="C92" s="48"/>
      <c r="D92" s="60"/>
      <c r="E92" s="60"/>
      <c r="F92" s="60"/>
      <c r="G92" s="50"/>
      <c r="H92" s="61"/>
      <c r="I92" s="62"/>
      <c r="J92" s="62"/>
      <c r="K92" s="62"/>
      <c r="L92" s="62"/>
      <c r="M92" s="63"/>
      <c r="N92" s="63"/>
      <c r="O92" s="63"/>
      <c r="P92" s="63"/>
      <c r="Q92" s="63"/>
    </row>
    <row r="93" spans="3:17" s="49" customFormat="1" ht="15.75" x14ac:dyDescent="0.25">
      <c r="C93" s="48"/>
      <c r="D93" s="60"/>
      <c r="E93" s="60"/>
      <c r="F93" s="60"/>
      <c r="G93" s="50"/>
      <c r="H93" s="61"/>
      <c r="I93" s="62"/>
      <c r="J93" s="62"/>
      <c r="K93" s="62"/>
      <c r="L93" s="62"/>
      <c r="M93" s="63"/>
      <c r="N93" s="63"/>
      <c r="O93" s="63"/>
      <c r="P93" s="63"/>
      <c r="Q93" s="63"/>
    </row>
    <row r="94" spans="3:17" s="49" customFormat="1" ht="15.75" x14ac:dyDescent="0.25">
      <c r="C94" s="48"/>
      <c r="D94" s="60"/>
      <c r="E94" s="60"/>
      <c r="F94" s="60"/>
      <c r="G94" s="50"/>
      <c r="H94" s="61"/>
      <c r="I94" s="62"/>
      <c r="J94" s="62"/>
      <c r="K94" s="62"/>
      <c r="L94" s="62"/>
      <c r="M94" s="63"/>
      <c r="N94" s="63"/>
      <c r="O94" s="63"/>
      <c r="P94" s="63"/>
      <c r="Q94" s="63"/>
    </row>
    <row r="95" spans="3:17" s="49" customFormat="1" ht="15.75" x14ac:dyDescent="0.25">
      <c r="C95" s="48"/>
      <c r="D95" s="60"/>
      <c r="E95" s="60"/>
      <c r="F95" s="60"/>
      <c r="G95" s="50"/>
      <c r="H95" s="61"/>
      <c r="I95" s="62"/>
      <c r="J95" s="62"/>
      <c r="K95" s="62"/>
      <c r="L95" s="62"/>
      <c r="M95" s="63"/>
      <c r="N95" s="63"/>
      <c r="O95" s="63"/>
      <c r="P95" s="63"/>
      <c r="Q95" s="63"/>
    </row>
    <row r="96" spans="3:17" s="49" customFormat="1" ht="15.75" x14ac:dyDescent="0.25">
      <c r="C96" s="48"/>
      <c r="D96" s="60"/>
      <c r="E96" s="60"/>
      <c r="F96" s="60"/>
      <c r="G96" s="50"/>
      <c r="H96" s="61"/>
      <c r="I96" s="62"/>
      <c r="J96" s="62"/>
      <c r="K96" s="62"/>
      <c r="L96" s="62"/>
      <c r="M96" s="63"/>
      <c r="N96" s="63"/>
      <c r="O96" s="63"/>
      <c r="P96" s="63"/>
      <c r="Q96" s="63"/>
    </row>
    <row r="97" spans="3:17" s="49" customFormat="1" ht="15.75" x14ac:dyDescent="0.25">
      <c r="C97" s="48"/>
      <c r="D97" s="60"/>
      <c r="E97" s="60"/>
      <c r="F97" s="60"/>
      <c r="G97" s="50"/>
      <c r="H97" s="61"/>
      <c r="I97" s="62"/>
      <c r="J97" s="62"/>
      <c r="K97" s="62"/>
      <c r="L97" s="62"/>
      <c r="M97" s="63"/>
      <c r="N97" s="63"/>
      <c r="O97" s="63"/>
      <c r="P97" s="63"/>
      <c r="Q97" s="63"/>
    </row>
    <row r="98" spans="3:17" s="49" customFormat="1" ht="15.75" x14ac:dyDescent="0.25">
      <c r="C98" s="48"/>
      <c r="D98" s="60"/>
      <c r="E98" s="60"/>
      <c r="F98" s="60"/>
      <c r="G98" s="50"/>
      <c r="H98" s="61"/>
      <c r="I98" s="62"/>
      <c r="J98" s="62"/>
      <c r="K98" s="62"/>
      <c r="L98" s="62"/>
      <c r="M98" s="63"/>
      <c r="N98" s="63"/>
      <c r="O98" s="63"/>
      <c r="P98" s="63"/>
      <c r="Q98" s="63"/>
    </row>
    <row r="99" spans="3:17" s="49" customFormat="1" ht="15.75" x14ac:dyDescent="0.25">
      <c r="C99" s="48"/>
      <c r="D99" s="60"/>
      <c r="E99" s="60"/>
      <c r="F99" s="60"/>
      <c r="G99" s="50"/>
      <c r="H99" s="61"/>
      <c r="I99" s="62"/>
      <c r="J99" s="62"/>
      <c r="K99" s="62"/>
      <c r="L99" s="62"/>
      <c r="M99" s="63"/>
      <c r="N99" s="63"/>
      <c r="O99" s="63"/>
      <c r="P99" s="63"/>
      <c r="Q99" s="63"/>
    </row>
    <row r="100" spans="3:17" s="49" customFormat="1" ht="15.75" x14ac:dyDescent="0.25">
      <c r="C100" s="48"/>
      <c r="D100" s="60"/>
      <c r="E100" s="60"/>
      <c r="F100" s="60"/>
      <c r="G100" s="50"/>
      <c r="H100" s="61"/>
      <c r="I100" s="62"/>
      <c r="J100" s="62"/>
      <c r="K100" s="62"/>
      <c r="L100" s="62"/>
      <c r="M100" s="63"/>
      <c r="N100" s="63"/>
      <c r="O100" s="63"/>
      <c r="P100" s="63"/>
      <c r="Q100" s="63"/>
    </row>
    <row r="101" spans="3:17" s="49" customFormat="1" ht="15.75" x14ac:dyDescent="0.25">
      <c r="C101" s="48"/>
      <c r="D101" s="60"/>
      <c r="E101" s="60"/>
      <c r="F101" s="60"/>
      <c r="G101" s="50"/>
      <c r="H101" s="61"/>
      <c r="I101" s="62"/>
      <c r="J101" s="62"/>
      <c r="K101" s="62"/>
      <c r="L101" s="62"/>
      <c r="M101" s="63"/>
      <c r="N101" s="63"/>
      <c r="O101" s="63"/>
      <c r="P101" s="63"/>
      <c r="Q101" s="63"/>
    </row>
    <row r="102" spans="3:17" s="49" customFormat="1" ht="15.75" x14ac:dyDescent="0.25">
      <c r="C102" s="48"/>
      <c r="D102" s="60"/>
      <c r="E102" s="60"/>
      <c r="F102" s="60"/>
      <c r="G102" s="50"/>
      <c r="H102" s="61"/>
      <c r="I102" s="62"/>
      <c r="J102" s="62"/>
      <c r="K102" s="62"/>
      <c r="L102" s="62"/>
      <c r="M102" s="63"/>
      <c r="N102" s="63"/>
      <c r="O102" s="63"/>
      <c r="P102" s="63"/>
      <c r="Q102" s="63"/>
    </row>
    <row r="103" spans="3:17" s="49" customFormat="1" ht="15.75" x14ac:dyDescent="0.25">
      <c r="C103" s="48"/>
      <c r="D103" s="60"/>
      <c r="E103" s="60"/>
      <c r="F103" s="60"/>
      <c r="G103" s="50"/>
      <c r="H103" s="61"/>
      <c r="I103" s="62"/>
      <c r="J103" s="62"/>
      <c r="K103" s="62"/>
      <c r="L103" s="62"/>
      <c r="M103" s="63"/>
      <c r="N103" s="63"/>
      <c r="O103" s="63"/>
      <c r="P103" s="63"/>
      <c r="Q103" s="63"/>
    </row>
    <row r="104" spans="3:17" s="49" customFormat="1" ht="15.75" x14ac:dyDescent="0.25">
      <c r="C104" s="48"/>
      <c r="D104" s="60"/>
      <c r="E104" s="60"/>
      <c r="F104" s="60"/>
      <c r="G104" s="50"/>
      <c r="H104" s="61"/>
      <c r="I104" s="62"/>
      <c r="J104" s="62"/>
      <c r="K104" s="62"/>
      <c r="L104" s="62"/>
      <c r="M104" s="63"/>
      <c r="N104" s="63"/>
      <c r="O104" s="63"/>
      <c r="P104" s="63"/>
      <c r="Q104" s="63"/>
    </row>
    <row r="105" spans="3:17" s="49" customFormat="1" ht="15.75" x14ac:dyDescent="0.25">
      <c r="C105" s="48"/>
      <c r="D105" s="60"/>
      <c r="E105" s="60"/>
      <c r="F105" s="60"/>
      <c r="G105" s="50"/>
      <c r="H105" s="61"/>
      <c r="I105" s="62"/>
      <c r="J105" s="62"/>
      <c r="K105" s="62"/>
      <c r="L105" s="62"/>
      <c r="M105" s="63"/>
      <c r="N105" s="63"/>
      <c r="O105" s="63"/>
      <c r="P105" s="63"/>
      <c r="Q105" s="63"/>
    </row>
    <row r="106" spans="3:17" s="49" customFormat="1" ht="15.75" x14ac:dyDescent="0.25">
      <c r="C106" s="48"/>
      <c r="D106" s="60"/>
      <c r="E106" s="60"/>
      <c r="F106" s="60"/>
      <c r="G106" s="50"/>
      <c r="H106" s="61"/>
      <c r="I106" s="62"/>
      <c r="J106" s="62"/>
      <c r="K106" s="62"/>
      <c r="L106" s="62"/>
      <c r="M106" s="63"/>
      <c r="N106" s="63"/>
      <c r="O106" s="63"/>
      <c r="P106" s="63"/>
      <c r="Q106" s="63"/>
    </row>
    <row r="107" spans="3:17" s="49" customFormat="1" ht="15.75" x14ac:dyDescent="0.25">
      <c r="C107" s="48"/>
      <c r="D107" s="60"/>
      <c r="E107" s="60"/>
      <c r="F107" s="60"/>
      <c r="G107" s="50"/>
      <c r="H107" s="61"/>
      <c r="I107" s="44"/>
      <c r="J107" s="44"/>
      <c r="K107" s="44"/>
      <c r="L107" s="44"/>
      <c r="M107" s="64"/>
      <c r="N107" s="64"/>
    </row>
    <row r="108" spans="3:17" s="49" customFormat="1" ht="15.75" x14ac:dyDescent="0.25">
      <c r="C108" s="48"/>
      <c r="D108" s="60"/>
      <c r="E108" s="60"/>
      <c r="F108" s="60"/>
      <c r="G108" s="50"/>
      <c r="H108" s="61"/>
      <c r="I108" s="44"/>
      <c r="J108" s="44"/>
      <c r="K108" s="44"/>
      <c r="L108" s="44"/>
      <c r="M108" s="64"/>
      <c r="N108" s="64"/>
    </row>
    <row r="109" spans="3:17" s="49" customFormat="1" ht="15.75" x14ac:dyDescent="0.25">
      <c r="C109" s="48"/>
      <c r="D109" s="60"/>
      <c r="E109" s="60"/>
      <c r="F109" s="60"/>
      <c r="G109" s="50"/>
      <c r="H109" s="61"/>
      <c r="I109" s="44"/>
      <c r="J109" s="44"/>
      <c r="K109" s="44"/>
      <c r="L109" s="44"/>
      <c r="M109" s="64"/>
      <c r="N109" s="64"/>
    </row>
    <row r="110" spans="3:17" s="49" customFormat="1" ht="15.75" x14ac:dyDescent="0.25">
      <c r="C110" s="48"/>
      <c r="D110" s="60"/>
      <c r="E110" s="60"/>
      <c r="F110" s="60"/>
      <c r="G110" s="50"/>
      <c r="H110" s="61"/>
      <c r="I110" s="44"/>
      <c r="J110" s="44"/>
      <c r="K110" s="44"/>
      <c r="L110" s="44"/>
      <c r="M110" s="64"/>
      <c r="N110" s="64"/>
    </row>
    <row r="111" spans="3:17" s="49" customFormat="1" ht="15.75" x14ac:dyDescent="0.25">
      <c r="C111" s="48"/>
      <c r="D111" s="60"/>
      <c r="E111" s="60"/>
      <c r="F111" s="60"/>
      <c r="G111" s="50"/>
      <c r="H111" s="61"/>
      <c r="I111" s="44"/>
      <c r="J111" s="44"/>
      <c r="K111" s="44"/>
      <c r="L111" s="44"/>
      <c r="M111" s="64"/>
      <c r="N111" s="64"/>
    </row>
    <row r="112" spans="3:17" s="49" customFormat="1" ht="15.75" x14ac:dyDescent="0.25">
      <c r="C112" s="48"/>
      <c r="D112" s="60"/>
      <c r="E112" s="60"/>
      <c r="F112" s="60"/>
      <c r="G112" s="50"/>
      <c r="H112" s="61"/>
      <c r="I112" s="44"/>
      <c r="J112" s="44"/>
      <c r="K112" s="44"/>
      <c r="L112" s="44"/>
      <c r="M112" s="64"/>
      <c r="N112" s="64"/>
    </row>
    <row r="113" spans="3:14" s="49" customFormat="1" ht="15.75" x14ac:dyDescent="0.25">
      <c r="C113" s="48"/>
      <c r="D113" s="60"/>
      <c r="E113" s="60"/>
      <c r="F113" s="60"/>
      <c r="G113" s="50"/>
      <c r="H113" s="61"/>
      <c r="I113" s="44"/>
      <c r="J113" s="44"/>
      <c r="K113" s="44"/>
      <c r="L113" s="44"/>
      <c r="M113" s="64"/>
      <c r="N113" s="64"/>
    </row>
    <row r="114" spans="3:14" s="49" customFormat="1" ht="15.75" x14ac:dyDescent="0.25">
      <c r="C114" s="48"/>
      <c r="D114" s="60"/>
      <c r="E114" s="60"/>
      <c r="F114" s="60"/>
      <c r="G114" s="50"/>
      <c r="H114" s="61"/>
      <c r="I114" s="44"/>
      <c r="J114" s="44"/>
      <c r="K114" s="44"/>
      <c r="L114" s="44"/>
      <c r="M114" s="64"/>
      <c r="N114" s="64"/>
    </row>
    <row r="115" spans="3:14" s="49" customFormat="1" ht="15.75" x14ac:dyDescent="0.25">
      <c r="C115" s="48"/>
      <c r="D115" s="60"/>
      <c r="E115" s="60"/>
      <c r="F115" s="60"/>
      <c r="G115" s="50"/>
      <c r="H115" s="61"/>
      <c r="I115" s="44"/>
      <c r="J115" s="44"/>
      <c r="K115" s="44"/>
      <c r="L115" s="44"/>
      <c r="M115" s="64"/>
      <c r="N115" s="64"/>
    </row>
    <row r="116" spans="3:14" s="49" customFormat="1" ht="15.75" x14ac:dyDescent="0.25">
      <c r="C116" s="48"/>
      <c r="D116" s="60"/>
      <c r="E116" s="60"/>
      <c r="F116" s="60"/>
      <c r="G116" s="50"/>
      <c r="H116" s="61"/>
      <c r="I116" s="44"/>
      <c r="J116" s="44"/>
      <c r="K116" s="44"/>
      <c r="L116" s="44"/>
      <c r="M116" s="64"/>
      <c r="N116" s="64"/>
    </row>
    <row r="117" spans="3:14" s="49" customFormat="1" ht="15.75" x14ac:dyDescent="0.25">
      <c r="C117" s="48"/>
      <c r="D117" s="60"/>
      <c r="E117" s="60"/>
      <c r="F117" s="60"/>
      <c r="G117" s="50"/>
      <c r="H117" s="61"/>
      <c r="I117" s="44"/>
      <c r="J117" s="44"/>
      <c r="K117" s="44"/>
      <c r="L117" s="44"/>
      <c r="M117" s="64"/>
      <c r="N117" s="64"/>
    </row>
    <row r="118" spans="3:14" s="49" customFormat="1" ht="15.75" x14ac:dyDescent="0.25">
      <c r="C118" s="48"/>
      <c r="D118" s="60"/>
      <c r="E118" s="60"/>
      <c r="F118" s="60"/>
      <c r="G118" s="50"/>
      <c r="H118" s="61"/>
      <c r="I118" s="44"/>
      <c r="J118" s="44"/>
      <c r="K118" s="44"/>
      <c r="L118" s="44"/>
      <c r="M118" s="64"/>
      <c r="N118" s="64"/>
    </row>
    <row r="119" spans="3:14" s="49" customFormat="1" ht="15.75" x14ac:dyDescent="0.25">
      <c r="C119" s="48"/>
      <c r="D119" s="60"/>
      <c r="E119" s="60"/>
      <c r="F119" s="60"/>
      <c r="G119" s="50"/>
      <c r="H119" s="61"/>
      <c r="I119" s="44"/>
      <c r="J119" s="44"/>
      <c r="K119" s="44"/>
      <c r="L119" s="44"/>
      <c r="M119" s="64"/>
      <c r="N119" s="64"/>
    </row>
    <row r="120" spans="3:14" s="49" customFormat="1" ht="15.75" x14ac:dyDescent="0.25">
      <c r="C120" s="48"/>
      <c r="D120" s="60"/>
      <c r="E120" s="60"/>
      <c r="F120" s="60"/>
      <c r="G120" s="50"/>
      <c r="H120" s="61"/>
      <c r="I120" s="44"/>
      <c r="J120" s="44"/>
      <c r="K120" s="44"/>
      <c r="L120" s="44"/>
      <c r="M120" s="64"/>
      <c r="N120" s="64"/>
    </row>
    <row r="121" spans="3:14" s="49" customFormat="1" ht="15.75" x14ac:dyDescent="0.25">
      <c r="C121" s="48"/>
      <c r="D121" s="60"/>
      <c r="E121" s="60"/>
      <c r="F121" s="60"/>
      <c r="G121" s="50"/>
      <c r="H121" s="61"/>
      <c r="I121" s="44"/>
      <c r="J121" s="44"/>
      <c r="K121" s="44"/>
      <c r="L121" s="44"/>
      <c r="M121" s="64"/>
      <c r="N121" s="64"/>
    </row>
    <row r="122" spans="3:14" s="49" customFormat="1" ht="15.75" x14ac:dyDescent="0.25">
      <c r="C122" s="48"/>
      <c r="D122" s="60"/>
      <c r="E122" s="60"/>
      <c r="F122" s="60"/>
      <c r="G122" s="50"/>
      <c r="H122" s="61"/>
      <c r="I122" s="44"/>
      <c r="J122" s="44"/>
      <c r="K122" s="44"/>
      <c r="L122" s="44"/>
      <c r="M122" s="64"/>
      <c r="N122" s="64"/>
    </row>
    <row r="123" spans="3:14" s="49" customFormat="1" ht="15.75" x14ac:dyDescent="0.25">
      <c r="C123" s="48"/>
      <c r="D123" s="60"/>
      <c r="E123" s="60"/>
      <c r="F123" s="60"/>
      <c r="G123" s="50"/>
      <c r="H123" s="61"/>
      <c r="I123" s="44"/>
      <c r="J123" s="44"/>
      <c r="K123" s="44"/>
      <c r="L123" s="44"/>
      <c r="M123" s="64"/>
      <c r="N123" s="64"/>
    </row>
    <row r="124" spans="3:14" s="49" customFormat="1" ht="15.75" x14ac:dyDescent="0.25">
      <c r="C124" s="48"/>
      <c r="D124" s="60"/>
      <c r="E124" s="60"/>
      <c r="F124" s="60"/>
      <c r="G124" s="50"/>
      <c r="H124" s="61"/>
      <c r="I124" s="44"/>
      <c r="J124" s="44"/>
      <c r="K124" s="44"/>
      <c r="L124" s="44"/>
      <c r="M124" s="64"/>
      <c r="N124" s="64"/>
    </row>
    <row r="125" spans="3:14" s="49" customFormat="1" ht="15.75" x14ac:dyDescent="0.25">
      <c r="C125" s="48"/>
      <c r="D125" s="60"/>
      <c r="E125" s="60"/>
      <c r="F125" s="60"/>
      <c r="G125" s="50"/>
      <c r="H125" s="61"/>
      <c r="I125" s="44"/>
      <c r="J125" s="44"/>
      <c r="K125" s="44"/>
      <c r="L125" s="44"/>
      <c r="M125" s="64"/>
      <c r="N125" s="64"/>
    </row>
    <row r="126" spans="3:14" s="49" customFormat="1" ht="15.75" x14ac:dyDescent="0.25">
      <c r="C126" s="48"/>
      <c r="D126" s="60"/>
      <c r="E126" s="60"/>
      <c r="F126" s="60"/>
      <c r="G126" s="50"/>
      <c r="H126" s="61"/>
      <c r="I126" s="44"/>
      <c r="J126" s="44"/>
      <c r="K126" s="44"/>
      <c r="L126" s="44"/>
      <c r="M126" s="64"/>
      <c r="N126" s="64"/>
    </row>
    <row r="127" spans="3:14" s="49" customFormat="1" ht="15.75" x14ac:dyDescent="0.25">
      <c r="C127" s="48"/>
      <c r="D127" s="60"/>
      <c r="E127" s="60"/>
      <c r="F127" s="60"/>
      <c r="G127" s="50"/>
      <c r="H127" s="61"/>
      <c r="I127" s="44"/>
      <c r="J127" s="44"/>
      <c r="K127" s="44"/>
      <c r="L127" s="44"/>
      <c r="M127" s="64"/>
      <c r="N127" s="64"/>
    </row>
    <row r="128" spans="3:14" s="49" customFormat="1" ht="15.75" x14ac:dyDescent="0.25">
      <c r="C128" s="48"/>
      <c r="D128" s="60"/>
      <c r="E128" s="60"/>
      <c r="F128" s="60"/>
      <c r="G128" s="50"/>
      <c r="H128" s="61"/>
      <c r="I128" s="44"/>
      <c r="J128" s="44"/>
      <c r="K128" s="44"/>
      <c r="L128" s="44"/>
      <c r="M128" s="64"/>
      <c r="N128" s="64"/>
    </row>
    <row r="129" spans="3:14" s="49" customFormat="1" ht="15.75" x14ac:dyDescent="0.25">
      <c r="C129" s="48"/>
      <c r="D129" s="60"/>
      <c r="E129" s="60"/>
      <c r="F129" s="60"/>
      <c r="G129" s="50"/>
      <c r="H129" s="61"/>
      <c r="I129" s="44"/>
      <c r="J129" s="44"/>
      <c r="K129" s="44"/>
      <c r="L129" s="44"/>
      <c r="M129" s="64"/>
      <c r="N129" s="64"/>
    </row>
    <row r="130" spans="3:14" s="49" customFormat="1" ht="15.75" x14ac:dyDescent="0.25">
      <c r="C130" s="48"/>
      <c r="D130" s="60"/>
      <c r="E130" s="60"/>
      <c r="F130" s="60"/>
      <c r="G130" s="50"/>
      <c r="H130" s="61"/>
      <c r="I130" s="44"/>
      <c r="J130" s="44"/>
      <c r="K130" s="44"/>
      <c r="L130" s="44"/>
      <c r="M130" s="64"/>
      <c r="N130" s="64"/>
    </row>
    <row r="131" spans="3:14" s="49" customFormat="1" ht="15.75" x14ac:dyDescent="0.25">
      <c r="C131" s="48"/>
      <c r="D131" s="60"/>
      <c r="E131" s="60"/>
      <c r="F131" s="60"/>
      <c r="G131" s="50"/>
      <c r="H131" s="61"/>
      <c r="I131" s="44"/>
      <c r="J131" s="44"/>
      <c r="K131" s="44"/>
      <c r="L131" s="44"/>
      <c r="M131" s="64"/>
      <c r="N131" s="64"/>
    </row>
    <row r="132" spans="3:14" s="49" customFormat="1" ht="15.75" x14ac:dyDescent="0.25">
      <c r="C132" s="48"/>
      <c r="D132" s="60"/>
      <c r="E132" s="60"/>
      <c r="F132" s="60"/>
      <c r="G132" s="50"/>
      <c r="H132" s="61"/>
      <c r="I132" s="44"/>
      <c r="J132" s="44"/>
      <c r="K132" s="44"/>
      <c r="L132" s="44"/>
      <c r="M132" s="64"/>
      <c r="N132" s="64"/>
    </row>
    <row r="133" spans="3:14" s="49" customFormat="1" ht="15.75" x14ac:dyDescent="0.25">
      <c r="C133" s="48"/>
      <c r="D133" s="60"/>
      <c r="E133" s="60"/>
      <c r="F133" s="60"/>
      <c r="G133" s="50"/>
      <c r="H133" s="61"/>
      <c r="I133" s="44"/>
      <c r="J133" s="44"/>
      <c r="K133" s="44"/>
      <c r="L133" s="44"/>
      <c r="M133" s="64"/>
      <c r="N133" s="64"/>
    </row>
    <row r="134" spans="3:14" s="49" customFormat="1" ht="15.75" x14ac:dyDescent="0.25">
      <c r="C134" s="48"/>
      <c r="D134" s="60"/>
      <c r="E134" s="60"/>
      <c r="F134" s="60"/>
      <c r="G134" s="50"/>
      <c r="H134" s="61"/>
      <c r="I134" s="44"/>
      <c r="J134" s="44"/>
      <c r="K134" s="44"/>
      <c r="L134" s="44"/>
      <c r="M134" s="64"/>
      <c r="N134" s="64"/>
    </row>
    <row r="135" spans="3:14" s="49" customFormat="1" ht="15.75" x14ac:dyDescent="0.25">
      <c r="C135" s="48"/>
      <c r="D135" s="60"/>
      <c r="E135" s="60"/>
      <c r="F135" s="60"/>
      <c r="G135" s="50"/>
      <c r="H135" s="61"/>
      <c r="I135" s="44"/>
      <c r="J135" s="44"/>
      <c r="K135" s="44"/>
      <c r="L135" s="44"/>
      <c r="M135" s="64"/>
      <c r="N135" s="64"/>
    </row>
    <row r="136" spans="3:14" s="49" customFormat="1" ht="15.75" x14ac:dyDescent="0.25">
      <c r="C136" s="48"/>
      <c r="D136" s="60"/>
      <c r="E136" s="60"/>
      <c r="F136" s="60"/>
      <c r="G136" s="50"/>
      <c r="H136" s="61"/>
      <c r="I136" s="44"/>
      <c r="J136" s="44"/>
      <c r="K136" s="44"/>
      <c r="L136" s="44"/>
      <c r="M136" s="64"/>
      <c r="N136" s="64"/>
    </row>
    <row r="137" spans="3:14" s="49" customFormat="1" ht="15.75" x14ac:dyDescent="0.25">
      <c r="C137" s="48"/>
      <c r="D137" s="60"/>
      <c r="E137" s="60"/>
      <c r="F137" s="60"/>
      <c r="G137" s="50"/>
      <c r="H137" s="61"/>
      <c r="I137" s="44"/>
      <c r="J137" s="44"/>
      <c r="K137" s="44"/>
      <c r="L137" s="44"/>
      <c r="M137" s="64"/>
      <c r="N137" s="64"/>
    </row>
    <row r="138" spans="3:14" s="49" customFormat="1" ht="15.75" x14ac:dyDescent="0.25">
      <c r="C138" s="48"/>
      <c r="D138" s="60"/>
      <c r="E138" s="60"/>
      <c r="F138" s="60"/>
      <c r="G138" s="50"/>
      <c r="H138" s="61"/>
      <c r="I138" s="44"/>
      <c r="J138" s="44"/>
      <c r="K138" s="44"/>
      <c r="L138" s="44"/>
      <c r="M138" s="64"/>
      <c r="N138" s="64"/>
    </row>
    <row r="139" spans="3:14" s="49" customFormat="1" ht="15.75" x14ac:dyDescent="0.25">
      <c r="C139" s="48"/>
      <c r="D139" s="60"/>
      <c r="E139" s="60"/>
      <c r="F139" s="60"/>
      <c r="G139" s="50"/>
      <c r="H139" s="61"/>
      <c r="I139" s="44"/>
      <c r="J139" s="44"/>
      <c r="K139" s="44"/>
      <c r="L139" s="44"/>
      <c r="M139" s="64"/>
      <c r="N139" s="64"/>
    </row>
    <row r="140" spans="3:14" s="49" customFormat="1" ht="15.75" x14ac:dyDescent="0.25">
      <c r="C140" s="48"/>
      <c r="D140" s="60"/>
      <c r="E140" s="60"/>
      <c r="F140" s="60"/>
      <c r="G140" s="50"/>
      <c r="H140" s="61"/>
      <c r="I140" s="44"/>
      <c r="J140" s="44"/>
      <c r="K140" s="44"/>
      <c r="L140" s="44"/>
      <c r="M140" s="64"/>
      <c r="N140" s="64"/>
    </row>
    <row r="141" spans="3:14" s="49" customFormat="1" ht="15.75" x14ac:dyDescent="0.25">
      <c r="C141" s="48"/>
      <c r="D141" s="60"/>
      <c r="E141" s="60"/>
      <c r="F141" s="60"/>
      <c r="G141" s="50"/>
      <c r="H141" s="61"/>
      <c r="I141" s="44"/>
      <c r="J141" s="44"/>
      <c r="K141" s="44"/>
      <c r="L141" s="44"/>
      <c r="M141" s="64"/>
      <c r="N141" s="64"/>
    </row>
    <row r="142" spans="3:14" s="49" customFormat="1" ht="15.75" x14ac:dyDescent="0.25">
      <c r="C142" s="48"/>
      <c r="D142" s="60"/>
      <c r="E142" s="60"/>
      <c r="F142" s="60"/>
      <c r="G142" s="50"/>
      <c r="H142" s="61"/>
      <c r="I142" s="44"/>
      <c r="J142" s="44"/>
      <c r="K142" s="44"/>
      <c r="L142" s="44"/>
      <c r="M142" s="64"/>
      <c r="N142" s="64"/>
    </row>
    <row r="143" spans="3:14" s="49" customFormat="1" ht="15.75" x14ac:dyDescent="0.25">
      <c r="C143" s="48"/>
      <c r="D143" s="60"/>
      <c r="E143" s="60"/>
      <c r="F143" s="60"/>
      <c r="G143" s="50"/>
      <c r="H143" s="61"/>
      <c r="I143" s="44"/>
      <c r="J143" s="44"/>
      <c r="K143" s="44"/>
      <c r="L143" s="44"/>
      <c r="M143" s="64"/>
      <c r="N143" s="64"/>
    </row>
    <row r="144" spans="3:14" s="49" customFormat="1" ht="15.75" x14ac:dyDescent="0.25">
      <c r="C144" s="48"/>
      <c r="D144" s="60"/>
      <c r="E144" s="60"/>
      <c r="F144" s="60"/>
      <c r="G144" s="50"/>
      <c r="H144" s="61"/>
      <c r="I144" s="44"/>
      <c r="J144" s="44"/>
      <c r="K144" s="44"/>
      <c r="L144" s="44"/>
      <c r="M144" s="64"/>
      <c r="N144" s="64"/>
    </row>
    <row r="145" spans="3:18" s="49" customFormat="1" ht="15.75" x14ac:dyDescent="0.25">
      <c r="C145" s="48"/>
      <c r="D145" s="60"/>
      <c r="E145" s="60"/>
      <c r="F145" s="60"/>
      <c r="G145" s="50"/>
      <c r="H145" s="61"/>
      <c r="I145" s="44"/>
      <c r="J145" s="44"/>
      <c r="K145" s="44"/>
      <c r="L145" s="44"/>
      <c r="M145" s="64"/>
      <c r="N145" s="64"/>
    </row>
    <row r="146" spans="3:18" s="49" customFormat="1" ht="15.75" x14ac:dyDescent="0.25">
      <c r="C146" s="48"/>
      <c r="D146" s="60"/>
      <c r="E146" s="60"/>
      <c r="F146" s="60"/>
      <c r="G146" s="50"/>
      <c r="H146" s="61"/>
      <c r="I146" s="44"/>
      <c r="J146" s="44"/>
      <c r="K146" s="44"/>
      <c r="L146" s="44"/>
      <c r="M146" s="64"/>
      <c r="N146" s="64"/>
    </row>
    <row r="147" spans="3:18" s="49" customFormat="1" ht="15.75" x14ac:dyDescent="0.25">
      <c r="C147" s="48"/>
      <c r="D147" s="60"/>
      <c r="E147" s="60"/>
      <c r="F147" s="60"/>
      <c r="G147" s="50"/>
      <c r="H147" s="61"/>
      <c r="I147" s="44"/>
      <c r="J147" s="44"/>
      <c r="K147" s="44"/>
      <c r="L147" s="44"/>
      <c r="M147" s="64"/>
      <c r="N147" s="64"/>
    </row>
    <row r="148" spans="3:18" s="49" customFormat="1" ht="15.75" x14ac:dyDescent="0.25">
      <c r="C148" s="48"/>
      <c r="D148" s="60"/>
      <c r="E148" s="60"/>
      <c r="F148" s="60"/>
      <c r="G148" s="50"/>
      <c r="H148" s="61"/>
      <c r="I148" s="44"/>
      <c r="J148" s="44"/>
      <c r="K148" s="44"/>
      <c r="L148" s="44"/>
      <c r="M148" s="64"/>
      <c r="N148" s="64"/>
    </row>
    <row r="149" spans="3:18" s="49" customFormat="1" ht="15.75" x14ac:dyDescent="0.25">
      <c r="C149" s="48"/>
      <c r="D149" s="60"/>
      <c r="E149" s="60"/>
      <c r="F149" s="60"/>
      <c r="G149" s="50"/>
      <c r="H149" s="61"/>
      <c r="I149" s="44"/>
      <c r="J149" s="44"/>
      <c r="K149" s="44"/>
      <c r="L149" s="44"/>
      <c r="M149" s="64"/>
      <c r="N149" s="64"/>
    </row>
    <row r="150" spans="3:18" s="49" customFormat="1" ht="15.75" x14ac:dyDescent="0.25">
      <c r="C150" s="48"/>
      <c r="D150" s="60"/>
      <c r="E150" s="60"/>
      <c r="F150" s="60"/>
      <c r="G150" s="50"/>
      <c r="H150" s="61"/>
      <c r="I150" s="44"/>
      <c r="J150" s="44"/>
      <c r="K150" s="44"/>
      <c r="L150" s="44"/>
      <c r="M150" s="64"/>
      <c r="N150" s="64"/>
    </row>
    <row r="151" spans="3:18" s="49" customFormat="1" ht="15.75" x14ac:dyDescent="0.25">
      <c r="C151" s="48"/>
      <c r="D151" s="60"/>
      <c r="E151" s="60"/>
      <c r="F151" s="60"/>
      <c r="G151" s="50"/>
      <c r="H151" s="61"/>
      <c r="I151" s="44"/>
      <c r="J151" s="44"/>
      <c r="K151" s="44"/>
      <c r="L151" s="44"/>
      <c r="M151" s="64"/>
      <c r="N151" s="64"/>
      <c r="R151" s="38"/>
    </row>
    <row r="152" spans="3:18" s="49" customFormat="1" ht="15.75" x14ac:dyDescent="0.25">
      <c r="C152" s="48"/>
      <c r="D152" s="60"/>
      <c r="E152" s="60"/>
      <c r="F152" s="60"/>
      <c r="G152" s="50"/>
      <c r="H152" s="61"/>
      <c r="I152" s="44"/>
      <c r="J152" s="44"/>
      <c r="K152" s="44"/>
      <c r="L152" s="44"/>
      <c r="M152" s="64"/>
      <c r="N152" s="64"/>
      <c r="R152" s="38"/>
    </row>
    <row r="153" spans="3:18" s="49" customFormat="1" ht="15.75" x14ac:dyDescent="0.25">
      <c r="C153" s="48"/>
      <c r="D153" s="60"/>
      <c r="E153" s="60"/>
      <c r="F153" s="60"/>
      <c r="G153" s="50"/>
      <c r="H153" s="61"/>
      <c r="I153" s="44"/>
      <c r="J153" s="44"/>
      <c r="K153" s="44"/>
      <c r="L153" s="44"/>
      <c r="M153" s="64"/>
      <c r="N153" s="64"/>
      <c r="R153" s="38"/>
    </row>
    <row r="154" spans="3:18" s="49" customFormat="1" ht="15.75" x14ac:dyDescent="0.25">
      <c r="C154" s="48"/>
      <c r="D154" s="60"/>
      <c r="E154" s="60"/>
      <c r="F154" s="60"/>
      <c r="G154" s="50"/>
      <c r="H154" s="61"/>
      <c r="I154" s="44"/>
      <c r="J154" s="44"/>
      <c r="K154" s="44"/>
      <c r="L154" s="44"/>
      <c r="M154" s="64"/>
      <c r="N154" s="64"/>
      <c r="R154" s="38"/>
    </row>
    <row r="155" spans="3:18" s="49" customFormat="1" ht="15.75" x14ac:dyDescent="0.25">
      <c r="C155" s="48"/>
      <c r="D155" s="60"/>
      <c r="E155" s="60"/>
      <c r="F155" s="60"/>
      <c r="G155" s="50"/>
      <c r="H155" s="61"/>
      <c r="I155" s="44"/>
      <c r="J155" s="44"/>
      <c r="K155" s="44"/>
      <c r="L155" s="44"/>
      <c r="M155" s="64"/>
      <c r="N155" s="64"/>
      <c r="R155" s="38"/>
    </row>
    <row r="156" spans="3:18" s="49" customFormat="1" ht="15.75" x14ac:dyDescent="0.25">
      <c r="C156" s="48"/>
      <c r="D156" s="60"/>
      <c r="E156" s="60"/>
      <c r="F156" s="60"/>
      <c r="G156" s="50"/>
      <c r="H156" s="61"/>
      <c r="I156" s="44"/>
      <c r="J156" s="44"/>
      <c r="K156" s="44"/>
      <c r="L156" s="44"/>
      <c r="M156" s="64"/>
      <c r="N156" s="64"/>
      <c r="R156" s="38"/>
    </row>
    <row r="157" spans="3:18" s="49" customFormat="1" ht="15.75" x14ac:dyDescent="0.25">
      <c r="C157" s="48"/>
      <c r="D157" s="60"/>
      <c r="E157" s="60"/>
      <c r="F157" s="60"/>
      <c r="G157" s="50"/>
      <c r="H157" s="61"/>
      <c r="I157" s="44"/>
      <c r="J157" s="44"/>
      <c r="K157" s="44"/>
      <c r="L157" s="44"/>
      <c r="M157" s="64"/>
      <c r="N157" s="64"/>
      <c r="R157" s="38"/>
    </row>
    <row r="158" spans="3:18" s="49" customFormat="1" ht="15.75" x14ac:dyDescent="0.25">
      <c r="C158" s="48"/>
      <c r="D158" s="60"/>
      <c r="E158" s="60"/>
      <c r="F158" s="60"/>
      <c r="G158" s="50"/>
      <c r="H158" s="61"/>
      <c r="I158" s="44"/>
      <c r="J158" s="44"/>
      <c r="K158" s="44"/>
      <c r="L158" s="44"/>
      <c r="M158" s="64"/>
      <c r="N158" s="64"/>
      <c r="R158" s="38"/>
    </row>
    <row r="159" spans="3:18" s="49" customFormat="1" ht="15.75" x14ac:dyDescent="0.25">
      <c r="C159" s="48"/>
      <c r="D159" s="60"/>
      <c r="E159" s="60"/>
      <c r="F159" s="60"/>
      <c r="G159" s="50"/>
      <c r="H159" s="61"/>
      <c r="I159" s="44"/>
      <c r="J159" s="44"/>
      <c r="K159" s="44"/>
      <c r="L159" s="44"/>
      <c r="M159" s="64"/>
      <c r="N159" s="64"/>
      <c r="R159" s="38"/>
    </row>
    <row r="160" spans="3:18" s="49" customFormat="1" ht="15.75" x14ac:dyDescent="0.25">
      <c r="C160" s="48"/>
      <c r="D160" s="60"/>
      <c r="E160" s="60"/>
      <c r="F160" s="60"/>
      <c r="G160" s="50"/>
      <c r="H160" s="61"/>
      <c r="I160" s="44"/>
      <c r="J160" s="44"/>
      <c r="K160" s="44"/>
      <c r="L160" s="44"/>
      <c r="M160" s="64"/>
      <c r="N160" s="64"/>
      <c r="R160" s="39"/>
    </row>
    <row r="161" spans="3:18" s="49" customFormat="1" ht="15.75" x14ac:dyDescent="0.25">
      <c r="C161" s="48"/>
      <c r="D161" s="60"/>
      <c r="E161" s="60"/>
      <c r="F161" s="60"/>
      <c r="G161" s="50"/>
      <c r="H161" s="61"/>
      <c r="I161" s="44"/>
      <c r="J161" s="44"/>
      <c r="K161" s="44"/>
      <c r="L161" s="44"/>
      <c r="M161" s="64"/>
      <c r="N161" s="64"/>
      <c r="R161" s="39"/>
    </row>
    <row r="162" spans="3:18" s="49" customFormat="1" ht="15.75" x14ac:dyDescent="0.25">
      <c r="C162" s="48"/>
      <c r="D162" s="60"/>
      <c r="E162" s="60"/>
      <c r="F162" s="60"/>
      <c r="G162" s="50"/>
      <c r="H162" s="61"/>
      <c r="I162" s="44"/>
      <c r="J162" s="44"/>
      <c r="K162" s="44"/>
      <c r="L162" s="44"/>
      <c r="M162" s="64"/>
      <c r="N162" s="64"/>
      <c r="R162" s="39"/>
    </row>
    <row r="163" spans="3:18" s="49" customFormat="1" ht="15.75" x14ac:dyDescent="0.25">
      <c r="C163" s="48"/>
      <c r="D163" s="60"/>
      <c r="E163" s="60"/>
      <c r="F163" s="60"/>
      <c r="G163" s="50"/>
      <c r="H163" s="61"/>
      <c r="I163" s="44"/>
      <c r="J163" s="44"/>
      <c r="K163" s="44"/>
      <c r="L163" s="44"/>
      <c r="M163" s="64"/>
      <c r="N163" s="64"/>
      <c r="R163" s="39"/>
    </row>
    <row r="164" spans="3:18" s="49" customFormat="1" ht="15.75" x14ac:dyDescent="0.25">
      <c r="C164" s="48"/>
      <c r="D164" s="60"/>
      <c r="E164" s="60"/>
      <c r="F164" s="60"/>
      <c r="G164" s="50"/>
      <c r="H164" s="61"/>
      <c r="I164" s="44"/>
      <c r="J164" s="44"/>
      <c r="K164" s="44"/>
      <c r="L164" s="44"/>
      <c r="M164" s="64"/>
      <c r="N164" s="64"/>
      <c r="R164" s="39"/>
    </row>
    <row r="165" spans="3:18" s="49" customFormat="1" ht="15.75" x14ac:dyDescent="0.25">
      <c r="C165" s="48"/>
      <c r="D165" s="60"/>
      <c r="E165" s="60"/>
      <c r="F165" s="60"/>
      <c r="G165" s="50"/>
      <c r="H165" s="61"/>
      <c r="I165" s="44"/>
      <c r="J165" s="44"/>
      <c r="K165" s="44"/>
      <c r="L165" s="44"/>
      <c r="M165" s="64"/>
      <c r="N165" s="64"/>
      <c r="R165" s="39"/>
    </row>
    <row r="166" spans="3:18" s="49" customFormat="1" ht="15.75" x14ac:dyDescent="0.25">
      <c r="C166" s="48"/>
      <c r="D166" s="60"/>
      <c r="E166" s="60"/>
      <c r="F166" s="60"/>
      <c r="G166" s="50"/>
      <c r="H166" s="61"/>
      <c r="I166" s="44"/>
      <c r="J166" s="44"/>
      <c r="K166" s="44"/>
      <c r="L166" s="44"/>
      <c r="M166" s="64"/>
      <c r="N166" s="64"/>
      <c r="R166" s="39"/>
    </row>
    <row r="167" spans="3:18" s="49" customFormat="1" ht="15.75" x14ac:dyDescent="0.25">
      <c r="C167" s="48"/>
      <c r="D167" s="60"/>
      <c r="E167" s="60"/>
      <c r="F167" s="60"/>
      <c r="G167" s="50"/>
      <c r="H167" s="61"/>
      <c r="I167" s="44"/>
      <c r="J167" s="44"/>
      <c r="K167" s="44"/>
      <c r="L167" s="44"/>
      <c r="M167" s="64"/>
      <c r="N167" s="64"/>
      <c r="R167" s="39"/>
    </row>
    <row r="168" spans="3:18" s="49" customFormat="1" ht="15.75" x14ac:dyDescent="0.25">
      <c r="C168" s="48"/>
      <c r="D168" s="60"/>
      <c r="E168" s="60"/>
      <c r="F168" s="60"/>
      <c r="G168" s="50"/>
      <c r="H168" s="61"/>
      <c r="I168" s="44"/>
      <c r="J168" s="44"/>
      <c r="K168" s="44"/>
      <c r="L168" s="44"/>
      <c r="M168" s="64"/>
      <c r="N168" s="64"/>
      <c r="R168" s="39"/>
    </row>
    <row r="169" spans="3:18" s="49" customFormat="1" ht="15.75" x14ac:dyDescent="0.25">
      <c r="C169" s="48"/>
      <c r="D169" s="60"/>
      <c r="E169" s="60"/>
      <c r="F169" s="60"/>
      <c r="G169" s="50"/>
      <c r="H169" s="61"/>
      <c r="I169" s="44"/>
      <c r="J169" s="44"/>
      <c r="K169" s="44"/>
      <c r="L169" s="44"/>
      <c r="M169" s="64"/>
      <c r="N169" s="64"/>
      <c r="R169" s="39"/>
    </row>
    <row r="170" spans="3:18" s="49" customFormat="1" ht="15.75" x14ac:dyDescent="0.25">
      <c r="C170" s="48"/>
      <c r="D170" s="60"/>
      <c r="E170" s="60"/>
      <c r="F170" s="60"/>
      <c r="G170" s="50"/>
      <c r="H170" s="61"/>
      <c r="I170" s="44"/>
      <c r="J170" s="44"/>
      <c r="K170" s="44"/>
      <c r="L170" s="44"/>
      <c r="M170" s="64"/>
      <c r="N170" s="64"/>
      <c r="R170" s="39"/>
    </row>
    <row r="171" spans="3:18" s="49" customFormat="1" ht="15.75" x14ac:dyDescent="0.25">
      <c r="C171" s="48"/>
      <c r="D171" s="60"/>
      <c r="E171" s="60"/>
      <c r="F171" s="60"/>
      <c r="G171" s="50"/>
      <c r="H171" s="61"/>
      <c r="I171" s="44"/>
      <c r="J171" s="44"/>
      <c r="K171" s="44"/>
      <c r="L171" s="44"/>
      <c r="M171" s="64"/>
      <c r="N171" s="64"/>
      <c r="R171" s="39"/>
    </row>
    <row r="172" spans="3:18" s="49" customFormat="1" ht="15.75" x14ac:dyDescent="0.25">
      <c r="C172" s="48"/>
      <c r="D172" s="60"/>
      <c r="E172" s="60"/>
      <c r="F172" s="60"/>
      <c r="G172" s="50"/>
      <c r="H172" s="61"/>
      <c r="I172" s="44"/>
      <c r="J172" s="44"/>
      <c r="K172" s="44"/>
      <c r="L172" s="44"/>
      <c r="M172" s="64"/>
      <c r="N172" s="64"/>
      <c r="R172" s="39"/>
    </row>
    <row r="173" spans="3:18" s="49" customFormat="1" ht="15.75" x14ac:dyDescent="0.25">
      <c r="C173" s="48"/>
      <c r="D173" s="60"/>
      <c r="E173" s="60"/>
      <c r="F173" s="60"/>
      <c r="G173" s="50"/>
      <c r="H173" s="61"/>
      <c r="I173" s="44"/>
      <c r="J173" s="44"/>
      <c r="K173" s="44"/>
      <c r="L173" s="44"/>
      <c r="M173" s="64"/>
      <c r="N173" s="64"/>
      <c r="R173" s="39"/>
    </row>
    <row r="174" spans="3:18" s="49" customFormat="1" ht="15.75" x14ac:dyDescent="0.25">
      <c r="C174" s="48"/>
      <c r="D174" s="60"/>
      <c r="E174" s="60"/>
      <c r="F174" s="60"/>
      <c r="G174" s="50"/>
      <c r="H174" s="61"/>
      <c r="I174" s="44"/>
      <c r="J174" s="44"/>
      <c r="K174" s="44"/>
      <c r="L174" s="44"/>
      <c r="M174" s="64"/>
      <c r="N174" s="64"/>
      <c r="R174" s="39"/>
    </row>
    <row r="175" spans="3:18" s="49" customFormat="1" ht="15.75" x14ac:dyDescent="0.25">
      <c r="C175" s="48"/>
      <c r="D175" s="60"/>
      <c r="E175" s="60"/>
      <c r="F175" s="60"/>
      <c r="G175" s="50"/>
      <c r="H175" s="61"/>
      <c r="I175" s="44"/>
      <c r="J175" s="44"/>
      <c r="K175" s="44"/>
      <c r="L175" s="44"/>
      <c r="M175" s="64"/>
      <c r="N175" s="64"/>
      <c r="R175" s="39"/>
    </row>
    <row r="176" spans="3:18" s="49" customFormat="1" ht="15.75" x14ac:dyDescent="0.25">
      <c r="C176" s="48"/>
      <c r="D176" s="60"/>
      <c r="E176" s="60"/>
      <c r="F176" s="60"/>
      <c r="G176" s="50"/>
      <c r="H176" s="61"/>
      <c r="I176" s="44"/>
      <c r="J176" s="44"/>
      <c r="K176" s="44"/>
      <c r="L176" s="44"/>
      <c r="M176" s="64"/>
      <c r="N176" s="64"/>
      <c r="R176" s="39"/>
    </row>
    <row r="177" spans="3:18" s="49" customFormat="1" ht="15.75" x14ac:dyDescent="0.25">
      <c r="C177" s="48"/>
      <c r="D177" s="60"/>
      <c r="E177" s="60"/>
      <c r="F177" s="60"/>
      <c r="G177" s="50"/>
      <c r="H177" s="61"/>
      <c r="I177" s="44"/>
      <c r="J177" s="44"/>
      <c r="K177" s="44"/>
      <c r="L177" s="44"/>
      <c r="M177" s="64"/>
      <c r="N177" s="64"/>
      <c r="R177" s="39"/>
    </row>
    <row r="178" spans="3:18" s="49" customFormat="1" ht="15.75" x14ac:dyDescent="0.25">
      <c r="C178" s="48"/>
      <c r="D178" s="60"/>
      <c r="E178" s="60"/>
      <c r="F178" s="60"/>
      <c r="G178" s="50"/>
      <c r="H178" s="61"/>
      <c r="I178" s="44"/>
      <c r="J178" s="44"/>
      <c r="K178" s="44"/>
      <c r="L178" s="44"/>
      <c r="M178" s="64"/>
      <c r="N178" s="64"/>
      <c r="R178" s="39"/>
    </row>
    <row r="179" spans="3:18" s="49" customFormat="1" ht="15.75" x14ac:dyDescent="0.25">
      <c r="C179" s="48"/>
      <c r="D179" s="60"/>
      <c r="E179" s="60"/>
      <c r="F179" s="60"/>
      <c r="G179" s="50"/>
      <c r="H179" s="61"/>
      <c r="I179" s="44"/>
      <c r="J179" s="44"/>
      <c r="K179" s="44"/>
      <c r="L179" s="44"/>
      <c r="M179" s="64"/>
      <c r="N179" s="64"/>
      <c r="R179" s="39"/>
    </row>
    <row r="180" spans="3:18" s="49" customFormat="1" ht="15.75" x14ac:dyDescent="0.25">
      <c r="C180" s="48"/>
      <c r="D180" s="60"/>
      <c r="E180" s="60"/>
      <c r="F180" s="60"/>
      <c r="G180" s="50"/>
      <c r="H180" s="61"/>
      <c r="I180" s="44"/>
      <c r="J180" s="44"/>
      <c r="K180" s="44"/>
      <c r="L180" s="44"/>
      <c r="M180" s="64"/>
      <c r="N180" s="64"/>
      <c r="R180" s="39"/>
    </row>
    <row r="181" spans="3:18" s="49" customFormat="1" ht="15.75" x14ac:dyDescent="0.25">
      <c r="C181" s="48"/>
      <c r="D181" s="60"/>
      <c r="E181" s="60"/>
      <c r="F181" s="60"/>
      <c r="G181" s="50"/>
      <c r="H181" s="61"/>
      <c r="I181" s="44"/>
      <c r="J181" s="44"/>
      <c r="K181" s="44"/>
      <c r="L181" s="44"/>
      <c r="M181" s="64"/>
      <c r="N181" s="64"/>
      <c r="R181" s="39"/>
    </row>
    <row r="182" spans="3:18" s="49" customFormat="1" ht="15.75" x14ac:dyDescent="0.25">
      <c r="C182" s="48"/>
      <c r="D182" s="60"/>
      <c r="E182" s="60"/>
      <c r="F182" s="60"/>
      <c r="G182" s="50"/>
      <c r="H182" s="61"/>
      <c r="I182" s="44"/>
      <c r="J182" s="44"/>
      <c r="K182" s="44"/>
      <c r="L182" s="44"/>
      <c r="M182" s="64"/>
      <c r="N182" s="64"/>
      <c r="R182" s="39"/>
    </row>
    <row r="183" spans="3:18" s="49" customFormat="1" ht="15.75" x14ac:dyDescent="0.25">
      <c r="C183" s="48"/>
      <c r="D183" s="60"/>
      <c r="E183" s="60"/>
      <c r="F183" s="60"/>
      <c r="G183" s="50"/>
      <c r="H183" s="61"/>
      <c r="I183" s="44"/>
      <c r="J183" s="44"/>
      <c r="K183" s="44"/>
      <c r="L183" s="44"/>
      <c r="M183" s="64"/>
      <c r="N183" s="64"/>
      <c r="R183" s="39"/>
    </row>
    <row r="184" spans="3:18" s="49" customFormat="1" ht="15.75" x14ac:dyDescent="0.25">
      <c r="C184" s="48"/>
      <c r="D184" s="60"/>
      <c r="E184" s="60"/>
      <c r="F184" s="60"/>
      <c r="G184" s="50"/>
      <c r="H184" s="61"/>
      <c r="I184" s="44"/>
      <c r="J184" s="44"/>
      <c r="K184" s="44"/>
      <c r="L184" s="44"/>
      <c r="M184" s="64"/>
      <c r="N184" s="64"/>
      <c r="R184" s="39"/>
    </row>
    <row r="185" spans="3:18" s="49" customFormat="1" ht="15.75" x14ac:dyDescent="0.25">
      <c r="C185" s="48"/>
      <c r="D185" s="60"/>
      <c r="E185" s="60"/>
      <c r="F185" s="60"/>
      <c r="G185" s="50"/>
      <c r="H185" s="61"/>
      <c r="I185" s="44"/>
      <c r="J185" s="44"/>
      <c r="K185" s="44"/>
      <c r="L185" s="44"/>
      <c r="M185" s="64"/>
      <c r="N185" s="64"/>
      <c r="R185" s="39"/>
    </row>
    <row r="186" spans="3:18" s="49" customFormat="1" ht="15.75" x14ac:dyDescent="0.25">
      <c r="C186" s="48"/>
      <c r="D186" s="60"/>
      <c r="E186" s="60"/>
      <c r="F186" s="60"/>
      <c r="G186" s="50"/>
      <c r="H186" s="61"/>
      <c r="I186" s="44"/>
      <c r="J186" s="44"/>
      <c r="K186" s="44"/>
      <c r="L186" s="44"/>
      <c r="M186" s="64"/>
      <c r="N186" s="64"/>
      <c r="R186" s="39"/>
    </row>
    <row r="187" spans="3:18" s="49" customFormat="1" ht="15.75" x14ac:dyDescent="0.25">
      <c r="C187" s="48"/>
      <c r="D187" s="60"/>
      <c r="E187" s="60"/>
      <c r="F187" s="60"/>
      <c r="G187" s="50"/>
      <c r="H187" s="61"/>
      <c r="I187" s="44"/>
      <c r="J187" s="44"/>
      <c r="K187" s="44"/>
      <c r="L187" s="44"/>
      <c r="M187" s="64"/>
      <c r="N187" s="64"/>
      <c r="R187" s="39"/>
    </row>
    <row r="188" spans="3:18" s="49" customFormat="1" ht="15.75" x14ac:dyDescent="0.25">
      <c r="C188" s="48"/>
      <c r="D188" s="60"/>
      <c r="E188" s="60"/>
      <c r="F188" s="60"/>
      <c r="G188" s="50"/>
      <c r="H188" s="61"/>
      <c r="I188" s="44"/>
      <c r="J188" s="44"/>
      <c r="K188" s="44"/>
      <c r="L188" s="44"/>
      <c r="M188" s="64"/>
      <c r="N188" s="64"/>
      <c r="R188" s="39"/>
    </row>
    <row r="189" spans="3:18" s="49" customFormat="1" ht="15.75" x14ac:dyDescent="0.25">
      <c r="C189" s="48"/>
      <c r="D189" s="60"/>
      <c r="E189" s="60"/>
      <c r="F189" s="60"/>
      <c r="G189" s="50"/>
      <c r="H189" s="61"/>
      <c r="I189" s="44"/>
      <c r="J189" s="44"/>
      <c r="K189" s="44"/>
      <c r="L189" s="44"/>
      <c r="M189" s="64"/>
      <c r="N189" s="64"/>
      <c r="R189" s="39"/>
    </row>
    <row r="190" spans="3:18" s="49" customFormat="1" ht="15.75" x14ac:dyDescent="0.25">
      <c r="C190" s="48"/>
      <c r="D190" s="60"/>
      <c r="E190" s="60"/>
      <c r="F190" s="60"/>
      <c r="G190" s="50"/>
      <c r="H190" s="61"/>
      <c r="I190" s="44"/>
      <c r="J190" s="44"/>
      <c r="K190" s="44"/>
      <c r="L190" s="44"/>
      <c r="M190" s="64"/>
      <c r="N190" s="64"/>
      <c r="R190" s="39"/>
    </row>
    <row r="191" spans="3:18" s="49" customFormat="1" ht="15.75" x14ac:dyDescent="0.25">
      <c r="C191" s="48"/>
      <c r="D191" s="60"/>
      <c r="E191" s="60"/>
      <c r="F191" s="60"/>
      <c r="G191" s="50"/>
      <c r="H191" s="61"/>
      <c r="I191" s="44"/>
      <c r="J191" s="44"/>
      <c r="K191" s="44"/>
      <c r="L191" s="44"/>
      <c r="M191" s="64"/>
      <c r="N191" s="64"/>
      <c r="R191" s="39"/>
    </row>
    <row r="192" spans="3:18" s="49" customFormat="1" ht="15.75" x14ac:dyDescent="0.25">
      <c r="C192" s="48"/>
      <c r="D192" s="60"/>
      <c r="E192" s="60"/>
      <c r="F192" s="60"/>
      <c r="G192" s="50"/>
      <c r="H192" s="61"/>
      <c r="I192" s="44"/>
      <c r="J192" s="44"/>
      <c r="K192" s="44"/>
      <c r="L192" s="44"/>
      <c r="M192" s="64"/>
      <c r="N192" s="64"/>
      <c r="R192" s="39"/>
    </row>
    <row r="193" spans="3:18" s="49" customFormat="1" ht="15.75" x14ac:dyDescent="0.25">
      <c r="C193" s="48"/>
      <c r="D193" s="60"/>
      <c r="E193" s="60"/>
      <c r="F193" s="60"/>
      <c r="G193" s="50"/>
      <c r="H193" s="61"/>
      <c r="I193" s="44"/>
      <c r="J193" s="44"/>
      <c r="K193" s="44"/>
      <c r="L193" s="44"/>
      <c r="M193" s="64"/>
      <c r="N193" s="64"/>
      <c r="R193" s="39"/>
    </row>
    <row r="194" spans="3:18" s="49" customFormat="1" ht="15.75" x14ac:dyDescent="0.25">
      <c r="C194" s="48"/>
      <c r="D194" s="60"/>
      <c r="E194" s="60"/>
      <c r="F194" s="60"/>
      <c r="G194" s="50"/>
      <c r="H194" s="61"/>
      <c r="I194" s="44"/>
      <c r="J194" s="44"/>
      <c r="K194" s="44"/>
      <c r="L194" s="44"/>
      <c r="M194" s="64"/>
      <c r="N194" s="64"/>
      <c r="R194" s="39"/>
    </row>
    <row r="195" spans="3:18" s="49" customFormat="1" ht="15.75" x14ac:dyDescent="0.25">
      <c r="C195" s="48"/>
      <c r="D195" s="60"/>
      <c r="E195" s="60"/>
      <c r="F195" s="60"/>
      <c r="G195" s="50"/>
      <c r="H195" s="61"/>
      <c r="I195" s="44"/>
      <c r="J195" s="44"/>
      <c r="K195" s="44"/>
      <c r="L195" s="44"/>
      <c r="M195" s="64"/>
      <c r="N195" s="64"/>
      <c r="R195" s="39"/>
    </row>
    <row r="196" spans="3:18" s="49" customFormat="1" ht="15.75" x14ac:dyDescent="0.25">
      <c r="C196" s="48"/>
      <c r="D196" s="60"/>
      <c r="E196" s="60"/>
      <c r="F196" s="60"/>
      <c r="G196" s="50"/>
      <c r="H196" s="61"/>
      <c r="I196" s="44"/>
      <c r="J196" s="44"/>
      <c r="K196" s="44"/>
      <c r="L196" s="44"/>
      <c r="M196" s="64"/>
      <c r="N196" s="64"/>
      <c r="R196" s="39"/>
    </row>
    <row r="197" spans="3:18" s="49" customFormat="1" ht="15.75" x14ac:dyDescent="0.25">
      <c r="C197" s="48"/>
      <c r="D197" s="60"/>
      <c r="E197" s="60"/>
      <c r="F197" s="60"/>
      <c r="G197" s="50"/>
      <c r="H197" s="61"/>
      <c r="I197" s="44"/>
      <c r="J197" s="44"/>
      <c r="K197" s="44"/>
      <c r="L197" s="44"/>
      <c r="M197" s="64"/>
      <c r="N197" s="64"/>
      <c r="R197" s="39"/>
    </row>
    <row r="198" spans="3:18" s="49" customFormat="1" ht="15.75" x14ac:dyDescent="0.25">
      <c r="C198" s="48"/>
      <c r="D198" s="60"/>
      <c r="E198" s="60"/>
      <c r="F198" s="60"/>
      <c r="G198" s="50"/>
      <c r="H198" s="61"/>
      <c r="I198" s="44"/>
      <c r="J198" s="44"/>
      <c r="K198" s="44"/>
      <c r="L198" s="44"/>
      <c r="M198" s="64"/>
      <c r="N198" s="64"/>
      <c r="R198" s="39"/>
    </row>
    <row r="199" spans="3:18" s="49" customFormat="1" ht="15.75" x14ac:dyDescent="0.25">
      <c r="C199" s="48"/>
      <c r="D199" s="60"/>
      <c r="E199" s="60"/>
      <c r="F199" s="60"/>
      <c r="G199" s="50"/>
      <c r="H199" s="61"/>
      <c r="I199" s="44"/>
      <c r="J199" s="44"/>
      <c r="K199" s="44"/>
      <c r="L199" s="44"/>
      <c r="M199" s="64"/>
      <c r="N199" s="64"/>
      <c r="R199" s="39"/>
    </row>
    <row r="200" spans="3:18" s="49" customFormat="1" ht="15.75" x14ac:dyDescent="0.25">
      <c r="C200" s="48"/>
      <c r="D200" s="60"/>
      <c r="E200" s="60"/>
      <c r="F200" s="60"/>
      <c r="G200" s="50"/>
      <c r="H200" s="61"/>
      <c r="I200" s="44"/>
      <c r="J200" s="44"/>
      <c r="K200" s="44"/>
      <c r="L200" s="44"/>
      <c r="M200" s="64"/>
      <c r="N200" s="64"/>
      <c r="R200" s="39"/>
    </row>
    <row r="201" spans="3:18" s="49" customFormat="1" ht="15.75" x14ac:dyDescent="0.25">
      <c r="C201" s="48"/>
      <c r="D201" s="60"/>
      <c r="E201" s="60"/>
      <c r="F201" s="60"/>
      <c r="G201" s="50"/>
      <c r="H201" s="61"/>
      <c r="I201" s="44"/>
      <c r="J201" s="44"/>
      <c r="K201" s="44"/>
      <c r="L201" s="44"/>
      <c r="M201" s="64"/>
      <c r="N201" s="64"/>
      <c r="R201" s="39"/>
    </row>
    <row r="202" spans="3:18" s="49" customFormat="1" ht="15.75" x14ac:dyDescent="0.25">
      <c r="C202" s="48"/>
      <c r="D202" s="60"/>
      <c r="E202" s="60"/>
      <c r="F202" s="60"/>
      <c r="G202" s="50"/>
      <c r="H202" s="61"/>
      <c r="I202" s="44"/>
      <c r="J202" s="44"/>
      <c r="K202" s="44"/>
      <c r="L202" s="44"/>
      <c r="M202" s="64"/>
      <c r="N202" s="64"/>
      <c r="R202" s="39"/>
    </row>
    <row r="203" spans="3:18" s="49" customFormat="1" ht="15.75" x14ac:dyDescent="0.25">
      <c r="C203" s="48"/>
      <c r="D203" s="60"/>
      <c r="E203" s="60"/>
      <c r="F203" s="60"/>
      <c r="G203" s="50"/>
      <c r="H203" s="61"/>
      <c r="I203" s="44"/>
      <c r="J203" s="44"/>
      <c r="K203" s="44"/>
      <c r="L203" s="44"/>
      <c r="M203" s="64"/>
      <c r="N203" s="64"/>
      <c r="R203" s="39"/>
    </row>
    <row r="204" spans="3:18" s="49" customFormat="1" ht="15.75" x14ac:dyDescent="0.25">
      <c r="C204" s="48"/>
      <c r="D204" s="60"/>
      <c r="E204" s="60"/>
      <c r="F204" s="60"/>
      <c r="G204" s="50"/>
      <c r="H204" s="61"/>
      <c r="I204" s="44"/>
      <c r="J204" s="44"/>
      <c r="K204" s="44"/>
      <c r="L204" s="44"/>
      <c r="M204" s="64"/>
      <c r="N204" s="64"/>
      <c r="R204" s="39"/>
    </row>
    <row r="205" spans="3:18" s="49" customFormat="1" ht="15.75" x14ac:dyDescent="0.25">
      <c r="C205" s="48"/>
      <c r="D205" s="60"/>
      <c r="E205" s="60"/>
      <c r="F205" s="60"/>
      <c r="G205" s="50"/>
      <c r="H205" s="61"/>
      <c r="I205" s="44"/>
      <c r="J205" s="44"/>
      <c r="K205" s="44"/>
      <c r="L205" s="44"/>
      <c r="M205" s="64"/>
      <c r="N205" s="64"/>
      <c r="R205" s="39"/>
    </row>
    <row r="206" spans="3:18" s="49" customFormat="1" ht="15.75" x14ac:dyDescent="0.25">
      <c r="C206" s="48"/>
      <c r="D206" s="60"/>
      <c r="E206" s="60"/>
      <c r="F206" s="60"/>
      <c r="G206" s="50"/>
      <c r="H206" s="61"/>
      <c r="I206" s="44"/>
      <c r="J206" s="44"/>
      <c r="K206" s="44"/>
      <c r="L206" s="44"/>
      <c r="M206" s="64"/>
      <c r="N206" s="64"/>
      <c r="R206" s="39"/>
    </row>
    <row r="207" spans="3:18" s="49" customFormat="1" ht="15.75" x14ac:dyDescent="0.25">
      <c r="C207" s="48"/>
      <c r="D207" s="60"/>
      <c r="E207" s="60"/>
      <c r="F207" s="60"/>
      <c r="G207" s="50"/>
      <c r="H207" s="61"/>
      <c r="I207" s="44"/>
      <c r="J207" s="44"/>
      <c r="K207" s="44"/>
      <c r="L207" s="44"/>
      <c r="M207" s="64"/>
      <c r="N207" s="64"/>
      <c r="R207" s="39"/>
    </row>
    <row r="208" spans="3:18" s="49" customFormat="1" ht="15.75" x14ac:dyDescent="0.25">
      <c r="C208" s="48"/>
      <c r="D208" s="60"/>
      <c r="E208" s="60"/>
      <c r="F208" s="60"/>
      <c r="G208" s="50"/>
      <c r="H208" s="61"/>
      <c r="I208" s="44"/>
      <c r="J208" s="44"/>
      <c r="K208" s="44"/>
      <c r="L208" s="44"/>
      <c r="M208" s="64"/>
      <c r="N208" s="64"/>
      <c r="R208" s="39"/>
    </row>
    <row r="209" spans="3:18" s="49" customFormat="1" ht="15.75" x14ac:dyDescent="0.25">
      <c r="C209" s="48"/>
      <c r="D209" s="60"/>
      <c r="E209" s="60"/>
      <c r="F209" s="60"/>
      <c r="G209" s="50"/>
      <c r="H209" s="61"/>
      <c r="I209" s="44"/>
      <c r="J209" s="44"/>
      <c r="K209" s="44"/>
      <c r="L209" s="44"/>
      <c r="M209" s="64"/>
      <c r="N209" s="64"/>
      <c r="R209" s="39"/>
    </row>
    <row r="210" spans="3:18" s="49" customFormat="1" ht="15.75" x14ac:dyDescent="0.25">
      <c r="C210" s="48"/>
      <c r="D210" s="60"/>
      <c r="E210" s="60"/>
      <c r="F210" s="60"/>
      <c r="G210" s="50"/>
      <c r="H210" s="61"/>
      <c r="I210" s="44"/>
      <c r="J210" s="44"/>
      <c r="K210" s="44"/>
      <c r="L210" s="44"/>
      <c r="M210" s="64"/>
      <c r="N210" s="64"/>
      <c r="R210" s="39"/>
    </row>
    <row r="211" spans="3:18" s="49" customFormat="1" ht="15.75" x14ac:dyDescent="0.25">
      <c r="C211" s="48"/>
      <c r="D211" s="60"/>
      <c r="E211" s="60"/>
      <c r="F211" s="60"/>
      <c r="G211" s="50"/>
      <c r="H211" s="61"/>
      <c r="I211" s="44"/>
      <c r="J211" s="44"/>
      <c r="K211" s="44"/>
      <c r="L211" s="44"/>
      <c r="M211" s="64"/>
      <c r="N211" s="64"/>
      <c r="R211" s="39"/>
    </row>
    <row r="212" spans="3:18" s="49" customFormat="1" ht="15.75" x14ac:dyDescent="0.25">
      <c r="C212" s="48"/>
      <c r="D212" s="60"/>
      <c r="E212" s="60"/>
      <c r="F212" s="60"/>
      <c r="G212" s="50"/>
      <c r="H212" s="61"/>
      <c r="I212" s="44"/>
      <c r="J212" s="44"/>
      <c r="K212" s="44"/>
      <c r="L212" s="44"/>
      <c r="M212" s="64"/>
      <c r="N212" s="64"/>
      <c r="R212" s="39"/>
    </row>
    <row r="213" spans="3:18" s="49" customFormat="1" ht="15.75" x14ac:dyDescent="0.25">
      <c r="C213" s="48"/>
      <c r="D213" s="60"/>
      <c r="E213" s="60"/>
      <c r="F213" s="60"/>
      <c r="G213" s="50"/>
      <c r="H213" s="61"/>
      <c r="I213" s="44"/>
      <c r="J213" s="44"/>
      <c r="K213" s="44"/>
      <c r="L213" s="44"/>
      <c r="M213" s="64"/>
      <c r="N213" s="64"/>
      <c r="R213" s="39"/>
    </row>
    <row r="214" spans="3:18" s="49" customFormat="1" ht="15.75" x14ac:dyDescent="0.25">
      <c r="C214" s="48"/>
      <c r="D214" s="60"/>
      <c r="E214" s="60"/>
      <c r="F214" s="60"/>
      <c r="G214" s="50"/>
      <c r="H214" s="61"/>
      <c r="I214" s="44"/>
      <c r="J214" s="44"/>
      <c r="K214" s="44"/>
      <c r="L214" s="44"/>
      <c r="M214" s="64"/>
      <c r="N214" s="64"/>
      <c r="R214" s="39"/>
    </row>
    <row r="215" spans="3:18" s="49" customFormat="1" ht="15.75" x14ac:dyDescent="0.25">
      <c r="C215" s="48"/>
      <c r="D215" s="60"/>
      <c r="E215" s="60"/>
      <c r="F215" s="60"/>
      <c r="G215" s="50"/>
      <c r="H215" s="61"/>
      <c r="I215" s="44"/>
      <c r="J215" s="44"/>
      <c r="K215" s="44"/>
      <c r="L215" s="44"/>
      <c r="M215" s="64"/>
      <c r="N215" s="64"/>
      <c r="R215" s="39"/>
    </row>
    <row r="216" spans="3:18" s="49" customFormat="1" ht="15.75" x14ac:dyDescent="0.25">
      <c r="C216" s="48"/>
      <c r="D216" s="60"/>
      <c r="E216" s="60"/>
      <c r="F216" s="60"/>
      <c r="G216" s="50"/>
      <c r="H216" s="61"/>
      <c r="I216" s="44"/>
      <c r="J216" s="44"/>
      <c r="K216" s="44"/>
      <c r="L216" s="44"/>
      <c r="M216" s="64"/>
      <c r="N216" s="64"/>
      <c r="R216" s="39"/>
    </row>
    <row r="217" spans="3:18" s="49" customFormat="1" ht="15.75" x14ac:dyDescent="0.25">
      <c r="C217" s="48"/>
      <c r="D217" s="60"/>
      <c r="E217" s="60"/>
      <c r="F217" s="60"/>
      <c r="G217" s="50"/>
      <c r="H217" s="61"/>
      <c r="I217" s="44"/>
      <c r="J217" s="44"/>
      <c r="K217" s="44"/>
      <c r="L217" s="44"/>
      <c r="M217" s="64"/>
      <c r="N217" s="64"/>
      <c r="R217" s="39"/>
    </row>
    <row r="218" spans="3:18" s="49" customFormat="1" ht="15.75" x14ac:dyDescent="0.25">
      <c r="C218" s="48"/>
      <c r="D218" s="60"/>
      <c r="E218" s="60"/>
      <c r="F218" s="60"/>
      <c r="G218" s="50"/>
      <c r="H218" s="61"/>
      <c r="I218" s="44"/>
      <c r="J218" s="44"/>
      <c r="K218" s="44"/>
      <c r="L218" s="44"/>
      <c r="M218" s="64"/>
      <c r="N218" s="64"/>
      <c r="R218" s="39"/>
    </row>
    <row r="219" spans="3:18" s="49" customFormat="1" ht="15.75" x14ac:dyDescent="0.25">
      <c r="C219" s="48"/>
      <c r="D219" s="60"/>
      <c r="E219" s="60"/>
      <c r="F219" s="60"/>
      <c r="G219" s="50"/>
      <c r="H219" s="61"/>
      <c r="I219" s="44"/>
      <c r="J219" s="44"/>
      <c r="K219" s="44"/>
      <c r="L219" s="44"/>
      <c r="M219" s="64"/>
      <c r="N219" s="64"/>
      <c r="R219" s="39"/>
    </row>
    <row r="220" spans="3:18" s="49" customFormat="1" ht="15.75" x14ac:dyDescent="0.25">
      <c r="C220" s="48"/>
      <c r="D220" s="60"/>
      <c r="E220" s="60"/>
      <c r="F220" s="60"/>
      <c r="G220" s="50"/>
      <c r="H220" s="61"/>
      <c r="I220" s="44"/>
      <c r="J220" s="44"/>
      <c r="K220" s="44"/>
      <c r="L220" s="44"/>
      <c r="M220" s="64"/>
      <c r="N220" s="64"/>
      <c r="R220" s="39"/>
    </row>
    <row r="221" spans="3:18" s="49" customFormat="1" ht="15.75" x14ac:dyDescent="0.25">
      <c r="C221" s="48"/>
      <c r="D221" s="60"/>
      <c r="E221" s="60"/>
      <c r="F221" s="60"/>
      <c r="G221" s="50"/>
      <c r="H221" s="61"/>
      <c r="I221" s="44"/>
      <c r="J221" s="44"/>
      <c r="K221" s="44"/>
      <c r="L221" s="44"/>
      <c r="M221" s="64"/>
      <c r="N221" s="64"/>
      <c r="R221" s="39"/>
    </row>
    <row r="222" spans="3:18" s="49" customFormat="1" ht="15.75" x14ac:dyDescent="0.25">
      <c r="C222" s="48"/>
      <c r="D222" s="60"/>
      <c r="E222" s="60"/>
      <c r="F222" s="60"/>
      <c r="G222" s="50"/>
      <c r="H222" s="61"/>
      <c r="I222" s="44"/>
      <c r="J222" s="44"/>
      <c r="K222" s="44"/>
      <c r="L222" s="44"/>
      <c r="M222" s="64"/>
      <c r="N222" s="64"/>
      <c r="R222" s="39"/>
    </row>
    <row r="223" spans="3:18" s="49" customFormat="1" ht="15.75" x14ac:dyDescent="0.25">
      <c r="C223" s="48"/>
      <c r="D223" s="60"/>
      <c r="E223" s="60"/>
      <c r="F223" s="60"/>
      <c r="G223" s="50"/>
      <c r="H223" s="61"/>
      <c r="I223" s="44"/>
      <c r="J223" s="44"/>
      <c r="K223" s="44"/>
      <c r="L223" s="44"/>
      <c r="M223" s="64"/>
      <c r="N223" s="64"/>
      <c r="R223" s="39"/>
    </row>
    <row r="224" spans="3:18" s="49" customFormat="1" ht="15.75" x14ac:dyDescent="0.25">
      <c r="C224" s="48"/>
      <c r="D224" s="60"/>
      <c r="E224" s="60"/>
      <c r="F224" s="60"/>
      <c r="G224" s="50"/>
      <c r="H224" s="61"/>
      <c r="I224" s="44"/>
      <c r="J224" s="44"/>
      <c r="K224" s="44"/>
      <c r="L224" s="44"/>
      <c r="M224" s="64"/>
      <c r="N224" s="64"/>
      <c r="R224" s="39"/>
    </row>
    <row r="225" spans="3:18" s="49" customFormat="1" ht="15.75" x14ac:dyDescent="0.25">
      <c r="C225" s="48"/>
      <c r="D225" s="60"/>
      <c r="E225" s="60"/>
      <c r="F225" s="60"/>
      <c r="G225" s="50"/>
      <c r="H225" s="61"/>
      <c r="I225" s="44"/>
      <c r="J225" s="44"/>
      <c r="K225" s="44"/>
      <c r="L225" s="44"/>
      <c r="M225" s="64"/>
      <c r="N225" s="64"/>
      <c r="R225" s="39"/>
    </row>
    <row r="226" spans="3:18" s="49" customFormat="1" ht="15.75" x14ac:dyDescent="0.25">
      <c r="C226" s="48"/>
      <c r="D226" s="60"/>
      <c r="E226" s="60"/>
      <c r="F226" s="60"/>
      <c r="G226" s="50"/>
      <c r="H226" s="61"/>
      <c r="I226" s="44"/>
      <c r="J226" s="44"/>
      <c r="K226" s="44"/>
      <c r="L226" s="44"/>
      <c r="M226" s="64"/>
      <c r="N226" s="64"/>
      <c r="R226" s="39"/>
    </row>
    <row r="227" spans="3:18" s="49" customFormat="1" ht="15.75" x14ac:dyDescent="0.25">
      <c r="C227" s="48"/>
      <c r="D227" s="60"/>
      <c r="E227" s="60"/>
      <c r="F227" s="60"/>
      <c r="G227" s="50"/>
      <c r="H227" s="61"/>
      <c r="I227" s="44"/>
      <c r="J227" s="44"/>
      <c r="K227" s="44"/>
      <c r="L227" s="44"/>
      <c r="M227" s="64"/>
      <c r="N227" s="64"/>
      <c r="R227" s="39"/>
    </row>
    <row r="228" spans="3:18" s="49" customFormat="1" ht="15.75" x14ac:dyDescent="0.25">
      <c r="C228" s="48"/>
      <c r="D228" s="60"/>
      <c r="E228" s="60"/>
      <c r="F228" s="60"/>
      <c r="G228" s="50"/>
      <c r="H228" s="61"/>
      <c r="I228" s="44"/>
      <c r="J228" s="44"/>
      <c r="K228" s="44"/>
      <c r="L228" s="44"/>
      <c r="M228" s="64"/>
      <c r="N228" s="64"/>
      <c r="R228" s="39"/>
    </row>
    <row r="229" spans="3:18" s="49" customFormat="1" ht="15.75" x14ac:dyDescent="0.25">
      <c r="C229" s="48"/>
      <c r="D229" s="60"/>
      <c r="E229" s="60"/>
      <c r="F229" s="60"/>
      <c r="G229" s="50"/>
      <c r="H229" s="61"/>
      <c r="I229" s="44"/>
      <c r="J229" s="44"/>
      <c r="K229" s="44"/>
      <c r="L229" s="44"/>
      <c r="M229" s="64"/>
      <c r="N229" s="64"/>
      <c r="R229" s="39"/>
    </row>
    <row r="230" spans="3:18" s="49" customFormat="1" ht="15.75" x14ac:dyDescent="0.25">
      <c r="C230" s="48"/>
      <c r="D230" s="60"/>
      <c r="E230" s="60"/>
      <c r="F230" s="60"/>
      <c r="G230" s="50"/>
      <c r="H230" s="61"/>
      <c r="I230" s="44"/>
      <c r="J230" s="44"/>
      <c r="K230" s="44"/>
      <c r="L230" s="44"/>
      <c r="M230" s="64"/>
      <c r="N230" s="64"/>
      <c r="R230" s="39"/>
    </row>
    <row r="231" spans="3:18" s="49" customFormat="1" ht="15.75" x14ac:dyDescent="0.25">
      <c r="C231" s="48"/>
      <c r="D231" s="60"/>
      <c r="E231" s="60"/>
      <c r="F231" s="60"/>
      <c r="G231" s="50"/>
      <c r="H231" s="61"/>
      <c r="I231" s="44"/>
      <c r="J231" s="44"/>
      <c r="K231" s="44"/>
      <c r="L231" s="44"/>
      <c r="M231" s="64"/>
      <c r="N231" s="64"/>
      <c r="R231" s="39"/>
    </row>
    <row r="232" spans="3:18" s="49" customFormat="1" ht="15.75" x14ac:dyDescent="0.25">
      <c r="C232" s="48"/>
      <c r="D232" s="60"/>
      <c r="E232" s="60"/>
      <c r="F232" s="60"/>
      <c r="G232" s="50"/>
      <c r="H232" s="61"/>
      <c r="I232" s="44"/>
      <c r="J232" s="44"/>
      <c r="K232" s="44"/>
      <c r="L232" s="44"/>
      <c r="M232" s="64"/>
      <c r="N232" s="64"/>
      <c r="R232" s="39"/>
    </row>
    <row r="233" spans="3:18" s="49" customFormat="1" ht="15.75" x14ac:dyDescent="0.25">
      <c r="C233" s="48"/>
      <c r="D233" s="60"/>
      <c r="E233" s="60"/>
      <c r="F233" s="60"/>
      <c r="G233" s="50"/>
      <c r="H233" s="61"/>
      <c r="I233" s="44"/>
      <c r="J233" s="44"/>
      <c r="K233" s="44"/>
      <c r="L233" s="44"/>
      <c r="M233" s="64"/>
      <c r="N233" s="64"/>
      <c r="R233" s="39"/>
    </row>
    <row r="234" spans="3:18" s="49" customFormat="1" ht="15.75" x14ac:dyDescent="0.25">
      <c r="C234" s="48"/>
      <c r="D234" s="60"/>
      <c r="E234" s="60"/>
      <c r="F234" s="60"/>
      <c r="G234" s="50"/>
      <c r="H234" s="61"/>
      <c r="I234" s="44"/>
      <c r="J234" s="44"/>
      <c r="K234" s="44"/>
      <c r="L234" s="44"/>
      <c r="M234" s="64"/>
      <c r="N234" s="64"/>
      <c r="R234" s="39"/>
    </row>
    <row r="235" spans="3:18" s="49" customFormat="1" ht="15.75" x14ac:dyDescent="0.25">
      <c r="C235" s="48"/>
      <c r="D235" s="60"/>
      <c r="E235" s="60"/>
      <c r="F235" s="60"/>
      <c r="G235" s="50"/>
      <c r="H235" s="61"/>
      <c r="I235" s="44"/>
      <c r="J235" s="44"/>
      <c r="K235" s="44"/>
      <c r="L235" s="44"/>
      <c r="M235" s="64"/>
      <c r="N235" s="64"/>
      <c r="R235" s="39"/>
    </row>
    <row r="236" spans="3:18" s="49" customFormat="1" ht="15.75" x14ac:dyDescent="0.25">
      <c r="C236" s="48"/>
      <c r="D236" s="60"/>
      <c r="E236" s="60"/>
      <c r="F236" s="60"/>
      <c r="G236" s="50"/>
      <c r="H236" s="61"/>
      <c r="I236" s="44"/>
      <c r="J236" s="44"/>
      <c r="K236" s="44"/>
      <c r="L236" s="44"/>
      <c r="M236" s="64"/>
      <c r="N236" s="64"/>
      <c r="R236" s="39"/>
    </row>
    <row r="237" spans="3:18" s="49" customFormat="1" ht="15.75" x14ac:dyDescent="0.25">
      <c r="C237" s="48"/>
      <c r="D237" s="60"/>
      <c r="E237" s="60"/>
      <c r="F237" s="60"/>
      <c r="G237" s="50"/>
      <c r="H237" s="61"/>
      <c r="I237" s="44"/>
      <c r="J237" s="44"/>
      <c r="K237" s="44"/>
      <c r="L237" s="44"/>
      <c r="M237" s="64"/>
      <c r="N237" s="64"/>
      <c r="R237" s="39"/>
    </row>
    <row r="238" spans="3:18" s="49" customFormat="1" ht="15.75" x14ac:dyDescent="0.25">
      <c r="C238" s="48"/>
      <c r="D238" s="60"/>
      <c r="E238" s="60"/>
      <c r="F238" s="60"/>
      <c r="G238" s="50"/>
      <c r="H238" s="61"/>
      <c r="I238" s="44"/>
      <c r="J238" s="44"/>
      <c r="K238" s="44"/>
      <c r="L238" s="44"/>
      <c r="M238" s="64"/>
      <c r="N238" s="64"/>
      <c r="R238" s="39"/>
    </row>
    <row r="239" spans="3:18" s="49" customFormat="1" ht="15.75" x14ac:dyDescent="0.25">
      <c r="C239" s="48"/>
      <c r="D239" s="60"/>
      <c r="E239" s="60"/>
      <c r="F239" s="60"/>
      <c r="G239" s="50"/>
      <c r="H239" s="61"/>
      <c r="I239" s="44"/>
      <c r="J239" s="44"/>
      <c r="K239" s="44"/>
      <c r="L239" s="44"/>
      <c r="M239" s="64"/>
      <c r="N239" s="64"/>
      <c r="R239" s="39"/>
    </row>
    <row r="240" spans="3:18" s="49" customFormat="1" ht="15.75" x14ac:dyDescent="0.25">
      <c r="C240" s="48"/>
      <c r="D240" s="60"/>
      <c r="E240" s="60"/>
      <c r="F240" s="60"/>
      <c r="G240" s="50"/>
      <c r="H240" s="61"/>
      <c r="I240" s="44"/>
      <c r="J240" s="44"/>
      <c r="K240" s="44"/>
      <c r="L240" s="44"/>
      <c r="M240" s="64"/>
      <c r="N240" s="64"/>
      <c r="R240" s="39"/>
    </row>
    <row r="241" spans="3:18" s="49" customFormat="1" ht="15.75" x14ac:dyDescent="0.25">
      <c r="C241" s="48"/>
      <c r="D241" s="60"/>
      <c r="E241" s="60"/>
      <c r="F241" s="60"/>
      <c r="G241" s="50"/>
      <c r="H241" s="61"/>
      <c r="I241" s="44"/>
      <c r="J241" s="44"/>
      <c r="K241" s="44"/>
      <c r="L241" s="44"/>
      <c r="M241" s="64"/>
      <c r="N241" s="64"/>
      <c r="R241" s="39"/>
    </row>
    <row r="242" spans="3:18" s="49" customFormat="1" ht="15.75" x14ac:dyDescent="0.25">
      <c r="C242" s="48"/>
      <c r="D242" s="60"/>
      <c r="E242" s="60"/>
      <c r="F242" s="60"/>
      <c r="G242" s="50"/>
      <c r="H242" s="61"/>
      <c r="I242" s="44"/>
      <c r="J242" s="44"/>
      <c r="K242" s="44"/>
      <c r="L242" s="44"/>
      <c r="M242" s="64"/>
      <c r="N242" s="64"/>
      <c r="R242" s="39"/>
    </row>
    <row r="243" spans="3:18" s="49" customFormat="1" ht="15.75" x14ac:dyDescent="0.25">
      <c r="C243" s="48"/>
      <c r="D243" s="60"/>
      <c r="E243" s="60"/>
      <c r="F243" s="60"/>
      <c r="G243" s="50"/>
      <c r="H243" s="61"/>
      <c r="I243" s="44"/>
      <c r="J243" s="44"/>
      <c r="K243" s="44"/>
      <c r="L243" s="44"/>
      <c r="M243" s="64"/>
      <c r="N243" s="64"/>
      <c r="R243" s="39"/>
    </row>
    <row r="244" spans="3:18" s="49" customFormat="1" ht="15.75" x14ac:dyDescent="0.25">
      <c r="C244" s="48"/>
      <c r="D244" s="60"/>
      <c r="E244" s="60"/>
      <c r="F244" s="60"/>
      <c r="G244" s="50"/>
      <c r="H244" s="61"/>
      <c r="I244" s="44"/>
      <c r="J244" s="44"/>
      <c r="K244" s="44"/>
      <c r="L244" s="44"/>
      <c r="M244" s="64"/>
      <c r="N244" s="64"/>
      <c r="R244" s="39"/>
    </row>
    <row r="245" spans="3:18" s="49" customFormat="1" ht="15.75" x14ac:dyDescent="0.25">
      <c r="C245" s="48"/>
      <c r="D245" s="60"/>
      <c r="E245" s="60"/>
      <c r="F245" s="60"/>
      <c r="G245" s="50"/>
      <c r="H245" s="61"/>
      <c r="I245" s="44"/>
      <c r="J245" s="44"/>
      <c r="K245" s="44"/>
      <c r="L245" s="44"/>
      <c r="M245" s="64"/>
      <c r="N245" s="64"/>
      <c r="R245" s="39"/>
    </row>
    <row r="246" spans="3:18" s="49" customFormat="1" ht="15.75" x14ac:dyDescent="0.25">
      <c r="C246" s="48"/>
      <c r="D246" s="60"/>
      <c r="E246" s="60"/>
      <c r="F246" s="60"/>
      <c r="G246" s="50"/>
      <c r="H246" s="61"/>
      <c r="I246" s="44"/>
      <c r="J246" s="44"/>
      <c r="K246" s="44"/>
      <c r="L246" s="44"/>
      <c r="M246" s="64"/>
      <c r="N246" s="64"/>
      <c r="R246" s="39"/>
    </row>
    <row r="247" spans="3:18" s="49" customFormat="1" ht="15.75" x14ac:dyDescent="0.25">
      <c r="C247" s="48"/>
      <c r="D247" s="60"/>
      <c r="E247" s="60"/>
      <c r="F247" s="60"/>
      <c r="G247" s="50"/>
      <c r="H247" s="61"/>
      <c r="I247" s="44"/>
      <c r="J247" s="44"/>
      <c r="K247" s="44"/>
      <c r="L247" s="44"/>
      <c r="M247" s="64"/>
      <c r="N247" s="64"/>
      <c r="R247" s="39"/>
    </row>
    <row r="248" spans="3:18" s="49" customFormat="1" ht="15.75" x14ac:dyDescent="0.25">
      <c r="C248" s="48"/>
      <c r="D248" s="60"/>
      <c r="E248" s="60"/>
      <c r="F248" s="60"/>
      <c r="G248" s="50"/>
      <c r="H248" s="61"/>
      <c r="I248" s="44"/>
      <c r="J248" s="44"/>
      <c r="K248" s="44"/>
      <c r="L248" s="44"/>
      <c r="M248" s="64"/>
      <c r="N248" s="64"/>
      <c r="R248" s="39"/>
    </row>
    <row r="249" spans="3:18" s="49" customFormat="1" ht="15.75" x14ac:dyDescent="0.25">
      <c r="C249" s="48"/>
      <c r="D249" s="60"/>
      <c r="E249" s="60"/>
      <c r="F249" s="60"/>
      <c r="G249" s="50"/>
      <c r="H249" s="61"/>
      <c r="I249" s="44"/>
      <c r="J249" s="44"/>
      <c r="K249" s="44"/>
      <c r="L249" s="44"/>
      <c r="M249" s="64"/>
      <c r="N249" s="64"/>
      <c r="R249" s="39"/>
    </row>
    <row r="250" spans="3:18" s="49" customFormat="1" ht="15.75" x14ac:dyDescent="0.25">
      <c r="C250" s="48"/>
      <c r="D250" s="60"/>
      <c r="E250" s="60"/>
      <c r="F250" s="60"/>
      <c r="G250" s="50"/>
      <c r="H250" s="61"/>
      <c r="I250" s="44"/>
      <c r="J250" s="44"/>
      <c r="K250" s="44"/>
      <c r="L250" s="44"/>
      <c r="M250" s="64"/>
      <c r="N250" s="64"/>
      <c r="R250" s="39"/>
    </row>
    <row r="251" spans="3:18" s="49" customFormat="1" ht="15.75" x14ac:dyDescent="0.25">
      <c r="C251" s="48"/>
      <c r="D251" s="60"/>
      <c r="E251" s="60"/>
      <c r="F251" s="60"/>
      <c r="G251" s="50"/>
      <c r="H251" s="61"/>
      <c r="I251" s="44"/>
      <c r="J251" s="44"/>
      <c r="K251" s="44"/>
      <c r="L251" s="44"/>
      <c r="M251" s="64"/>
      <c r="N251" s="64"/>
      <c r="R251" s="39"/>
    </row>
    <row r="252" spans="3:18" s="49" customFormat="1" ht="15.75" x14ac:dyDescent="0.25">
      <c r="C252" s="48"/>
      <c r="D252" s="60"/>
      <c r="E252" s="60"/>
      <c r="F252" s="60"/>
      <c r="G252" s="50"/>
      <c r="H252" s="61"/>
      <c r="I252" s="44"/>
      <c r="J252" s="44"/>
      <c r="K252" s="44"/>
      <c r="L252" s="44"/>
      <c r="M252" s="64"/>
      <c r="N252" s="64"/>
      <c r="R252" s="39"/>
    </row>
    <row r="253" spans="3:18" s="49" customFormat="1" ht="15.75" x14ac:dyDescent="0.25">
      <c r="C253" s="48"/>
      <c r="D253" s="60"/>
      <c r="E253" s="60"/>
      <c r="F253" s="60"/>
      <c r="G253" s="50"/>
      <c r="H253" s="61"/>
      <c r="I253" s="44"/>
      <c r="J253" s="44"/>
      <c r="K253" s="44"/>
      <c r="L253" s="44"/>
      <c r="M253" s="64"/>
      <c r="N253" s="64"/>
      <c r="R253" s="39"/>
    </row>
    <row r="254" spans="3:18" s="49" customFormat="1" ht="15.75" x14ac:dyDescent="0.25">
      <c r="C254" s="48"/>
      <c r="D254" s="60"/>
      <c r="E254" s="60"/>
      <c r="F254" s="60"/>
      <c r="G254" s="50"/>
      <c r="H254" s="61"/>
      <c r="I254" s="44"/>
      <c r="J254" s="44"/>
      <c r="K254" s="44"/>
      <c r="L254" s="44"/>
      <c r="M254" s="64"/>
      <c r="N254" s="64"/>
      <c r="R254" s="39"/>
    </row>
    <row r="255" spans="3:18" s="49" customFormat="1" ht="15.75" x14ac:dyDescent="0.25">
      <c r="C255" s="48"/>
      <c r="D255" s="60"/>
      <c r="E255" s="60"/>
      <c r="F255" s="60"/>
      <c r="G255" s="50"/>
      <c r="H255" s="61"/>
      <c r="I255" s="44"/>
      <c r="J255" s="44"/>
      <c r="K255" s="44"/>
      <c r="L255" s="44"/>
      <c r="M255" s="64"/>
      <c r="N255" s="64"/>
      <c r="R255" s="39"/>
    </row>
    <row r="256" spans="3:18" s="49" customFormat="1" ht="15.75" x14ac:dyDescent="0.25">
      <c r="C256" s="48"/>
      <c r="D256" s="60"/>
      <c r="E256" s="60"/>
      <c r="F256" s="60"/>
      <c r="G256" s="50"/>
      <c r="H256" s="61"/>
      <c r="I256" s="44"/>
      <c r="J256" s="44"/>
      <c r="K256" s="44"/>
      <c r="L256" s="44"/>
      <c r="M256" s="64"/>
      <c r="N256" s="64"/>
      <c r="R256" s="39"/>
    </row>
    <row r="257" spans="3:18" s="49" customFormat="1" ht="15.75" x14ac:dyDescent="0.25">
      <c r="C257" s="48"/>
      <c r="D257" s="60"/>
      <c r="E257" s="60"/>
      <c r="F257" s="60"/>
      <c r="G257" s="50"/>
      <c r="H257" s="61"/>
      <c r="I257" s="44"/>
      <c r="J257" s="44"/>
      <c r="K257" s="44"/>
      <c r="L257" s="44"/>
      <c r="M257" s="64"/>
      <c r="N257" s="64"/>
      <c r="R257" s="39"/>
    </row>
    <row r="258" spans="3:18" s="49" customFormat="1" ht="15.75" x14ac:dyDescent="0.25">
      <c r="C258" s="48"/>
      <c r="D258" s="60"/>
      <c r="E258" s="60"/>
      <c r="F258" s="60"/>
      <c r="G258" s="50"/>
      <c r="H258" s="61"/>
      <c r="I258" s="44"/>
      <c r="J258" s="44"/>
      <c r="K258" s="44"/>
      <c r="L258" s="44"/>
      <c r="M258" s="64"/>
      <c r="N258" s="64"/>
      <c r="R258" s="39"/>
    </row>
    <row r="259" spans="3:18" s="49" customFormat="1" ht="15.75" x14ac:dyDescent="0.25">
      <c r="C259" s="48"/>
      <c r="D259" s="60"/>
      <c r="E259" s="60"/>
      <c r="F259" s="60"/>
      <c r="G259" s="50"/>
      <c r="H259" s="61"/>
      <c r="I259" s="44"/>
      <c r="J259" s="44"/>
      <c r="K259" s="44"/>
      <c r="L259" s="44"/>
      <c r="M259" s="64"/>
      <c r="N259" s="64"/>
      <c r="R259" s="39"/>
    </row>
    <row r="260" spans="3:18" s="49" customFormat="1" ht="15.75" x14ac:dyDescent="0.25">
      <c r="C260" s="48"/>
      <c r="D260" s="60"/>
      <c r="E260" s="60"/>
      <c r="F260" s="60"/>
      <c r="G260" s="50"/>
      <c r="H260" s="61"/>
      <c r="I260" s="44"/>
      <c r="J260" s="44"/>
      <c r="K260" s="44"/>
      <c r="L260" s="44"/>
      <c r="M260" s="64"/>
      <c r="N260" s="64"/>
      <c r="R260" s="39"/>
    </row>
    <row r="261" spans="3:18" s="49" customFormat="1" ht="15.75" x14ac:dyDescent="0.25">
      <c r="C261" s="48"/>
      <c r="D261" s="60"/>
      <c r="E261" s="60"/>
      <c r="F261" s="60"/>
      <c r="G261" s="50"/>
      <c r="H261" s="61"/>
      <c r="I261" s="44"/>
      <c r="J261" s="44"/>
      <c r="K261" s="44"/>
      <c r="L261" s="44"/>
      <c r="M261" s="64"/>
      <c r="N261" s="64"/>
      <c r="R261" s="39"/>
    </row>
    <row r="262" spans="3:18" s="49" customFormat="1" ht="15.75" x14ac:dyDescent="0.25">
      <c r="C262" s="48"/>
      <c r="D262" s="60"/>
      <c r="E262" s="60"/>
      <c r="F262" s="60"/>
      <c r="G262" s="50"/>
      <c r="H262" s="61"/>
      <c r="I262" s="44"/>
      <c r="J262" s="44"/>
      <c r="K262" s="44"/>
      <c r="L262" s="44"/>
      <c r="M262" s="64"/>
      <c r="N262" s="64"/>
      <c r="R262" s="39"/>
    </row>
    <row r="263" spans="3:18" s="49" customFormat="1" ht="15.75" x14ac:dyDescent="0.25">
      <c r="C263" s="48"/>
      <c r="D263" s="60"/>
      <c r="E263" s="60"/>
      <c r="F263" s="60"/>
      <c r="G263" s="50"/>
      <c r="H263" s="61"/>
      <c r="I263" s="44"/>
      <c r="J263" s="44"/>
      <c r="K263" s="44"/>
      <c r="L263" s="44"/>
      <c r="M263" s="64"/>
      <c r="N263" s="64"/>
      <c r="R263" s="39"/>
    </row>
    <row r="264" spans="3:18" s="49" customFormat="1" ht="15.75" x14ac:dyDescent="0.25">
      <c r="C264" s="48"/>
      <c r="D264" s="60"/>
      <c r="E264" s="60"/>
      <c r="F264" s="60"/>
      <c r="G264" s="50"/>
      <c r="H264" s="61"/>
      <c r="I264" s="44"/>
      <c r="J264" s="44"/>
      <c r="K264" s="44"/>
      <c r="L264" s="44"/>
      <c r="M264" s="64"/>
      <c r="N264" s="64"/>
      <c r="R264" s="39"/>
    </row>
    <row r="265" spans="3:18" s="49" customFormat="1" ht="15.75" x14ac:dyDescent="0.25">
      <c r="C265" s="48"/>
      <c r="D265" s="60"/>
      <c r="E265" s="60"/>
      <c r="F265" s="60"/>
      <c r="G265" s="50"/>
      <c r="H265" s="61"/>
      <c r="I265" s="44"/>
      <c r="J265" s="44"/>
      <c r="K265" s="44"/>
      <c r="L265" s="44"/>
      <c r="M265" s="64"/>
      <c r="N265" s="64"/>
      <c r="R265" s="39"/>
    </row>
    <row r="266" spans="3:18" s="49" customFormat="1" ht="15.75" x14ac:dyDescent="0.25">
      <c r="C266" s="48"/>
      <c r="D266" s="60"/>
      <c r="E266" s="60"/>
      <c r="F266" s="60"/>
      <c r="G266" s="50"/>
      <c r="H266" s="61"/>
      <c r="I266" s="44"/>
      <c r="J266" s="44"/>
      <c r="K266" s="44"/>
      <c r="L266" s="44"/>
      <c r="M266" s="64"/>
      <c r="N266" s="64"/>
      <c r="R266" s="39"/>
    </row>
    <row r="267" spans="3:18" s="49" customFormat="1" ht="15.75" x14ac:dyDescent="0.25">
      <c r="C267" s="48"/>
      <c r="D267" s="60"/>
      <c r="E267" s="60"/>
      <c r="F267" s="60"/>
      <c r="G267" s="50"/>
      <c r="H267" s="61"/>
      <c r="I267" s="44"/>
      <c r="J267" s="44"/>
      <c r="K267" s="44"/>
      <c r="L267" s="44"/>
      <c r="M267" s="64"/>
      <c r="N267" s="64"/>
      <c r="R267" s="39"/>
    </row>
    <row r="268" spans="3:18" s="49" customFormat="1" ht="15.75" x14ac:dyDescent="0.25">
      <c r="C268" s="48"/>
      <c r="D268" s="60"/>
      <c r="E268" s="60"/>
      <c r="F268" s="60"/>
      <c r="G268" s="50"/>
      <c r="H268" s="61"/>
      <c r="I268" s="44"/>
      <c r="J268" s="44"/>
      <c r="K268" s="44"/>
      <c r="L268" s="44"/>
      <c r="M268" s="64"/>
      <c r="N268" s="64"/>
      <c r="R268" s="39"/>
    </row>
    <row r="269" spans="3:18" s="49" customFormat="1" ht="15.75" x14ac:dyDescent="0.25">
      <c r="C269" s="48"/>
      <c r="D269" s="60"/>
      <c r="E269" s="60"/>
      <c r="F269" s="60"/>
      <c r="G269" s="50"/>
      <c r="H269" s="61"/>
      <c r="I269" s="44"/>
      <c r="J269" s="44"/>
      <c r="K269" s="44"/>
      <c r="L269" s="44"/>
      <c r="M269" s="64"/>
      <c r="N269" s="64"/>
      <c r="R269" s="39"/>
    </row>
    <row r="270" spans="3:18" s="49" customFormat="1" ht="15.75" x14ac:dyDescent="0.25">
      <c r="C270" s="48"/>
      <c r="D270" s="60"/>
      <c r="E270" s="60"/>
      <c r="F270" s="60"/>
      <c r="G270" s="50"/>
      <c r="H270" s="61"/>
      <c r="I270" s="44"/>
      <c r="J270" s="44"/>
      <c r="K270" s="44"/>
      <c r="L270" s="44"/>
      <c r="M270" s="64"/>
      <c r="N270" s="64"/>
      <c r="R270" s="39"/>
    </row>
    <row r="271" spans="3:18" s="49" customFormat="1" ht="15.75" x14ac:dyDescent="0.25">
      <c r="C271" s="48"/>
      <c r="D271" s="60"/>
      <c r="E271" s="60"/>
      <c r="F271" s="60"/>
      <c r="G271" s="50"/>
      <c r="H271" s="61"/>
      <c r="I271" s="44"/>
      <c r="J271" s="44"/>
      <c r="K271" s="44"/>
      <c r="L271" s="44"/>
      <c r="M271" s="64"/>
      <c r="N271" s="64"/>
      <c r="R271" s="39"/>
    </row>
    <row r="272" spans="3:18" s="49" customFormat="1" ht="15.75" x14ac:dyDescent="0.25">
      <c r="C272" s="48"/>
      <c r="D272" s="60"/>
      <c r="E272" s="60"/>
      <c r="F272" s="60"/>
      <c r="G272" s="50"/>
      <c r="H272" s="61"/>
      <c r="I272" s="44"/>
      <c r="J272" s="44"/>
      <c r="K272" s="44"/>
      <c r="L272" s="44"/>
      <c r="M272" s="64"/>
      <c r="N272" s="64"/>
      <c r="R272" s="39"/>
    </row>
    <row r="273" spans="3:18" s="49" customFormat="1" ht="15.75" x14ac:dyDescent="0.25">
      <c r="C273" s="48"/>
      <c r="D273" s="60"/>
      <c r="E273" s="60"/>
      <c r="F273" s="60"/>
      <c r="G273" s="50"/>
      <c r="H273" s="61"/>
      <c r="I273" s="44"/>
      <c r="J273" s="44"/>
      <c r="K273" s="44"/>
      <c r="L273" s="44"/>
      <c r="M273" s="64"/>
      <c r="N273" s="64"/>
      <c r="R273" s="39"/>
    </row>
    <row r="274" spans="3:18" s="49" customFormat="1" ht="15.75" x14ac:dyDescent="0.25">
      <c r="C274" s="48"/>
      <c r="D274" s="60"/>
      <c r="E274" s="60"/>
      <c r="F274" s="60"/>
      <c r="G274" s="50"/>
      <c r="H274" s="61"/>
      <c r="I274" s="44"/>
      <c r="J274" s="44"/>
      <c r="K274" s="44"/>
      <c r="L274" s="44"/>
      <c r="M274" s="64"/>
      <c r="N274" s="64"/>
      <c r="R274" s="39"/>
    </row>
    <row r="275" spans="3:18" s="49" customFormat="1" ht="15.75" x14ac:dyDescent="0.25">
      <c r="C275" s="48"/>
      <c r="D275" s="60"/>
      <c r="E275" s="60"/>
      <c r="F275" s="60"/>
      <c r="G275" s="50"/>
      <c r="H275" s="61"/>
      <c r="I275" s="44"/>
      <c r="J275" s="44"/>
      <c r="K275" s="44"/>
      <c r="L275" s="44"/>
      <c r="M275" s="64"/>
      <c r="N275" s="64"/>
      <c r="R275" s="39"/>
    </row>
    <row r="276" spans="3:18" s="49" customFormat="1" ht="15.75" x14ac:dyDescent="0.25">
      <c r="C276" s="48"/>
      <c r="D276" s="60"/>
      <c r="E276" s="60"/>
      <c r="F276" s="60"/>
      <c r="G276" s="50"/>
      <c r="H276" s="61"/>
      <c r="I276" s="44"/>
      <c r="J276" s="44"/>
      <c r="K276" s="44"/>
      <c r="L276" s="44"/>
      <c r="M276" s="64"/>
      <c r="N276" s="64"/>
      <c r="R276" s="39"/>
    </row>
    <row r="277" spans="3:18" s="49" customFormat="1" ht="15.75" x14ac:dyDescent="0.25">
      <c r="C277" s="48"/>
      <c r="D277" s="60"/>
      <c r="E277" s="60"/>
      <c r="F277" s="60"/>
      <c r="G277" s="50"/>
      <c r="H277" s="61"/>
      <c r="I277" s="44"/>
      <c r="J277" s="44"/>
      <c r="K277" s="44"/>
      <c r="L277" s="44"/>
      <c r="M277" s="64"/>
      <c r="N277" s="64"/>
      <c r="R277" s="39"/>
    </row>
    <row r="278" spans="3:18" s="49" customFormat="1" ht="15.75" x14ac:dyDescent="0.25">
      <c r="C278" s="48"/>
      <c r="D278" s="60"/>
      <c r="E278" s="60"/>
      <c r="F278" s="60"/>
      <c r="G278" s="50"/>
      <c r="H278" s="61"/>
      <c r="I278" s="44"/>
      <c r="J278" s="44"/>
      <c r="K278" s="44"/>
      <c r="L278" s="44"/>
      <c r="M278" s="64"/>
      <c r="N278" s="64"/>
      <c r="R278" s="39"/>
    </row>
    <row r="279" spans="3:18" s="49" customFormat="1" ht="15.75" x14ac:dyDescent="0.25">
      <c r="C279" s="48"/>
      <c r="D279" s="60"/>
      <c r="E279" s="60"/>
      <c r="F279" s="60"/>
      <c r="G279" s="50"/>
      <c r="H279" s="61"/>
      <c r="I279" s="44"/>
      <c r="J279" s="44"/>
      <c r="K279" s="44"/>
      <c r="L279" s="44"/>
      <c r="M279" s="64"/>
      <c r="N279" s="64"/>
      <c r="R279" s="39"/>
    </row>
    <row r="280" spans="3:18" s="49" customFormat="1" ht="15.75" x14ac:dyDescent="0.25">
      <c r="C280" s="48"/>
      <c r="D280" s="60"/>
      <c r="E280" s="60"/>
      <c r="F280" s="60"/>
      <c r="G280" s="50"/>
      <c r="H280" s="61"/>
      <c r="I280" s="44"/>
      <c r="J280" s="44"/>
      <c r="K280" s="44"/>
      <c r="L280" s="44"/>
      <c r="M280" s="64"/>
      <c r="N280" s="64"/>
      <c r="R280" s="39"/>
    </row>
    <row r="281" spans="3:18" s="49" customFormat="1" ht="15.75" x14ac:dyDescent="0.25">
      <c r="C281" s="48"/>
      <c r="D281" s="60"/>
      <c r="E281" s="60"/>
      <c r="F281" s="60"/>
      <c r="G281" s="50"/>
      <c r="H281" s="61"/>
      <c r="I281" s="44"/>
      <c r="J281" s="44"/>
      <c r="K281" s="44"/>
      <c r="L281" s="44"/>
      <c r="M281" s="64"/>
      <c r="N281" s="64"/>
      <c r="R281" s="39"/>
    </row>
    <row r="282" spans="3:18" s="49" customFormat="1" ht="15.75" x14ac:dyDescent="0.25">
      <c r="C282" s="48"/>
      <c r="D282" s="60"/>
      <c r="E282" s="60"/>
      <c r="F282" s="60"/>
      <c r="G282" s="50"/>
      <c r="H282" s="61"/>
      <c r="I282" s="44"/>
      <c r="J282" s="44"/>
      <c r="K282" s="44"/>
      <c r="L282" s="44"/>
      <c r="M282" s="64"/>
      <c r="N282" s="64"/>
      <c r="R282" s="39"/>
    </row>
    <row r="283" spans="3:18" s="49" customFormat="1" ht="15.75" x14ac:dyDescent="0.25">
      <c r="C283" s="48"/>
      <c r="D283" s="60"/>
      <c r="E283" s="60"/>
      <c r="F283" s="60"/>
      <c r="G283" s="50"/>
      <c r="H283" s="61"/>
      <c r="I283" s="44"/>
      <c r="J283" s="44"/>
      <c r="K283" s="44"/>
      <c r="L283" s="44"/>
      <c r="M283" s="64"/>
      <c r="N283" s="64"/>
      <c r="R283" s="39"/>
    </row>
    <row r="284" spans="3:18" s="49" customFormat="1" ht="15.75" x14ac:dyDescent="0.25">
      <c r="C284" s="48"/>
      <c r="D284" s="60"/>
      <c r="E284" s="60"/>
      <c r="F284" s="60"/>
      <c r="G284" s="50"/>
      <c r="H284" s="61"/>
      <c r="I284" s="44"/>
      <c r="J284" s="44"/>
      <c r="K284" s="44"/>
      <c r="L284" s="44"/>
      <c r="M284" s="64"/>
      <c r="N284" s="64"/>
      <c r="R284" s="39"/>
    </row>
    <row r="285" spans="3:18" s="49" customFormat="1" ht="15.75" x14ac:dyDescent="0.25">
      <c r="C285" s="48"/>
      <c r="D285" s="60"/>
      <c r="E285" s="60"/>
      <c r="F285" s="60"/>
      <c r="G285" s="50"/>
      <c r="H285" s="61"/>
      <c r="I285" s="44"/>
      <c r="J285" s="44"/>
      <c r="K285" s="44"/>
      <c r="L285" s="44"/>
      <c r="M285" s="64"/>
      <c r="N285" s="64"/>
      <c r="R285" s="39"/>
    </row>
    <row r="286" spans="3:18" s="49" customFormat="1" ht="15.75" x14ac:dyDescent="0.25">
      <c r="C286" s="48"/>
      <c r="D286" s="60"/>
      <c r="E286" s="60"/>
      <c r="F286" s="60"/>
      <c r="G286" s="50"/>
      <c r="H286" s="61"/>
      <c r="I286" s="44"/>
      <c r="J286" s="44"/>
      <c r="K286" s="44"/>
      <c r="L286" s="44"/>
      <c r="M286" s="64"/>
      <c r="N286" s="64"/>
      <c r="R286" s="39"/>
    </row>
    <row r="287" spans="3:18" s="49" customFormat="1" ht="15.75" x14ac:dyDescent="0.25">
      <c r="C287" s="48"/>
      <c r="D287" s="60"/>
      <c r="E287" s="60"/>
      <c r="F287" s="60"/>
      <c r="G287" s="50"/>
      <c r="H287" s="61"/>
      <c r="I287" s="44"/>
      <c r="J287" s="44"/>
      <c r="K287" s="44"/>
      <c r="L287" s="44"/>
      <c r="M287" s="64"/>
      <c r="N287" s="64"/>
      <c r="R287" s="39"/>
    </row>
    <row r="288" spans="3:18" s="49" customFormat="1" ht="15.75" x14ac:dyDescent="0.25">
      <c r="C288" s="48"/>
      <c r="D288" s="60"/>
      <c r="E288" s="60"/>
      <c r="F288" s="60"/>
      <c r="G288" s="50"/>
      <c r="H288" s="61"/>
      <c r="I288" s="44"/>
      <c r="J288" s="44"/>
      <c r="K288" s="44"/>
      <c r="L288" s="44"/>
      <c r="M288" s="64"/>
      <c r="N288" s="64"/>
      <c r="R288" s="39"/>
    </row>
    <row r="289" spans="3:18" s="49" customFormat="1" ht="15.75" x14ac:dyDescent="0.25">
      <c r="C289" s="48"/>
      <c r="D289" s="60"/>
      <c r="E289" s="60"/>
      <c r="F289" s="60"/>
      <c r="G289" s="50"/>
      <c r="H289" s="61"/>
      <c r="I289" s="44"/>
      <c r="J289" s="44"/>
      <c r="K289" s="44"/>
      <c r="L289" s="44"/>
      <c r="M289" s="64"/>
      <c r="N289" s="64"/>
      <c r="R289" s="39"/>
    </row>
    <row r="290" spans="3:18" s="49" customFormat="1" ht="15.75" x14ac:dyDescent="0.25">
      <c r="C290" s="48"/>
      <c r="D290" s="60"/>
      <c r="E290" s="60"/>
      <c r="F290" s="60"/>
      <c r="G290" s="50"/>
      <c r="H290" s="61"/>
      <c r="I290" s="44"/>
      <c r="J290" s="44"/>
      <c r="K290" s="44"/>
      <c r="L290" s="44"/>
      <c r="M290" s="64"/>
      <c r="N290" s="64"/>
      <c r="R290" s="39"/>
    </row>
    <row r="291" spans="3:18" s="49" customFormat="1" ht="15.75" x14ac:dyDescent="0.25">
      <c r="C291" s="48"/>
      <c r="D291" s="60"/>
      <c r="E291" s="60"/>
      <c r="F291" s="60"/>
      <c r="G291" s="50"/>
      <c r="H291" s="61"/>
      <c r="I291" s="44"/>
      <c r="J291" s="44"/>
      <c r="K291" s="44"/>
      <c r="L291" s="44"/>
      <c r="M291" s="64"/>
      <c r="N291" s="64"/>
      <c r="R291" s="39"/>
    </row>
    <row r="292" spans="3:18" s="49" customFormat="1" ht="15.75" x14ac:dyDescent="0.25">
      <c r="C292" s="48"/>
      <c r="D292" s="60"/>
      <c r="E292" s="60"/>
      <c r="F292" s="60"/>
      <c r="G292" s="50"/>
      <c r="H292" s="61"/>
      <c r="I292" s="44"/>
      <c r="J292" s="44"/>
      <c r="K292" s="44"/>
      <c r="L292" s="44"/>
      <c r="M292" s="64"/>
      <c r="N292" s="64"/>
      <c r="R292" s="39"/>
    </row>
    <row r="293" spans="3:18" s="49" customFormat="1" ht="15.75" x14ac:dyDescent="0.25">
      <c r="C293" s="48"/>
      <c r="D293" s="60"/>
      <c r="E293" s="60"/>
      <c r="F293" s="60"/>
      <c r="G293" s="50"/>
      <c r="H293" s="61"/>
      <c r="I293" s="44"/>
      <c r="J293" s="44"/>
      <c r="K293" s="44"/>
      <c r="L293" s="44"/>
      <c r="M293" s="64"/>
      <c r="N293" s="64"/>
      <c r="R293" s="39"/>
    </row>
    <row r="294" spans="3:18" s="49" customFormat="1" ht="15.75" x14ac:dyDescent="0.25">
      <c r="C294" s="48"/>
      <c r="D294" s="60"/>
      <c r="E294" s="60"/>
      <c r="F294" s="60"/>
      <c r="G294" s="50"/>
      <c r="H294" s="61"/>
      <c r="I294" s="44"/>
      <c r="J294" s="44"/>
      <c r="K294" s="44"/>
      <c r="L294" s="44"/>
      <c r="M294" s="64"/>
      <c r="N294" s="64"/>
      <c r="R294" s="39"/>
    </row>
    <row r="295" spans="3:18" s="49" customFormat="1" ht="15.75" x14ac:dyDescent="0.25">
      <c r="C295" s="48"/>
      <c r="D295" s="60"/>
      <c r="E295" s="60"/>
      <c r="F295" s="60"/>
      <c r="G295" s="50"/>
      <c r="H295" s="61"/>
      <c r="I295" s="44"/>
      <c r="J295" s="44"/>
      <c r="K295" s="44"/>
      <c r="L295" s="44"/>
      <c r="M295" s="64"/>
      <c r="N295" s="64"/>
      <c r="R295" s="39"/>
    </row>
    <row r="296" spans="3:18" s="49" customFormat="1" ht="15.75" x14ac:dyDescent="0.25">
      <c r="C296" s="48"/>
      <c r="D296" s="60"/>
      <c r="E296" s="60"/>
      <c r="F296" s="60"/>
      <c r="G296" s="50"/>
      <c r="H296" s="61"/>
      <c r="I296" s="44"/>
      <c r="J296" s="44"/>
      <c r="K296" s="44"/>
      <c r="L296" s="44"/>
      <c r="M296" s="64"/>
      <c r="N296" s="64"/>
      <c r="R296" s="39"/>
    </row>
    <row r="297" spans="3:18" s="49" customFormat="1" ht="15.75" x14ac:dyDescent="0.25">
      <c r="C297" s="48"/>
      <c r="D297" s="60"/>
      <c r="E297" s="60"/>
      <c r="F297" s="60"/>
      <c r="G297" s="50"/>
      <c r="H297" s="61"/>
      <c r="I297" s="44"/>
      <c r="J297" s="44"/>
      <c r="K297" s="44"/>
      <c r="L297" s="44"/>
      <c r="M297" s="64"/>
      <c r="N297" s="64"/>
      <c r="R297" s="39"/>
    </row>
    <row r="298" spans="3:18" s="49" customFormat="1" ht="15.75" x14ac:dyDescent="0.25">
      <c r="C298" s="48"/>
      <c r="D298" s="60"/>
      <c r="E298" s="60"/>
      <c r="F298" s="60"/>
      <c r="G298" s="50"/>
      <c r="H298" s="61"/>
      <c r="I298" s="44"/>
      <c r="J298" s="44"/>
      <c r="K298" s="44"/>
      <c r="L298" s="44"/>
      <c r="M298" s="64"/>
      <c r="N298" s="64"/>
      <c r="R298" s="39"/>
    </row>
    <row r="299" spans="3:18" s="49" customFormat="1" ht="15.75" x14ac:dyDescent="0.25">
      <c r="C299" s="48"/>
      <c r="D299" s="60"/>
      <c r="E299" s="60"/>
      <c r="F299" s="60"/>
      <c r="G299" s="50"/>
      <c r="H299" s="61"/>
      <c r="I299" s="44"/>
      <c r="J299" s="44"/>
      <c r="K299" s="44"/>
      <c r="L299" s="44"/>
      <c r="M299" s="64"/>
      <c r="N299" s="64"/>
      <c r="R299" s="39"/>
    </row>
    <row r="300" spans="3:18" s="49" customFormat="1" ht="15.75" x14ac:dyDescent="0.25">
      <c r="C300" s="48"/>
      <c r="D300" s="60"/>
      <c r="E300" s="60"/>
      <c r="F300" s="60"/>
      <c r="G300" s="50"/>
      <c r="H300" s="61"/>
      <c r="I300" s="44"/>
      <c r="J300" s="44"/>
      <c r="K300" s="44"/>
      <c r="L300" s="44"/>
      <c r="M300" s="64"/>
      <c r="N300" s="64"/>
      <c r="R300" s="39"/>
    </row>
    <row r="301" spans="3:18" s="49" customFormat="1" ht="15.75" x14ac:dyDescent="0.25">
      <c r="C301" s="48"/>
      <c r="D301" s="60"/>
      <c r="E301" s="60"/>
      <c r="F301" s="60"/>
      <c r="G301" s="50"/>
      <c r="H301" s="61"/>
      <c r="I301" s="44"/>
      <c r="J301" s="44"/>
      <c r="K301" s="44"/>
      <c r="L301" s="44"/>
      <c r="M301" s="64"/>
      <c r="N301" s="64"/>
      <c r="R301" s="39"/>
    </row>
    <row r="302" spans="3:18" s="49" customFormat="1" ht="15.75" x14ac:dyDescent="0.25">
      <c r="C302" s="48"/>
      <c r="D302" s="60"/>
      <c r="E302" s="60"/>
      <c r="F302" s="60"/>
      <c r="G302" s="50"/>
      <c r="H302" s="61"/>
      <c r="I302" s="44"/>
      <c r="J302" s="44"/>
      <c r="K302" s="44"/>
      <c r="L302" s="44"/>
      <c r="M302" s="64"/>
      <c r="N302" s="64"/>
      <c r="R302" s="39"/>
    </row>
    <row r="303" spans="3:18" s="49" customFormat="1" ht="15.75" x14ac:dyDescent="0.25">
      <c r="C303" s="48"/>
      <c r="D303" s="60"/>
      <c r="E303" s="60"/>
      <c r="F303" s="60"/>
      <c r="G303" s="50"/>
      <c r="H303" s="61"/>
      <c r="I303" s="44"/>
      <c r="J303" s="44"/>
      <c r="K303" s="44"/>
      <c r="L303" s="44"/>
      <c r="M303" s="64"/>
      <c r="N303" s="64"/>
      <c r="R303" s="39"/>
    </row>
    <row r="304" spans="3:18" s="49" customFormat="1" ht="15.75" x14ac:dyDescent="0.25">
      <c r="C304" s="48"/>
      <c r="D304" s="60"/>
      <c r="E304" s="60"/>
      <c r="F304" s="60"/>
      <c r="G304" s="50"/>
      <c r="H304" s="61"/>
      <c r="I304" s="44"/>
      <c r="J304" s="44"/>
      <c r="K304" s="44"/>
      <c r="L304" s="44"/>
      <c r="M304" s="64"/>
      <c r="N304" s="64"/>
      <c r="R304" s="39"/>
    </row>
    <row r="305" spans="3:18" s="49" customFormat="1" ht="15.75" x14ac:dyDescent="0.25">
      <c r="C305" s="48"/>
      <c r="D305" s="60"/>
      <c r="E305" s="60"/>
      <c r="F305" s="60"/>
      <c r="G305" s="50"/>
      <c r="H305" s="61"/>
      <c r="I305" s="44"/>
      <c r="J305" s="44"/>
      <c r="K305" s="44"/>
      <c r="L305" s="44"/>
      <c r="M305" s="64"/>
      <c r="N305" s="64"/>
      <c r="R305" s="39"/>
    </row>
    <row r="306" spans="3:18" s="49" customFormat="1" ht="15.75" x14ac:dyDescent="0.25">
      <c r="C306" s="48"/>
      <c r="D306" s="60"/>
      <c r="E306" s="60"/>
      <c r="F306" s="60"/>
      <c r="G306" s="50"/>
      <c r="H306" s="61"/>
      <c r="I306" s="44"/>
      <c r="J306" s="44"/>
      <c r="K306" s="44"/>
      <c r="L306" s="44"/>
      <c r="M306" s="64"/>
      <c r="N306" s="64"/>
      <c r="R306" s="39"/>
    </row>
    <row r="307" spans="3:18" s="49" customFormat="1" ht="15.75" x14ac:dyDescent="0.25">
      <c r="C307" s="48"/>
      <c r="D307" s="60"/>
      <c r="E307" s="60"/>
      <c r="F307" s="60"/>
      <c r="G307" s="50"/>
      <c r="H307" s="61"/>
      <c r="I307" s="44"/>
      <c r="J307" s="44"/>
      <c r="K307" s="44"/>
      <c r="L307" s="44"/>
      <c r="M307" s="64"/>
      <c r="N307" s="64"/>
      <c r="R307" s="39"/>
    </row>
    <row r="308" spans="3:18" s="49" customFormat="1" ht="15.75" x14ac:dyDescent="0.25">
      <c r="C308" s="48"/>
      <c r="D308" s="60"/>
      <c r="E308" s="60"/>
      <c r="F308" s="60"/>
      <c r="G308" s="50"/>
      <c r="H308" s="61"/>
      <c r="I308" s="44"/>
      <c r="J308" s="44"/>
      <c r="K308" s="44"/>
      <c r="L308" s="44"/>
      <c r="M308" s="64"/>
      <c r="N308" s="64"/>
      <c r="R308" s="39"/>
    </row>
    <row r="309" spans="3:18" s="49" customFormat="1" ht="15.75" x14ac:dyDescent="0.25">
      <c r="C309" s="48"/>
      <c r="D309" s="60"/>
      <c r="E309" s="60"/>
      <c r="F309" s="60"/>
      <c r="G309" s="50"/>
      <c r="H309" s="61"/>
      <c r="I309" s="44"/>
      <c r="J309" s="44"/>
      <c r="K309" s="44"/>
      <c r="L309" s="44"/>
      <c r="M309" s="64"/>
      <c r="N309" s="64"/>
      <c r="R309" s="39"/>
    </row>
    <row r="310" spans="3:18" s="49" customFormat="1" ht="15.75" x14ac:dyDescent="0.25">
      <c r="C310" s="48"/>
      <c r="D310" s="60"/>
      <c r="E310" s="60"/>
      <c r="F310" s="60"/>
      <c r="G310" s="50"/>
      <c r="H310" s="61"/>
      <c r="I310" s="44"/>
      <c r="J310" s="44"/>
      <c r="K310" s="44"/>
      <c r="L310" s="44"/>
      <c r="M310" s="64"/>
      <c r="N310" s="64"/>
      <c r="R310" s="39"/>
    </row>
    <row r="311" spans="3:18" s="49" customFormat="1" ht="15.75" x14ac:dyDescent="0.25">
      <c r="C311" s="48"/>
      <c r="D311" s="60"/>
      <c r="E311" s="60"/>
      <c r="F311" s="60"/>
      <c r="G311" s="50"/>
      <c r="H311" s="61"/>
      <c r="I311" s="44"/>
      <c r="J311" s="44"/>
      <c r="K311" s="44"/>
      <c r="L311" s="44"/>
      <c r="M311" s="64"/>
      <c r="N311" s="64"/>
      <c r="R311" s="39"/>
    </row>
    <row r="312" spans="3:18" ht="15" x14ac:dyDescent="0.25">
      <c r="D312" s="65"/>
      <c r="E312" s="65"/>
      <c r="F312" s="65"/>
      <c r="R312" s="39"/>
    </row>
    <row r="313" spans="3:18" ht="15" x14ac:dyDescent="0.25">
      <c r="D313" s="65"/>
      <c r="E313" s="65"/>
      <c r="F313" s="65"/>
      <c r="R313" s="39"/>
    </row>
    <row r="314" spans="3:18" ht="15" x14ac:dyDescent="0.25">
      <c r="D314" s="65"/>
      <c r="E314" s="65"/>
      <c r="F314" s="65"/>
      <c r="R314" s="39"/>
    </row>
    <row r="315" spans="3:18" ht="15" x14ac:dyDescent="0.25">
      <c r="D315" s="65"/>
      <c r="E315" s="65"/>
      <c r="F315" s="65"/>
      <c r="R315" s="39"/>
    </row>
    <row r="316" spans="3:18" ht="15" x14ac:dyDescent="0.25">
      <c r="D316" s="65"/>
      <c r="E316" s="65"/>
      <c r="F316" s="65"/>
      <c r="R316" s="39"/>
    </row>
    <row r="317" spans="3:18" ht="15" x14ac:dyDescent="0.25">
      <c r="D317" s="65"/>
      <c r="E317" s="65"/>
      <c r="F317" s="65"/>
      <c r="R317" s="39"/>
    </row>
    <row r="318" spans="3:18" ht="15" x14ac:dyDescent="0.25">
      <c r="D318" s="65"/>
      <c r="E318" s="65"/>
      <c r="F318" s="65"/>
      <c r="R318" s="39"/>
    </row>
    <row r="319" spans="3:18" ht="15" x14ac:dyDescent="0.25">
      <c r="D319" s="65"/>
      <c r="E319" s="65"/>
      <c r="F319" s="65"/>
      <c r="R319" s="39"/>
    </row>
    <row r="320" spans="3:18" ht="15" x14ac:dyDescent="0.25">
      <c r="D320" s="65"/>
      <c r="E320" s="65"/>
      <c r="F320" s="65"/>
      <c r="R320" s="39"/>
    </row>
    <row r="321" spans="4:18" ht="15" x14ac:dyDescent="0.25">
      <c r="D321" s="65"/>
      <c r="E321" s="65"/>
      <c r="F321" s="65"/>
      <c r="R321" s="39"/>
    </row>
    <row r="322" spans="4:18" ht="15" x14ac:dyDescent="0.25">
      <c r="D322" s="65"/>
      <c r="E322" s="65"/>
      <c r="F322" s="65"/>
      <c r="R322" s="39"/>
    </row>
    <row r="323" spans="4:18" ht="15" x14ac:dyDescent="0.25">
      <c r="D323" s="65"/>
      <c r="E323" s="65"/>
      <c r="F323" s="65"/>
      <c r="R323" s="39"/>
    </row>
    <row r="324" spans="4:18" ht="15" x14ac:dyDescent="0.25">
      <c r="D324" s="65"/>
      <c r="E324" s="65"/>
      <c r="F324" s="65"/>
      <c r="R324" s="39"/>
    </row>
    <row r="325" spans="4:18" ht="15" x14ac:dyDescent="0.25">
      <c r="D325" s="65"/>
      <c r="E325" s="65"/>
      <c r="F325" s="65"/>
      <c r="R325" s="39"/>
    </row>
    <row r="326" spans="4:18" ht="15" x14ac:dyDescent="0.25">
      <c r="D326" s="65"/>
      <c r="E326" s="65"/>
      <c r="F326" s="65"/>
      <c r="R326" s="39"/>
    </row>
    <row r="327" spans="4:18" ht="15" x14ac:dyDescent="0.25">
      <c r="D327" s="65"/>
      <c r="E327" s="65"/>
      <c r="F327" s="65"/>
      <c r="R327" s="39"/>
    </row>
    <row r="328" spans="4:18" ht="15" x14ac:dyDescent="0.25">
      <c r="D328" s="65"/>
      <c r="E328" s="65"/>
      <c r="F328" s="65"/>
      <c r="R328" s="39"/>
    </row>
    <row r="329" spans="4:18" ht="15" x14ac:dyDescent="0.25">
      <c r="D329" s="65"/>
      <c r="E329" s="65"/>
      <c r="F329" s="65"/>
      <c r="R329" s="39"/>
    </row>
    <row r="330" spans="4:18" ht="15" x14ac:dyDescent="0.25">
      <c r="D330" s="65"/>
      <c r="E330" s="65"/>
      <c r="F330" s="65"/>
      <c r="R330" s="39"/>
    </row>
    <row r="331" spans="4:18" ht="15" x14ac:dyDescent="0.25">
      <c r="D331" s="65"/>
      <c r="E331" s="65"/>
      <c r="F331" s="65"/>
      <c r="R331" s="39"/>
    </row>
    <row r="332" spans="4:18" ht="15" x14ac:dyDescent="0.25">
      <c r="D332" s="65"/>
      <c r="E332" s="65"/>
      <c r="F332" s="65"/>
      <c r="R332" s="39"/>
    </row>
    <row r="333" spans="4:18" ht="15" x14ac:dyDescent="0.25">
      <c r="D333" s="65"/>
      <c r="E333" s="65"/>
      <c r="F333" s="65"/>
      <c r="R333" s="39"/>
    </row>
    <row r="334" spans="4:18" ht="15" x14ac:dyDescent="0.25">
      <c r="D334" s="65"/>
      <c r="E334" s="65"/>
      <c r="F334" s="65"/>
      <c r="R334" s="39"/>
    </row>
    <row r="335" spans="4:18" ht="15" x14ac:dyDescent="0.25">
      <c r="D335" s="65"/>
      <c r="E335" s="65"/>
      <c r="F335" s="65"/>
      <c r="R335" s="39"/>
    </row>
    <row r="336" spans="4:18" ht="15" x14ac:dyDescent="0.25">
      <c r="D336" s="65"/>
      <c r="E336" s="65"/>
      <c r="F336" s="65"/>
      <c r="R336" s="39"/>
    </row>
    <row r="337" spans="4:18" ht="15" x14ac:dyDescent="0.25">
      <c r="D337" s="65"/>
      <c r="E337" s="65"/>
      <c r="F337" s="65"/>
      <c r="R337" s="39"/>
    </row>
    <row r="338" spans="4:18" ht="15" x14ac:dyDescent="0.25">
      <c r="D338" s="65"/>
      <c r="E338" s="65"/>
      <c r="F338" s="65"/>
      <c r="R338" s="39"/>
    </row>
    <row r="339" spans="4:18" ht="15" x14ac:dyDescent="0.25">
      <c r="D339" s="65"/>
      <c r="E339" s="65"/>
      <c r="F339" s="65"/>
      <c r="R339" s="39"/>
    </row>
    <row r="340" spans="4:18" ht="15" x14ac:dyDescent="0.25">
      <c r="D340" s="65"/>
      <c r="E340" s="65"/>
      <c r="F340" s="65"/>
      <c r="R340" s="39"/>
    </row>
    <row r="341" spans="4:18" ht="15" x14ac:dyDescent="0.25">
      <c r="D341" s="65"/>
      <c r="E341" s="65"/>
      <c r="F341" s="65"/>
      <c r="R341" s="39"/>
    </row>
    <row r="342" spans="4:18" ht="15" x14ac:dyDescent="0.25">
      <c r="D342" s="65"/>
      <c r="E342" s="65"/>
      <c r="F342" s="65"/>
      <c r="R342" s="39"/>
    </row>
    <row r="343" spans="4:18" ht="15" x14ac:dyDescent="0.25">
      <c r="D343" s="65"/>
      <c r="E343" s="65"/>
      <c r="F343" s="65"/>
      <c r="R343" s="39"/>
    </row>
    <row r="344" spans="4:18" ht="15" x14ac:dyDescent="0.25">
      <c r="D344" s="65"/>
      <c r="E344" s="65"/>
      <c r="F344" s="65"/>
      <c r="R344" s="39"/>
    </row>
    <row r="345" spans="4:18" ht="15" x14ac:dyDescent="0.25">
      <c r="D345" s="65"/>
      <c r="E345" s="65"/>
      <c r="F345" s="65"/>
      <c r="R345" s="39"/>
    </row>
    <row r="346" spans="4:18" ht="15" x14ac:dyDescent="0.25">
      <c r="D346" s="65"/>
      <c r="E346" s="65"/>
      <c r="F346" s="65"/>
      <c r="R346" s="39"/>
    </row>
    <row r="347" spans="4:18" ht="15" x14ac:dyDescent="0.25">
      <c r="D347" s="65"/>
      <c r="E347" s="65"/>
      <c r="F347" s="65"/>
      <c r="R347" s="39"/>
    </row>
    <row r="348" spans="4:18" ht="15" x14ac:dyDescent="0.25">
      <c r="D348" s="65"/>
      <c r="E348" s="65"/>
      <c r="F348" s="65"/>
      <c r="R348" s="39"/>
    </row>
    <row r="349" spans="4:18" ht="15" x14ac:dyDescent="0.25">
      <c r="D349" s="65"/>
      <c r="E349" s="65"/>
      <c r="F349" s="65"/>
      <c r="R349" s="39"/>
    </row>
    <row r="350" spans="4:18" ht="15" x14ac:dyDescent="0.25">
      <c r="D350" s="65"/>
      <c r="E350" s="65"/>
      <c r="F350" s="65"/>
      <c r="R350" s="39"/>
    </row>
    <row r="351" spans="4:18" ht="15" x14ac:dyDescent="0.25">
      <c r="D351" s="65"/>
      <c r="E351" s="65"/>
      <c r="F351" s="65"/>
      <c r="R351" s="39"/>
    </row>
    <row r="352" spans="4:18" ht="15" x14ac:dyDescent="0.25">
      <c r="D352" s="65"/>
      <c r="E352" s="65"/>
      <c r="F352" s="65"/>
      <c r="R352" s="39"/>
    </row>
    <row r="353" spans="4:18" ht="15" x14ac:dyDescent="0.25">
      <c r="D353" s="65"/>
      <c r="E353" s="65"/>
      <c r="F353" s="65"/>
      <c r="R353" s="39"/>
    </row>
    <row r="354" spans="4:18" ht="15" x14ac:dyDescent="0.25">
      <c r="D354" s="65"/>
      <c r="E354" s="65"/>
      <c r="F354" s="65"/>
      <c r="R354" s="39"/>
    </row>
    <row r="355" spans="4:18" ht="15" x14ac:dyDescent="0.25">
      <c r="D355" s="65"/>
      <c r="E355" s="65"/>
      <c r="F355" s="65"/>
      <c r="R355" s="39"/>
    </row>
    <row r="356" spans="4:18" ht="15" x14ac:dyDescent="0.25">
      <c r="D356" s="65"/>
      <c r="E356" s="65"/>
      <c r="F356" s="65"/>
      <c r="R356" s="39"/>
    </row>
    <row r="357" spans="4:18" ht="15" x14ac:dyDescent="0.25">
      <c r="D357" s="65"/>
      <c r="E357" s="65"/>
      <c r="F357" s="65"/>
      <c r="R357" s="39"/>
    </row>
    <row r="358" spans="4:18" ht="15" x14ac:dyDescent="0.25">
      <c r="D358" s="65"/>
      <c r="E358" s="65"/>
      <c r="F358" s="65"/>
      <c r="R358" s="39"/>
    </row>
    <row r="359" spans="4:18" ht="15" x14ac:dyDescent="0.25">
      <c r="D359" s="65"/>
      <c r="E359" s="65"/>
      <c r="F359" s="65"/>
      <c r="R359" s="39"/>
    </row>
    <row r="360" spans="4:18" ht="15" x14ac:dyDescent="0.25">
      <c r="D360" s="65"/>
      <c r="E360" s="65"/>
      <c r="F360" s="65"/>
      <c r="R360" s="39"/>
    </row>
    <row r="361" spans="4:18" ht="15" x14ac:dyDescent="0.25">
      <c r="D361" s="65"/>
      <c r="E361" s="65"/>
      <c r="F361" s="65"/>
      <c r="R361" s="39"/>
    </row>
    <row r="362" spans="4:18" ht="15" x14ac:dyDescent="0.25">
      <c r="D362" s="65"/>
      <c r="E362" s="65"/>
      <c r="F362" s="65"/>
      <c r="R362" s="39"/>
    </row>
    <row r="363" spans="4:18" ht="15" x14ac:dyDescent="0.25">
      <c r="D363" s="65"/>
      <c r="E363" s="65"/>
      <c r="F363" s="65"/>
      <c r="R363" s="39"/>
    </row>
    <row r="364" spans="4:18" ht="15" x14ac:dyDescent="0.25">
      <c r="D364" s="65"/>
      <c r="E364" s="65"/>
      <c r="F364" s="65"/>
      <c r="R364" s="39"/>
    </row>
    <row r="365" spans="4:18" ht="15" x14ac:dyDescent="0.25">
      <c r="D365" s="65"/>
      <c r="E365" s="65"/>
      <c r="F365" s="65"/>
      <c r="R365" s="39"/>
    </row>
    <row r="366" spans="4:18" ht="15" x14ac:dyDescent="0.25">
      <c r="D366" s="65"/>
      <c r="E366" s="65"/>
      <c r="F366" s="65"/>
      <c r="R366" s="39"/>
    </row>
    <row r="367" spans="4:18" ht="15" x14ac:dyDescent="0.25">
      <c r="D367" s="65"/>
      <c r="E367" s="65"/>
      <c r="F367" s="65"/>
      <c r="R367" s="39"/>
    </row>
    <row r="368" spans="4:18" ht="15" x14ac:dyDescent="0.25">
      <c r="D368" s="65"/>
      <c r="E368" s="65"/>
      <c r="F368" s="65"/>
      <c r="R368" s="39"/>
    </row>
    <row r="369" spans="4:18" ht="15" x14ac:dyDescent="0.25">
      <c r="D369" s="65"/>
      <c r="E369" s="65"/>
      <c r="F369" s="65"/>
      <c r="R369" s="39"/>
    </row>
    <row r="370" spans="4:18" ht="15" x14ac:dyDescent="0.25">
      <c r="D370" s="65"/>
      <c r="E370" s="65"/>
      <c r="F370" s="65"/>
      <c r="R370" s="39"/>
    </row>
    <row r="371" spans="4:18" ht="15" x14ac:dyDescent="0.25">
      <c r="D371" s="65"/>
      <c r="E371" s="65"/>
      <c r="F371" s="65"/>
      <c r="R371" s="39"/>
    </row>
    <row r="372" spans="4:18" ht="15" x14ac:dyDescent="0.25">
      <c r="D372" s="65"/>
      <c r="E372" s="65"/>
      <c r="F372" s="65"/>
      <c r="R372" s="39"/>
    </row>
    <row r="373" spans="4:18" ht="15" x14ac:dyDescent="0.25">
      <c r="D373" s="65"/>
      <c r="E373" s="65"/>
      <c r="F373" s="65"/>
      <c r="R373" s="39"/>
    </row>
    <row r="374" spans="4:18" ht="15" x14ac:dyDescent="0.25">
      <c r="D374" s="65"/>
      <c r="E374" s="65"/>
      <c r="F374" s="65"/>
      <c r="R374" s="39"/>
    </row>
    <row r="375" spans="4:18" ht="15" x14ac:dyDescent="0.25">
      <c r="D375" s="65"/>
      <c r="E375" s="65"/>
      <c r="F375" s="65"/>
      <c r="R375" s="39"/>
    </row>
    <row r="376" spans="4:18" ht="15" x14ac:dyDescent="0.25">
      <c r="D376" s="65"/>
      <c r="E376" s="65"/>
      <c r="F376" s="65"/>
      <c r="R376" s="39"/>
    </row>
    <row r="377" spans="4:18" ht="15" x14ac:dyDescent="0.25">
      <c r="D377" s="65"/>
      <c r="E377" s="65"/>
      <c r="F377" s="65"/>
      <c r="R377" s="39"/>
    </row>
    <row r="378" spans="4:18" ht="15" x14ac:dyDescent="0.25">
      <c r="D378" s="65"/>
      <c r="E378" s="65"/>
      <c r="F378" s="65"/>
      <c r="R378" s="39"/>
    </row>
    <row r="379" spans="4:18" ht="15" x14ac:dyDescent="0.25">
      <c r="D379" s="65"/>
      <c r="E379" s="65"/>
      <c r="F379" s="65"/>
      <c r="R379" s="39"/>
    </row>
    <row r="380" spans="4:18" ht="15" x14ac:dyDescent="0.25">
      <c r="D380" s="65"/>
      <c r="E380" s="65"/>
      <c r="F380" s="65"/>
      <c r="R380" s="39"/>
    </row>
    <row r="381" spans="4:18" ht="15" x14ac:dyDescent="0.25">
      <c r="D381" s="65"/>
      <c r="E381" s="65"/>
      <c r="F381" s="65"/>
      <c r="R381" s="39"/>
    </row>
    <row r="382" spans="4:18" ht="15" x14ac:dyDescent="0.25">
      <c r="D382" s="65"/>
      <c r="E382" s="65"/>
      <c r="F382" s="65"/>
      <c r="R382" s="39"/>
    </row>
    <row r="383" spans="4:18" ht="15" x14ac:dyDescent="0.25">
      <c r="D383" s="65"/>
      <c r="E383" s="65"/>
      <c r="F383" s="65"/>
      <c r="R383" s="39"/>
    </row>
    <row r="384" spans="4:18" ht="15" x14ac:dyDescent="0.25">
      <c r="D384" s="65"/>
      <c r="E384" s="65"/>
      <c r="F384" s="65"/>
      <c r="R384" s="39"/>
    </row>
    <row r="385" spans="4:18" ht="15" x14ac:dyDescent="0.25">
      <c r="D385" s="65"/>
      <c r="E385" s="65"/>
      <c r="F385" s="65"/>
      <c r="R385" s="39"/>
    </row>
    <row r="386" spans="4:18" ht="15" x14ac:dyDescent="0.25">
      <c r="D386" s="65"/>
      <c r="E386" s="65"/>
      <c r="F386" s="65"/>
      <c r="R386" s="39"/>
    </row>
    <row r="387" spans="4:18" ht="15" x14ac:dyDescent="0.25">
      <c r="D387" s="65"/>
      <c r="E387" s="65"/>
      <c r="F387" s="65"/>
      <c r="R387" s="39"/>
    </row>
    <row r="388" spans="4:18" ht="15" x14ac:dyDescent="0.25">
      <c r="D388" s="65"/>
      <c r="E388" s="65"/>
      <c r="F388" s="65"/>
      <c r="R388" s="39"/>
    </row>
    <row r="389" spans="4:18" ht="15" x14ac:dyDescent="0.25">
      <c r="D389" s="65"/>
      <c r="E389" s="65"/>
      <c r="F389" s="65"/>
      <c r="R389" s="39"/>
    </row>
    <row r="390" spans="4:18" ht="15" x14ac:dyDescent="0.25">
      <c r="D390" s="65"/>
      <c r="E390" s="65"/>
      <c r="F390" s="65"/>
      <c r="R390" s="39"/>
    </row>
    <row r="391" spans="4:18" ht="15" x14ac:dyDescent="0.25">
      <c r="D391" s="65"/>
      <c r="E391" s="65"/>
      <c r="F391" s="65"/>
      <c r="R391" s="39"/>
    </row>
    <row r="392" spans="4:18" ht="15" x14ac:dyDescent="0.25">
      <c r="D392" s="65"/>
      <c r="E392" s="65"/>
      <c r="F392" s="65"/>
      <c r="R392" s="39"/>
    </row>
    <row r="393" spans="4:18" ht="15" x14ac:dyDescent="0.25">
      <c r="D393" s="65"/>
      <c r="E393" s="65"/>
      <c r="F393" s="65"/>
      <c r="R393" s="39"/>
    </row>
    <row r="394" spans="4:18" ht="15" x14ac:dyDescent="0.25">
      <c r="D394" s="65"/>
      <c r="E394" s="65"/>
      <c r="F394" s="65"/>
      <c r="R394" s="39"/>
    </row>
    <row r="395" spans="4:18" ht="15" x14ac:dyDescent="0.25">
      <c r="D395" s="65"/>
      <c r="E395" s="65"/>
      <c r="F395" s="65"/>
      <c r="R395" s="39"/>
    </row>
    <row r="396" spans="4:18" ht="15" x14ac:dyDescent="0.25">
      <c r="D396" s="65"/>
      <c r="E396" s="65"/>
      <c r="F396" s="65"/>
      <c r="R396" s="39"/>
    </row>
    <row r="397" spans="4:18" ht="15" x14ac:dyDescent="0.25">
      <c r="D397" s="65"/>
      <c r="E397" s="65"/>
      <c r="F397" s="65"/>
      <c r="R397" s="39"/>
    </row>
    <row r="398" spans="4:18" ht="15" x14ac:dyDescent="0.25">
      <c r="D398" s="65"/>
      <c r="E398" s="65"/>
      <c r="F398" s="65"/>
      <c r="R398" s="39"/>
    </row>
    <row r="399" spans="4:18" ht="15" x14ac:dyDescent="0.25">
      <c r="D399" s="65"/>
      <c r="E399" s="65"/>
      <c r="F399" s="65"/>
      <c r="R399" s="39"/>
    </row>
    <row r="400" spans="4:18" ht="15" x14ac:dyDescent="0.25">
      <c r="D400" s="65"/>
      <c r="E400" s="65"/>
      <c r="F400" s="65"/>
      <c r="R400" s="39"/>
    </row>
    <row r="401" spans="4:18" ht="15" x14ac:dyDescent="0.25">
      <c r="D401" s="65"/>
      <c r="E401" s="65"/>
      <c r="F401" s="65"/>
      <c r="R401" s="39"/>
    </row>
    <row r="402" spans="4:18" ht="15" x14ac:dyDescent="0.25">
      <c r="D402" s="65"/>
      <c r="E402" s="65"/>
      <c r="F402" s="65"/>
      <c r="R402" s="39"/>
    </row>
    <row r="403" spans="4:18" ht="15" x14ac:dyDescent="0.25">
      <c r="D403" s="65"/>
      <c r="E403" s="65"/>
      <c r="F403" s="65"/>
      <c r="R403" s="39"/>
    </row>
    <row r="404" spans="4:18" ht="15" x14ac:dyDescent="0.25">
      <c r="D404" s="65"/>
      <c r="E404" s="65"/>
      <c r="F404" s="65"/>
      <c r="R404" s="39"/>
    </row>
    <row r="405" spans="4:18" ht="15" x14ac:dyDescent="0.25">
      <c r="D405" s="65"/>
      <c r="E405" s="65"/>
      <c r="F405" s="65"/>
      <c r="R405" s="39"/>
    </row>
    <row r="406" spans="4:18" ht="15" x14ac:dyDescent="0.25">
      <c r="D406" s="65"/>
      <c r="E406" s="65"/>
      <c r="F406" s="65"/>
      <c r="R406" s="39"/>
    </row>
    <row r="407" spans="4:18" ht="15" x14ac:dyDescent="0.25">
      <c r="D407" s="65"/>
      <c r="E407" s="65"/>
      <c r="F407" s="65"/>
      <c r="R407" s="39"/>
    </row>
    <row r="408" spans="4:18" ht="15" x14ac:dyDescent="0.25">
      <c r="D408" s="65"/>
      <c r="E408" s="65"/>
      <c r="F408" s="65"/>
      <c r="R408" s="39"/>
    </row>
    <row r="409" spans="4:18" ht="15" x14ac:dyDescent="0.25">
      <c r="D409" s="65"/>
      <c r="E409" s="65"/>
      <c r="F409" s="65"/>
      <c r="R409" s="39"/>
    </row>
    <row r="410" spans="4:18" ht="15" x14ac:dyDescent="0.25">
      <c r="D410" s="65"/>
      <c r="E410" s="65"/>
      <c r="F410" s="65"/>
      <c r="R410" s="39"/>
    </row>
    <row r="411" spans="4:18" ht="15" x14ac:dyDescent="0.25">
      <c r="D411" s="65"/>
      <c r="E411" s="65"/>
      <c r="F411" s="65"/>
      <c r="R411" s="39"/>
    </row>
    <row r="412" spans="4:18" ht="15" x14ac:dyDescent="0.25">
      <c r="D412" s="65"/>
      <c r="E412" s="65"/>
      <c r="F412" s="65"/>
      <c r="R412" s="39"/>
    </row>
    <row r="413" spans="4:18" ht="15" x14ac:dyDescent="0.25">
      <c r="D413" s="65"/>
      <c r="E413" s="65"/>
      <c r="F413" s="65"/>
      <c r="R413" s="39"/>
    </row>
    <row r="414" spans="4:18" ht="15" x14ac:dyDescent="0.25">
      <c r="D414" s="65"/>
      <c r="E414" s="65"/>
      <c r="F414" s="65"/>
      <c r="R414" s="39"/>
    </row>
    <row r="415" spans="4:18" ht="15" x14ac:dyDescent="0.25">
      <c r="D415" s="65"/>
      <c r="E415" s="65"/>
      <c r="F415" s="65"/>
      <c r="R415" s="39"/>
    </row>
    <row r="416" spans="4:18" ht="15" x14ac:dyDescent="0.25">
      <c r="D416" s="65"/>
      <c r="E416" s="65"/>
      <c r="F416" s="65"/>
      <c r="R416" s="39"/>
    </row>
    <row r="417" spans="4:18" ht="15" x14ac:dyDescent="0.25">
      <c r="D417" s="65"/>
      <c r="E417" s="65"/>
      <c r="F417" s="65"/>
      <c r="R417" s="39"/>
    </row>
    <row r="418" spans="4:18" ht="15" x14ac:dyDescent="0.25">
      <c r="D418" s="65"/>
      <c r="E418" s="65"/>
      <c r="F418" s="65"/>
      <c r="R418" s="39"/>
    </row>
    <row r="419" spans="4:18" ht="15" x14ac:dyDescent="0.25">
      <c r="D419" s="65"/>
      <c r="E419" s="65"/>
      <c r="F419" s="65"/>
      <c r="R419" s="39"/>
    </row>
    <row r="420" spans="4:18" ht="15" x14ac:dyDescent="0.25">
      <c r="D420" s="65"/>
      <c r="E420" s="65"/>
      <c r="F420" s="65"/>
      <c r="R420" s="39"/>
    </row>
    <row r="421" spans="4:18" ht="15" x14ac:dyDescent="0.25">
      <c r="D421" s="65"/>
      <c r="E421" s="65"/>
      <c r="F421" s="65"/>
      <c r="R421" s="39"/>
    </row>
    <row r="422" spans="4:18" ht="15" x14ac:dyDescent="0.25">
      <c r="D422" s="65"/>
      <c r="E422" s="65"/>
      <c r="F422" s="65"/>
      <c r="R422" s="39"/>
    </row>
    <row r="423" spans="4:18" ht="15" x14ac:dyDescent="0.25">
      <c r="D423" s="65"/>
      <c r="E423" s="65"/>
      <c r="F423" s="65"/>
      <c r="R423" s="39"/>
    </row>
    <row r="424" spans="4:18" ht="15" x14ac:dyDescent="0.25">
      <c r="D424" s="65"/>
      <c r="E424" s="65"/>
      <c r="F424" s="65"/>
      <c r="R424" s="39"/>
    </row>
    <row r="425" spans="4:18" ht="15" x14ac:dyDescent="0.25">
      <c r="D425" s="65"/>
      <c r="E425" s="65"/>
      <c r="F425" s="65"/>
      <c r="R425" s="39"/>
    </row>
    <row r="426" spans="4:18" ht="15" x14ac:dyDescent="0.25">
      <c r="D426" s="65"/>
      <c r="E426" s="65"/>
      <c r="F426" s="65"/>
      <c r="R426" s="39"/>
    </row>
    <row r="427" spans="4:18" ht="15" x14ac:dyDescent="0.25">
      <c r="D427" s="65"/>
      <c r="E427" s="65"/>
      <c r="F427" s="65"/>
      <c r="R427" s="39"/>
    </row>
    <row r="428" spans="4:18" ht="15" x14ac:dyDescent="0.25">
      <c r="D428" s="65"/>
      <c r="E428" s="65"/>
      <c r="F428" s="65"/>
      <c r="R428" s="39"/>
    </row>
    <row r="429" spans="4:18" ht="15" x14ac:dyDescent="0.25">
      <c r="D429" s="65"/>
      <c r="E429" s="65"/>
      <c r="F429" s="65"/>
      <c r="R429" s="39"/>
    </row>
    <row r="430" spans="4:18" ht="15" x14ac:dyDescent="0.25">
      <c r="D430" s="65"/>
      <c r="E430" s="65"/>
      <c r="F430" s="65"/>
      <c r="R430" s="39"/>
    </row>
    <row r="431" spans="4:18" ht="15" x14ac:dyDescent="0.25">
      <c r="D431" s="65"/>
      <c r="E431" s="65"/>
      <c r="F431" s="65"/>
      <c r="R431" s="39"/>
    </row>
    <row r="432" spans="4:18" ht="15" x14ac:dyDescent="0.25">
      <c r="D432" s="65"/>
      <c r="E432" s="65"/>
      <c r="F432" s="65"/>
      <c r="R432" s="39"/>
    </row>
    <row r="433" spans="4:18" ht="15" x14ac:dyDescent="0.25">
      <c r="D433" s="65"/>
      <c r="E433" s="65"/>
      <c r="F433" s="65"/>
      <c r="R433" s="39"/>
    </row>
    <row r="434" spans="4:18" ht="15" x14ac:dyDescent="0.25">
      <c r="D434" s="65"/>
      <c r="E434" s="65"/>
      <c r="F434" s="65"/>
      <c r="R434" s="39"/>
    </row>
    <row r="435" spans="4:18" ht="15" x14ac:dyDescent="0.25">
      <c r="D435" s="65"/>
      <c r="E435" s="65"/>
      <c r="F435" s="65"/>
      <c r="R435" s="39"/>
    </row>
    <row r="436" spans="4:18" ht="15" x14ac:dyDescent="0.25">
      <c r="D436" s="65"/>
      <c r="E436" s="65"/>
      <c r="F436" s="65"/>
      <c r="R436" s="39"/>
    </row>
    <row r="437" spans="4:18" ht="15" x14ac:dyDescent="0.25">
      <c r="D437" s="65"/>
      <c r="E437" s="65"/>
      <c r="F437" s="65"/>
      <c r="R437" s="39"/>
    </row>
    <row r="438" spans="4:18" ht="15" x14ac:dyDescent="0.25">
      <c r="D438" s="65"/>
      <c r="E438" s="65"/>
      <c r="F438" s="65"/>
      <c r="R438" s="39"/>
    </row>
    <row r="439" spans="4:18" ht="15" x14ac:dyDescent="0.25">
      <c r="D439" s="65"/>
      <c r="E439" s="65"/>
      <c r="F439" s="65"/>
      <c r="R439" s="39"/>
    </row>
    <row r="440" spans="4:18" ht="15" x14ac:dyDescent="0.25">
      <c r="D440" s="65"/>
      <c r="E440" s="65"/>
      <c r="F440" s="65"/>
      <c r="R440" s="39"/>
    </row>
    <row r="441" spans="4:18" ht="15" x14ac:dyDescent="0.25">
      <c r="D441" s="65"/>
      <c r="E441" s="65"/>
      <c r="F441" s="65"/>
      <c r="R441" s="39"/>
    </row>
    <row r="442" spans="4:18" ht="15" x14ac:dyDescent="0.25">
      <c r="D442" s="65"/>
      <c r="E442" s="65"/>
      <c r="F442" s="65"/>
      <c r="R442" s="39"/>
    </row>
    <row r="443" spans="4:18" ht="15" x14ac:dyDescent="0.25">
      <c r="D443" s="65"/>
      <c r="E443" s="65"/>
      <c r="F443" s="65"/>
      <c r="R443" s="39"/>
    </row>
    <row r="444" spans="4:18" ht="15" x14ac:dyDescent="0.25">
      <c r="D444" s="65"/>
      <c r="E444" s="65"/>
      <c r="F444" s="65"/>
      <c r="R444" s="39"/>
    </row>
    <row r="445" spans="4:18" ht="15" x14ac:dyDescent="0.25">
      <c r="D445" s="65"/>
      <c r="E445" s="65"/>
      <c r="F445" s="65"/>
      <c r="R445" s="39"/>
    </row>
    <row r="446" spans="4:18" ht="15" x14ac:dyDescent="0.25">
      <c r="D446" s="65"/>
      <c r="E446" s="65"/>
      <c r="F446" s="65"/>
      <c r="R446" s="39"/>
    </row>
    <row r="447" spans="4:18" ht="15" x14ac:dyDescent="0.25">
      <c r="D447" s="65"/>
      <c r="E447" s="65"/>
      <c r="F447" s="65"/>
      <c r="R447" s="39"/>
    </row>
    <row r="448" spans="4:18" ht="15" x14ac:dyDescent="0.25">
      <c r="D448" s="65"/>
      <c r="E448" s="65"/>
      <c r="F448" s="65"/>
      <c r="R448" s="39"/>
    </row>
    <row r="449" spans="4:18" ht="15" x14ac:dyDescent="0.25">
      <c r="D449" s="65"/>
      <c r="E449" s="65"/>
      <c r="F449" s="65"/>
      <c r="R449" s="39"/>
    </row>
    <row r="450" spans="4:18" ht="15" x14ac:dyDescent="0.25">
      <c r="D450" s="65"/>
      <c r="E450" s="65"/>
      <c r="F450" s="65"/>
      <c r="R450" s="39"/>
    </row>
    <row r="451" spans="4:18" ht="15" x14ac:dyDescent="0.25">
      <c r="D451" s="65"/>
      <c r="E451" s="65"/>
      <c r="F451" s="65"/>
      <c r="R451" s="39"/>
    </row>
    <row r="452" spans="4:18" ht="15" x14ac:dyDescent="0.25">
      <c r="D452" s="65"/>
      <c r="E452" s="65"/>
      <c r="F452" s="65"/>
      <c r="R452" s="39"/>
    </row>
    <row r="453" spans="4:18" ht="15" x14ac:dyDescent="0.25">
      <c r="D453" s="65"/>
      <c r="E453" s="65"/>
      <c r="F453" s="65"/>
      <c r="R453" s="39"/>
    </row>
    <row r="454" spans="4:18" ht="15" x14ac:dyDescent="0.25">
      <c r="D454" s="65"/>
      <c r="E454" s="65"/>
      <c r="F454" s="65"/>
      <c r="R454" s="39"/>
    </row>
    <row r="455" spans="4:18" ht="15" x14ac:dyDescent="0.25">
      <c r="D455" s="65"/>
      <c r="E455" s="65"/>
      <c r="F455" s="65"/>
      <c r="R455" s="39"/>
    </row>
    <row r="456" spans="4:18" ht="15" x14ac:dyDescent="0.25">
      <c r="D456" s="65"/>
      <c r="E456" s="65"/>
      <c r="F456" s="65"/>
      <c r="R456" s="39"/>
    </row>
    <row r="457" spans="4:18" ht="15" x14ac:dyDescent="0.25">
      <c r="D457" s="65"/>
      <c r="E457" s="65"/>
      <c r="F457" s="65"/>
      <c r="R457" s="39"/>
    </row>
    <row r="458" spans="4:18" ht="15" x14ac:dyDescent="0.25">
      <c r="D458" s="65"/>
      <c r="E458" s="65"/>
      <c r="F458" s="65"/>
      <c r="R458" s="39"/>
    </row>
    <row r="459" spans="4:18" ht="15" x14ac:dyDescent="0.25">
      <c r="D459" s="65"/>
      <c r="E459" s="65"/>
      <c r="F459" s="65"/>
      <c r="R459" s="39"/>
    </row>
    <row r="460" spans="4:18" ht="15" x14ac:dyDescent="0.25">
      <c r="D460" s="65"/>
      <c r="E460" s="65"/>
      <c r="F460" s="65"/>
      <c r="R460" s="39"/>
    </row>
    <row r="461" spans="4:18" ht="15" x14ac:dyDescent="0.25">
      <c r="D461" s="65"/>
      <c r="E461" s="65"/>
      <c r="F461" s="65"/>
      <c r="R461" s="39"/>
    </row>
    <row r="462" spans="4:18" ht="15" x14ac:dyDescent="0.25">
      <c r="D462" s="65"/>
      <c r="E462" s="65"/>
      <c r="F462" s="65"/>
      <c r="R462" s="39"/>
    </row>
    <row r="463" spans="4:18" ht="15" x14ac:dyDescent="0.25">
      <c r="D463" s="65"/>
      <c r="E463" s="65"/>
      <c r="F463" s="65"/>
      <c r="R463" s="39"/>
    </row>
    <row r="464" spans="4:18" ht="15" x14ac:dyDescent="0.25">
      <c r="D464" s="65"/>
      <c r="E464" s="65"/>
      <c r="F464" s="65"/>
      <c r="R464" s="39"/>
    </row>
    <row r="465" spans="4:18" ht="15" x14ac:dyDescent="0.25">
      <c r="D465" s="65"/>
      <c r="E465" s="65"/>
      <c r="F465" s="65"/>
      <c r="R465" s="39"/>
    </row>
    <row r="466" spans="4:18" ht="15" x14ac:dyDescent="0.25">
      <c r="D466" s="65"/>
      <c r="E466" s="65"/>
      <c r="F466" s="65"/>
      <c r="R466" s="39"/>
    </row>
    <row r="467" spans="4:18" ht="15" x14ac:dyDescent="0.25">
      <c r="D467" s="65"/>
      <c r="E467" s="65"/>
      <c r="F467" s="65"/>
      <c r="R467" s="39"/>
    </row>
    <row r="468" spans="4:18" ht="15" x14ac:dyDescent="0.25">
      <c r="D468" s="65"/>
      <c r="E468" s="65"/>
      <c r="F468" s="65"/>
      <c r="R468" s="39"/>
    </row>
    <row r="469" spans="4:18" ht="15" x14ac:dyDescent="0.25">
      <c r="D469" s="65"/>
      <c r="E469" s="65"/>
      <c r="F469" s="65"/>
      <c r="R469" s="39"/>
    </row>
    <row r="470" spans="4:18" ht="15" x14ac:dyDescent="0.25">
      <c r="D470" s="65"/>
      <c r="E470" s="65"/>
      <c r="F470" s="65"/>
      <c r="R470" s="39"/>
    </row>
    <row r="471" spans="4:18" ht="15" x14ac:dyDescent="0.25">
      <c r="D471" s="65"/>
      <c r="E471" s="65"/>
      <c r="F471" s="65"/>
      <c r="R471" s="39"/>
    </row>
    <row r="472" spans="4:18" ht="15" x14ac:dyDescent="0.25">
      <c r="D472" s="65"/>
      <c r="E472" s="65"/>
      <c r="F472" s="65"/>
      <c r="R472" s="39"/>
    </row>
    <row r="473" spans="4:18" ht="15" x14ac:dyDescent="0.25">
      <c r="D473" s="65"/>
      <c r="E473" s="65"/>
      <c r="F473" s="65"/>
      <c r="R473" s="39"/>
    </row>
    <row r="474" spans="4:18" ht="15" x14ac:dyDescent="0.25">
      <c r="D474" s="65"/>
      <c r="E474" s="65"/>
      <c r="F474" s="65"/>
      <c r="R474" s="39"/>
    </row>
    <row r="475" spans="4:18" ht="15" x14ac:dyDescent="0.25">
      <c r="D475" s="65"/>
      <c r="E475" s="65"/>
      <c r="F475" s="65"/>
      <c r="R475" s="39"/>
    </row>
    <row r="476" spans="4:18" ht="15" x14ac:dyDescent="0.25">
      <c r="D476" s="65"/>
      <c r="E476" s="65"/>
      <c r="F476" s="65"/>
      <c r="R476" s="39"/>
    </row>
    <row r="477" spans="4:18" ht="15" x14ac:dyDescent="0.25">
      <c r="D477" s="65"/>
      <c r="E477" s="65"/>
      <c r="F477" s="65"/>
      <c r="R477" s="39"/>
    </row>
    <row r="478" spans="4:18" ht="15" x14ac:dyDescent="0.25">
      <c r="D478" s="65"/>
      <c r="E478" s="65"/>
      <c r="F478" s="65"/>
      <c r="R478" s="39"/>
    </row>
    <row r="479" spans="4:18" ht="15" x14ac:dyDescent="0.25">
      <c r="D479" s="65"/>
      <c r="E479" s="65"/>
      <c r="F479" s="65"/>
      <c r="R479" s="39"/>
    </row>
    <row r="480" spans="4:18" ht="15" x14ac:dyDescent="0.25">
      <c r="D480" s="65"/>
      <c r="E480" s="65"/>
      <c r="F480" s="65"/>
      <c r="R480" s="39"/>
    </row>
    <row r="481" spans="4:18" ht="15" x14ac:dyDescent="0.25">
      <c r="D481" s="65"/>
      <c r="E481" s="65"/>
      <c r="F481" s="65"/>
      <c r="R481" s="39"/>
    </row>
    <row r="482" spans="4:18" ht="15" x14ac:dyDescent="0.25">
      <c r="D482" s="65"/>
      <c r="E482" s="65"/>
      <c r="F482" s="65"/>
      <c r="R482" s="39"/>
    </row>
    <row r="483" spans="4:18" ht="15" x14ac:dyDescent="0.25">
      <c r="D483" s="65"/>
      <c r="E483" s="65"/>
      <c r="F483" s="65"/>
      <c r="R483" s="39"/>
    </row>
    <row r="484" spans="4:18" ht="15" x14ac:dyDescent="0.25">
      <c r="D484" s="65"/>
      <c r="E484" s="65"/>
      <c r="F484" s="65"/>
      <c r="R484" s="39"/>
    </row>
    <row r="485" spans="4:18" ht="15" x14ac:dyDescent="0.25">
      <c r="D485" s="65"/>
      <c r="E485" s="65"/>
      <c r="F485" s="65"/>
      <c r="R485" s="39"/>
    </row>
    <row r="486" spans="4:18" ht="15" x14ac:dyDescent="0.25">
      <c r="D486" s="65"/>
      <c r="E486" s="65"/>
      <c r="F486" s="65"/>
      <c r="R486" s="39"/>
    </row>
    <row r="487" spans="4:18" ht="15" x14ac:dyDescent="0.25">
      <c r="D487" s="65"/>
      <c r="E487" s="65"/>
      <c r="F487" s="65"/>
      <c r="R487" s="39"/>
    </row>
    <row r="488" spans="4:18" ht="15" x14ac:dyDescent="0.25">
      <c r="D488" s="65"/>
      <c r="E488" s="65"/>
      <c r="F488" s="65"/>
      <c r="R488" s="39"/>
    </row>
    <row r="489" spans="4:18" ht="15" x14ac:dyDescent="0.25">
      <c r="D489" s="65"/>
      <c r="E489" s="65"/>
      <c r="F489" s="65"/>
      <c r="R489" s="39"/>
    </row>
    <row r="490" spans="4:18" ht="15" x14ac:dyDescent="0.25">
      <c r="D490" s="65"/>
      <c r="E490" s="65"/>
      <c r="F490" s="65"/>
      <c r="R490" s="39"/>
    </row>
    <row r="491" spans="4:18" ht="15" x14ac:dyDescent="0.25">
      <c r="D491" s="65"/>
      <c r="E491" s="65"/>
      <c r="F491" s="65"/>
      <c r="R491" s="39"/>
    </row>
    <row r="492" spans="4:18" ht="15" x14ac:dyDescent="0.25">
      <c r="D492" s="65"/>
      <c r="E492" s="65"/>
      <c r="F492" s="65"/>
      <c r="R492" s="39"/>
    </row>
    <row r="493" spans="4:18" ht="15" x14ac:dyDescent="0.25">
      <c r="D493" s="65"/>
      <c r="E493" s="65"/>
      <c r="F493" s="65"/>
      <c r="R493" s="39"/>
    </row>
    <row r="494" spans="4:18" ht="15" x14ac:dyDescent="0.25">
      <c r="D494" s="65"/>
      <c r="E494" s="65"/>
      <c r="F494" s="65"/>
      <c r="R494" s="39"/>
    </row>
    <row r="495" spans="4:18" ht="15" x14ac:dyDescent="0.25">
      <c r="D495" s="65"/>
      <c r="E495" s="65"/>
      <c r="F495" s="65"/>
      <c r="R495" s="39"/>
    </row>
    <row r="496" spans="4:18" ht="15" x14ac:dyDescent="0.25">
      <c r="D496" s="65"/>
      <c r="E496" s="65"/>
      <c r="F496" s="65"/>
      <c r="R496" s="39"/>
    </row>
    <row r="497" spans="4:18" ht="15" x14ac:dyDescent="0.25">
      <c r="D497" s="65"/>
      <c r="E497" s="65"/>
      <c r="F497" s="65"/>
      <c r="R497" s="39"/>
    </row>
    <row r="498" spans="4:18" ht="15" x14ac:dyDescent="0.25">
      <c r="D498" s="65"/>
      <c r="E498" s="65"/>
      <c r="F498" s="65"/>
      <c r="R498" s="39"/>
    </row>
    <row r="499" spans="4:18" ht="15" x14ac:dyDescent="0.25">
      <c r="D499" s="65"/>
      <c r="E499" s="65"/>
      <c r="F499" s="65"/>
      <c r="R499" s="39"/>
    </row>
    <row r="500" spans="4:18" ht="15" x14ac:dyDescent="0.25">
      <c r="D500" s="65"/>
      <c r="E500" s="65"/>
      <c r="F500" s="65"/>
      <c r="R500" s="39"/>
    </row>
    <row r="501" spans="4:18" ht="15" x14ac:dyDescent="0.25">
      <c r="D501" s="65"/>
      <c r="E501" s="65"/>
      <c r="F501" s="65"/>
      <c r="R501" s="39"/>
    </row>
    <row r="502" spans="4:18" ht="15" x14ac:dyDescent="0.25">
      <c r="D502" s="65"/>
      <c r="E502" s="65"/>
      <c r="F502" s="65"/>
      <c r="R502" s="39"/>
    </row>
    <row r="503" spans="4:18" ht="15" x14ac:dyDescent="0.25">
      <c r="D503" s="65"/>
      <c r="E503" s="65"/>
      <c r="F503" s="65"/>
      <c r="R503" s="39"/>
    </row>
    <row r="504" spans="4:18" ht="15" x14ac:dyDescent="0.25">
      <c r="D504" s="65"/>
      <c r="E504" s="65"/>
      <c r="F504" s="65"/>
      <c r="R504" s="39"/>
    </row>
    <row r="505" spans="4:18" ht="15" x14ac:dyDescent="0.25">
      <c r="D505" s="65"/>
      <c r="E505" s="65"/>
      <c r="F505" s="65"/>
      <c r="R505" s="39"/>
    </row>
    <row r="506" spans="4:18" ht="15" x14ac:dyDescent="0.25">
      <c r="D506" s="65"/>
      <c r="E506" s="65"/>
      <c r="F506" s="65"/>
      <c r="R506" s="39"/>
    </row>
    <row r="507" spans="4:18" ht="15" x14ac:dyDescent="0.25">
      <c r="D507" s="65"/>
      <c r="E507" s="65"/>
      <c r="F507" s="65"/>
      <c r="R507" s="39"/>
    </row>
    <row r="508" spans="4:18" ht="15" x14ac:dyDescent="0.25">
      <c r="D508" s="65"/>
      <c r="E508" s="65"/>
      <c r="F508" s="65"/>
      <c r="R508" s="39"/>
    </row>
    <row r="509" spans="4:18" ht="15" x14ac:dyDescent="0.25">
      <c r="D509" s="65"/>
      <c r="E509" s="65"/>
      <c r="F509" s="65"/>
      <c r="R509" s="39"/>
    </row>
    <row r="510" spans="4:18" ht="15" x14ac:dyDescent="0.25">
      <c r="D510" s="65"/>
      <c r="E510" s="65"/>
      <c r="F510" s="65"/>
      <c r="R510" s="39"/>
    </row>
    <row r="511" spans="4:18" ht="15" x14ac:dyDescent="0.25">
      <c r="D511" s="65"/>
      <c r="E511" s="65"/>
      <c r="F511" s="65"/>
      <c r="R511" s="39"/>
    </row>
    <row r="512" spans="4:18" ht="15" x14ac:dyDescent="0.25">
      <c r="D512" s="65"/>
      <c r="E512" s="65"/>
      <c r="F512" s="65"/>
      <c r="R512" s="39"/>
    </row>
    <row r="513" spans="4:18" ht="15" x14ac:dyDescent="0.25">
      <c r="D513" s="65"/>
      <c r="E513" s="65"/>
      <c r="F513" s="65"/>
      <c r="R513" s="39"/>
    </row>
    <row r="514" spans="4:18" ht="15" x14ac:dyDescent="0.25">
      <c r="D514" s="65"/>
      <c r="E514" s="65"/>
      <c r="F514" s="65"/>
      <c r="R514" s="39"/>
    </row>
    <row r="515" spans="4:18" ht="15" x14ac:dyDescent="0.25">
      <c r="D515" s="65"/>
      <c r="E515" s="65"/>
      <c r="F515" s="65"/>
      <c r="R515" s="39"/>
    </row>
    <row r="516" spans="4:18" ht="15" x14ac:dyDescent="0.25">
      <c r="D516" s="65"/>
      <c r="E516" s="65"/>
      <c r="F516" s="65"/>
      <c r="R516" s="39"/>
    </row>
    <row r="517" spans="4:18" ht="15" x14ac:dyDescent="0.25">
      <c r="D517" s="65"/>
      <c r="E517" s="65"/>
      <c r="F517" s="65"/>
      <c r="R517" s="39"/>
    </row>
    <row r="518" spans="4:18" ht="15" x14ac:dyDescent="0.25">
      <c r="D518" s="65"/>
      <c r="E518" s="65"/>
      <c r="F518" s="65"/>
      <c r="R518" s="39"/>
    </row>
    <row r="519" spans="4:18" ht="15" x14ac:dyDescent="0.25">
      <c r="D519" s="65"/>
      <c r="E519" s="65"/>
      <c r="F519" s="65"/>
      <c r="R519" s="39"/>
    </row>
    <row r="520" spans="4:18" ht="15" x14ac:dyDescent="0.25">
      <c r="D520" s="65"/>
      <c r="E520" s="65"/>
      <c r="F520" s="65"/>
      <c r="R520" s="39"/>
    </row>
    <row r="521" spans="4:18" ht="15" x14ac:dyDescent="0.25">
      <c r="D521" s="65"/>
      <c r="E521" s="65"/>
      <c r="F521" s="65"/>
      <c r="R521" s="39"/>
    </row>
    <row r="522" spans="4:18" ht="15" x14ac:dyDescent="0.25">
      <c r="D522" s="65"/>
      <c r="E522" s="65"/>
      <c r="F522" s="65"/>
      <c r="R522" s="39"/>
    </row>
    <row r="523" spans="4:18" ht="15" x14ac:dyDescent="0.25">
      <c r="D523" s="65"/>
      <c r="E523" s="65"/>
      <c r="F523" s="65"/>
      <c r="R523" s="39"/>
    </row>
    <row r="524" spans="4:18" ht="15" x14ac:dyDescent="0.25">
      <c r="D524" s="65"/>
      <c r="E524" s="65"/>
      <c r="F524" s="65"/>
      <c r="R524" s="39"/>
    </row>
    <row r="525" spans="4:18" ht="15" x14ac:dyDescent="0.25">
      <c r="D525" s="65"/>
      <c r="E525" s="65"/>
      <c r="F525" s="65"/>
      <c r="R525" s="39"/>
    </row>
    <row r="526" spans="4:18" ht="15" x14ac:dyDescent="0.25">
      <c r="D526" s="65"/>
      <c r="E526" s="65"/>
      <c r="F526" s="65"/>
      <c r="R526" s="39"/>
    </row>
    <row r="527" spans="4:18" ht="15" x14ac:dyDescent="0.25">
      <c r="D527" s="65"/>
      <c r="E527" s="65"/>
      <c r="F527" s="65"/>
      <c r="R527" s="39"/>
    </row>
  </sheetData>
  <pageMargins left="0.7" right="0.7" top="0.75" bottom="0.75" header="0.3" footer="0.3"/>
  <pageSetup paperSize="9" scale="1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C2:AY527"/>
  <sheetViews>
    <sheetView showGridLines="0" showRowColHeaders="0" view="pageBreakPreview" zoomScale="80" zoomScaleNormal="91" zoomScaleSheetLayoutView="80" workbookViewId="0">
      <selection activeCell="D2" sqref="D2"/>
    </sheetView>
  </sheetViews>
  <sheetFormatPr baseColWidth="10" defaultColWidth="10.5" defaultRowHeight="14.25" outlineLevelCol="1" x14ac:dyDescent="0.25"/>
  <cols>
    <col min="1" max="2" width="2.625" style="38" customWidth="1"/>
    <col min="3" max="3" width="5.25" style="37" customWidth="1"/>
    <col min="4" max="4" width="18.625" style="38" customWidth="1"/>
    <col min="5" max="5" width="9.5" style="38" customWidth="1"/>
    <col min="6" max="6" width="10" style="38" customWidth="1"/>
    <col min="7" max="7" width="13.5" style="39" customWidth="1"/>
    <col min="8" max="8" width="14.25" style="40" customWidth="1"/>
    <col min="9" max="9" width="10.25" style="41" customWidth="1"/>
    <col min="10" max="11" width="9.25" style="41" bestFit="1" customWidth="1"/>
    <col min="12" max="12" width="10.125" style="41" bestFit="1" customWidth="1"/>
    <col min="13" max="13" width="10.625" style="42" customWidth="1"/>
    <col min="14" max="14" width="10.125" style="42" customWidth="1" outlineLevel="1"/>
    <col min="15" max="15" width="10.125" style="38" customWidth="1" outlineLevel="1"/>
    <col min="16" max="16" width="11.375" style="38" customWidth="1" outlineLevel="1"/>
    <col min="17" max="17" width="9.25" style="38" customWidth="1" outlineLevel="1"/>
    <col min="18" max="18" width="12.75" style="38" customWidth="1" outlineLevel="1"/>
    <col min="19" max="19" width="3.25" style="38" customWidth="1" outlineLevel="1"/>
    <col min="20" max="21" width="10.5" style="38" customWidth="1" outlineLevel="1"/>
    <col min="22" max="22" width="1.625" style="38" customWidth="1"/>
    <col min="23" max="23" width="10.5" style="38"/>
    <col min="24" max="31" width="10.5" style="38" customWidth="1" outlineLevel="1"/>
    <col min="32" max="32" width="1.625" style="38" customWidth="1"/>
    <col min="33" max="33" width="10.5" style="38"/>
    <col min="34" max="41" width="10.5" style="38" customWidth="1" outlineLevel="1"/>
    <col min="42" max="42" width="1.625" style="38" customWidth="1"/>
    <col min="43" max="43" width="10.5" style="38"/>
    <col min="44" max="51" width="10.5" style="38" customWidth="1" outlineLevel="1"/>
    <col min="52" max="52" width="2.125" style="38" customWidth="1"/>
    <col min="53" max="16384" width="10.5" style="38"/>
  </cols>
  <sheetData>
    <row r="2" spans="3:51" ht="18.75" x14ac:dyDescent="0.25">
      <c r="D2" s="384" t="s">
        <v>103</v>
      </c>
      <c r="I2" s="66"/>
    </row>
    <row r="3" spans="3:51" ht="30" customHeight="1" x14ac:dyDescent="0.25">
      <c r="H3" s="41"/>
    </row>
    <row r="4" spans="3:51" x14ac:dyDescent="0.25">
      <c r="D4" s="43" t="s">
        <v>42</v>
      </c>
      <c r="H4" s="41"/>
    </row>
    <row r="5" spans="3:51" ht="15" thickBot="1" x14ac:dyDescent="0.3">
      <c r="D5" s="43"/>
      <c r="H5" s="41"/>
    </row>
    <row r="6" spans="3:51" ht="17.25" thickTop="1" thickBot="1" x14ac:dyDescent="0.3"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V6" s="295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F6" s="295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P6" s="295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1" s="49" customFormat="1" ht="28.5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282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</row>
    <row r="8" spans="3:51" s="52" customFormat="1" ht="33.75" customHeight="1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0</v>
      </c>
      <c r="AS8" s="363">
        <f t="shared" si="6"/>
        <v>0</v>
      </c>
      <c r="AT8" s="363">
        <f t="shared" si="6"/>
        <v>0</v>
      </c>
      <c r="AU8" s="363">
        <f t="shared" si="6"/>
        <v>0</v>
      </c>
      <c r="AV8" s="363">
        <f>+SUM(AV9:AV29)</f>
        <v>0</v>
      </c>
      <c r="AW8" s="363">
        <f t="shared" ref="AW8:AX8" si="7">+SUM(AW9:AW29)</f>
        <v>0</v>
      </c>
      <c r="AX8" s="363">
        <f t="shared" si="7"/>
        <v>0</v>
      </c>
      <c r="AY8" s="364">
        <f>+SUM(AY9:AY29)</f>
        <v>0</v>
      </c>
    </row>
    <row r="9" spans="3:51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/>
      <c r="AS9" s="289"/>
      <c r="AT9" s="289"/>
      <c r="AU9" s="289"/>
      <c r="AV9" s="289"/>
      <c r="AW9" s="289"/>
      <c r="AX9" s="289"/>
      <c r="AY9" s="290"/>
    </row>
    <row r="10" spans="3:51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</row>
    <row r="11" spans="3:51" s="49" customFormat="1" ht="18" customHeight="1" x14ac:dyDescent="0.25">
      <c r="C11" s="56">
        <f t="shared" ref="C11:C28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</row>
    <row r="12" spans="3:51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</row>
    <row r="13" spans="3:51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</row>
    <row r="14" spans="3:51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</row>
    <row r="15" spans="3:51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</row>
    <row r="16" spans="3:51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</row>
    <row r="17" spans="3:51" s="49" customFormat="1" ht="18" customHeight="1" x14ac:dyDescent="0.25"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</row>
    <row r="18" spans="3:51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</row>
    <row r="19" spans="3:51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</row>
    <row r="20" spans="3:51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</row>
    <row r="21" spans="3:51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</row>
    <row r="22" spans="3:51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</row>
    <row r="23" spans="3:51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</row>
    <row r="24" spans="3:51" s="49" customFormat="1" ht="18" customHeight="1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</row>
    <row r="25" spans="3:51" s="49" customFormat="1" ht="15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</row>
    <row r="26" spans="3:51" s="49" customFormat="1" ht="15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</row>
    <row r="27" spans="3:51" s="49" customFormat="1" ht="15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</row>
    <row r="28" spans="3:51" s="49" customFormat="1" ht="15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</row>
    <row r="29" spans="3:51" s="49" customFormat="1" ht="15.75" x14ac:dyDescent="0.25">
      <c r="C29" s="48"/>
      <c r="D29" s="60"/>
      <c r="E29" s="60"/>
      <c r="F29" s="60"/>
      <c r="G29" s="50"/>
      <c r="H29" s="61"/>
      <c r="I29" s="62"/>
      <c r="J29" s="62"/>
      <c r="K29" s="62"/>
      <c r="L29" s="62"/>
      <c r="M29" s="63"/>
      <c r="N29" s="63"/>
      <c r="O29" s="63"/>
      <c r="P29" s="63"/>
      <c r="Q29" s="63"/>
    </row>
    <row r="30" spans="3:51" s="49" customFormat="1" ht="15.75" x14ac:dyDescent="0.25">
      <c r="C30" s="48"/>
      <c r="D30" s="60"/>
      <c r="E30" s="60"/>
      <c r="F30" s="60"/>
      <c r="G30" s="50"/>
      <c r="H30" s="61"/>
      <c r="I30" s="62"/>
      <c r="J30" s="62"/>
      <c r="K30" s="62"/>
      <c r="L30" s="62"/>
      <c r="M30" s="63"/>
      <c r="N30" s="63"/>
      <c r="O30" s="63"/>
      <c r="P30" s="63"/>
      <c r="Q30" s="63"/>
    </row>
    <row r="31" spans="3:51" s="49" customFormat="1" ht="15.75" x14ac:dyDescent="0.25">
      <c r="C31" s="48"/>
      <c r="D31" s="60"/>
      <c r="E31" s="60"/>
      <c r="F31" s="60"/>
      <c r="G31" s="50"/>
      <c r="H31" s="61"/>
      <c r="I31" s="62"/>
      <c r="J31" s="62"/>
      <c r="K31" s="62"/>
      <c r="L31" s="62"/>
      <c r="M31" s="63"/>
      <c r="N31" s="63"/>
      <c r="O31" s="63"/>
      <c r="P31" s="63"/>
      <c r="Q31" s="63"/>
    </row>
    <row r="32" spans="3:51" s="49" customFormat="1" ht="15.75" x14ac:dyDescent="0.25">
      <c r="C32" s="48"/>
      <c r="D32" s="60"/>
      <c r="E32" s="60"/>
      <c r="F32" s="60"/>
      <c r="G32" s="50"/>
      <c r="H32" s="61"/>
      <c r="I32" s="62"/>
      <c r="J32" s="62"/>
      <c r="K32" s="62"/>
      <c r="L32" s="62"/>
      <c r="M32" s="63"/>
      <c r="N32" s="63"/>
      <c r="O32" s="63"/>
      <c r="P32" s="63"/>
      <c r="Q32" s="63"/>
    </row>
    <row r="33" spans="3:17" s="49" customFormat="1" ht="15.75" x14ac:dyDescent="0.25">
      <c r="C33" s="48"/>
      <c r="D33" s="60"/>
      <c r="E33" s="60"/>
      <c r="F33" s="60"/>
      <c r="G33" s="50"/>
      <c r="H33" s="61"/>
      <c r="I33" s="62"/>
      <c r="J33" s="62"/>
      <c r="K33" s="62"/>
      <c r="L33" s="62"/>
      <c r="M33" s="63"/>
      <c r="N33" s="63"/>
      <c r="O33" s="63"/>
      <c r="P33" s="63"/>
      <c r="Q33" s="63"/>
    </row>
    <row r="34" spans="3:17" s="49" customFormat="1" ht="15.75" x14ac:dyDescent="0.25">
      <c r="C34" s="48"/>
      <c r="D34" s="60"/>
      <c r="E34" s="60"/>
      <c r="F34" s="60"/>
      <c r="G34" s="50"/>
      <c r="H34" s="61"/>
      <c r="I34" s="62"/>
      <c r="J34" s="62"/>
      <c r="K34" s="62"/>
      <c r="L34" s="62"/>
      <c r="M34" s="63"/>
      <c r="N34" s="63"/>
      <c r="O34" s="63"/>
      <c r="P34" s="63"/>
      <c r="Q34" s="63"/>
    </row>
    <row r="35" spans="3:17" s="49" customFormat="1" ht="15.75" x14ac:dyDescent="0.25">
      <c r="C35" s="48"/>
      <c r="D35" s="60"/>
      <c r="E35" s="60"/>
      <c r="F35" s="60"/>
      <c r="G35" s="50"/>
      <c r="H35" s="61"/>
      <c r="I35" s="62"/>
      <c r="J35" s="62"/>
      <c r="K35" s="62"/>
      <c r="L35" s="62"/>
      <c r="M35" s="63"/>
      <c r="N35" s="63"/>
      <c r="O35" s="63"/>
      <c r="P35" s="63"/>
      <c r="Q35" s="63"/>
    </row>
    <row r="36" spans="3:17" s="49" customFormat="1" ht="15.75" x14ac:dyDescent="0.25">
      <c r="C36" s="48"/>
      <c r="D36" s="60"/>
      <c r="E36" s="60"/>
      <c r="F36" s="60"/>
      <c r="G36" s="50"/>
      <c r="H36" s="61"/>
      <c r="I36" s="62"/>
      <c r="J36" s="62"/>
      <c r="K36" s="62"/>
      <c r="L36" s="62"/>
      <c r="M36" s="63"/>
      <c r="N36" s="63"/>
      <c r="O36" s="63"/>
      <c r="P36" s="63"/>
      <c r="Q36" s="63"/>
    </row>
    <row r="37" spans="3:17" s="49" customFormat="1" ht="15.75" x14ac:dyDescent="0.25">
      <c r="C37" s="48"/>
      <c r="D37" s="60"/>
      <c r="E37" s="60"/>
      <c r="F37" s="60"/>
      <c r="G37" s="50"/>
      <c r="H37" s="61"/>
      <c r="I37" s="62"/>
      <c r="J37" s="62"/>
      <c r="K37" s="62"/>
      <c r="L37" s="62"/>
      <c r="M37" s="63"/>
      <c r="N37" s="63"/>
      <c r="O37" s="63"/>
      <c r="P37" s="63"/>
      <c r="Q37" s="63"/>
    </row>
    <row r="38" spans="3:17" s="49" customFormat="1" ht="15.75" x14ac:dyDescent="0.25">
      <c r="C38" s="48"/>
      <c r="D38" s="60"/>
      <c r="E38" s="60"/>
      <c r="F38" s="60"/>
      <c r="G38" s="50"/>
      <c r="H38" s="61"/>
      <c r="I38" s="62"/>
      <c r="J38" s="62"/>
      <c r="K38" s="62"/>
      <c r="L38" s="62"/>
      <c r="M38" s="63"/>
      <c r="N38" s="63"/>
      <c r="O38" s="63"/>
      <c r="P38" s="63"/>
      <c r="Q38" s="63"/>
    </row>
    <row r="39" spans="3:17" s="49" customFormat="1" ht="15.75" x14ac:dyDescent="0.25">
      <c r="C39" s="48"/>
      <c r="D39" s="60"/>
      <c r="E39" s="60"/>
      <c r="F39" s="60"/>
      <c r="G39" s="50"/>
      <c r="H39" s="61"/>
      <c r="I39" s="62"/>
      <c r="J39" s="62"/>
      <c r="K39" s="62"/>
      <c r="L39" s="62"/>
      <c r="M39" s="63"/>
      <c r="N39" s="63"/>
      <c r="O39" s="63"/>
      <c r="P39" s="63"/>
      <c r="Q39" s="63"/>
    </row>
    <row r="40" spans="3:17" s="49" customFormat="1" ht="15.75" x14ac:dyDescent="0.25">
      <c r="C40" s="48"/>
      <c r="D40" s="60"/>
      <c r="E40" s="60"/>
      <c r="F40" s="60"/>
      <c r="G40" s="50"/>
      <c r="H40" s="61"/>
      <c r="I40" s="62"/>
      <c r="J40" s="62"/>
      <c r="K40" s="62"/>
      <c r="L40" s="62"/>
      <c r="M40" s="63"/>
      <c r="N40" s="63"/>
      <c r="O40" s="63"/>
      <c r="P40" s="63"/>
      <c r="Q40" s="63"/>
    </row>
    <row r="41" spans="3:17" s="49" customFormat="1" ht="15.75" x14ac:dyDescent="0.25">
      <c r="C41" s="48"/>
      <c r="D41" s="60"/>
      <c r="E41" s="60"/>
      <c r="F41" s="60"/>
      <c r="G41" s="50"/>
      <c r="H41" s="61"/>
      <c r="I41" s="62"/>
      <c r="J41" s="62"/>
      <c r="K41" s="62"/>
      <c r="L41" s="62"/>
      <c r="M41" s="63"/>
      <c r="N41" s="63"/>
      <c r="O41" s="63"/>
      <c r="P41" s="63"/>
      <c r="Q41" s="63"/>
    </row>
    <row r="42" spans="3:17" s="49" customFormat="1" ht="15.75" x14ac:dyDescent="0.25">
      <c r="C42" s="48"/>
      <c r="D42" s="60"/>
      <c r="E42" s="60"/>
      <c r="F42" s="60"/>
      <c r="G42" s="50"/>
      <c r="H42" s="61"/>
      <c r="I42" s="62"/>
      <c r="J42" s="62"/>
      <c r="K42" s="62"/>
      <c r="L42" s="62"/>
      <c r="M42" s="63"/>
      <c r="N42" s="63"/>
      <c r="O42" s="63"/>
      <c r="P42" s="63"/>
      <c r="Q42" s="63"/>
    </row>
    <row r="43" spans="3:17" s="49" customFormat="1" ht="15.75" x14ac:dyDescent="0.25">
      <c r="C43" s="48"/>
      <c r="D43" s="60"/>
      <c r="E43" s="60"/>
      <c r="F43" s="60"/>
      <c r="G43" s="50"/>
      <c r="H43" s="61"/>
      <c r="I43" s="62"/>
      <c r="J43" s="62"/>
      <c r="K43" s="62"/>
      <c r="L43" s="62"/>
      <c r="M43" s="63"/>
      <c r="N43" s="63"/>
      <c r="O43" s="63"/>
      <c r="P43" s="63"/>
      <c r="Q43" s="63"/>
    </row>
    <row r="44" spans="3:17" s="49" customFormat="1" ht="15.75" x14ac:dyDescent="0.25">
      <c r="C44" s="48"/>
      <c r="D44" s="60"/>
      <c r="E44" s="60"/>
      <c r="F44" s="60"/>
      <c r="G44" s="50"/>
      <c r="H44" s="61"/>
      <c r="I44" s="62"/>
      <c r="J44" s="62"/>
      <c r="K44" s="62"/>
      <c r="L44" s="62"/>
      <c r="M44" s="63"/>
      <c r="N44" s="63"/>
      <c r="O44" s="63"/>
      <c r="P44" s="63"/>
      <c r="Q44" s="63"/>
    </row>
    <row r="45" spans="3:17" s="49" customFormat="1" ht="15.75" x14ac:dyDescent="0.25">
      <c r="C45" s="48"/>
      <c r="D45" s="60"/>
      <c r="E45" s="60"/>
      <c r="F45" s="60"/>
      <c r="G45" s="50"/>
      <c r="H45" s="61"/>
      <c r="I45" s="62"/>
      <c r="J45" s="62"/>
      <c r="K45" s="62"/>
      <c r="L45" s="62"/>
      <c r="M45" s="63"/>
      <c r="N45" s="63"/>
      <c r="O45" s="63"/>
      <c r="P45" s="63"/>
      <c r="Q45" s="63"/>
    </row>
    <row r="46" spans="3:17" s="49" customFormat="1" ht="15.75" x14ac:dyDescent="0.25">
      <c r="C46" s="48"/>
      <c r="D46" s="60"/>
      <c r="E46" s="60"/>
      <c r="F46" s="60"/>
      <c r="G46" s="50"/>
      <c r="H46" s="61"/>
      <c r="I46" s="62"/>
      <c r="J46" s="62"/>
      <c r="K46" s="62"/>
      <c r="L46" s="62"/>
      <c r="M46" s="63"/>
      <c r="N46" s="63"/>
      <c r="O46" s="63"/>
      <c r="P46" s="63"/>
      <c r="Q46" s="63"/>
    </row>
    <row r="47" spans="3:17" s="49" customFormat="1" ht="15.75" x14ac:dyDescent="0.25">
      <c r="C47" s="48"/>
      <c r="D47" s="60"/>
      <c r="E47" s="60"/>
      <c r="F47" s="60"/>
      <c r="G47" s="50"/>
      <c r="H47" s="61"/>
      <c r="I47" s="62"/>
      <c r="J47" s="62"/>
      <c r="K47" s="62"/>
      <c r="L47" s="62"/>
      <c r="M47" s="63"/>
      <c r="N47" s="63"/>
      <c r="O47" s="63"/>
      <c r="P47" s="63"/>
      <c r="Q47" s="63"/>
    </row>
    <row r="48" spans="3:17" s="49" customFormat="1" ht="15.75" x14ac:dyDescent="0.25">
      <c r="C48" s="48"/>
      <c r="D48" s="60"/>
      <c r="E48" s="60"/>
      <c r="F48" s="60"/>
      <c r="G48" s="50"/>
      <c r="H48" s="61"/>
      <c r="I48" s="62"/>
      <c r="J48" s="62"/>
      <c r="K48" s="62"/>
      <c r="L48" s="62"/>
      <c r="M48" s="63"/>
      <c r="N48" s="63"/>
      <c r="O48" s="63"/>
      <c r="P48" s="63"/>
      <c r="Q48" s="63"/>
    </row>
    <row r="49" spans="3:17" s="49" customFormat="1" ht="15.75" x14ac:dyDescent="0.25">
      <c r="C49" s="48"/>
      <c r="D49" s="60"/>
      <c r="E49" s="60"/>
      <c r="F49" s="60"/>
      <c r="G49" s="50"/>
      <c r="H49" s="61"/>
      <c r="I49" s="62"/>
      <c r="J49" s="62"/>
      <c r="K49" s="62"/>
      <c r="L49" s="62"/>
      <c r="M49" s="63"/>
      <c r="N49" s="63"/>
      <c r="O49" s="63"/>
      <c r="P49" s="63"/>
      <c r="Q49" s="63"/>
    </row>
    <row r="50" spans="3:17" s="49" customFormat="1" ht="15.75" x14ac:dyDescent="0.25">
      <c r="C50" s="48"/>
      <c r="D50" s="60"/>
      <c r="E50" s="60"/>
      <c r="F50" s="60"/>
      <c r="G50" s="50"/>
      <c r="H50" s="61"/>
      <c r="I50" s="62"/>
      <c r="J50" s="62"/>
      <c r="K50" s="62"/>
      <c r="L50" s="62"/>
      <c r="M50" s="63"/>
      <c r="N50" s="63"/>
      <c r="O50" s="63"/>
      <c r="P50" s="63"/>
      <c r="Q50" s="63"/>
    </row>
    <row r="51" spans="3:17" s="49" customFormat="1" ht="15.75" x14ac:dyDescent="0.25">
      <c r="C51" s="48"/>
      <c r="D51" s="60"/>
      <c r="E51" s="60"/>
      <c r="F51" s="60"/>
      <c r="G51" s="50"/>
      <c r="H51" s="61"/>
      <c r="I51" s="62"/>
      <c r="J51" s="62"/>
      <c r="K51" s="62"/>
      <c r="L51" s="62"/>
      <c r="M51" s="63"/>
      <c r="N51" s="63"/>
      <c r="O51" s="63"/>
      <c r="P51" s="63"/>
      <c r="Q51" s="63"/>
    </row>
    <row r="52" spans="3:17" s="49" customFormat="1" ht="15.75" x14ac:dyDescent="0.25">
      <c r="C52" s="48"/>
      <c r="D52" s="60"/>
      <c r="E52" s="60"/>
      <c r="F52" s="60"/>
      <c r="G52" s="50"/>
      <c r="H52" s="61"/>
      <c r="I52" s="62"/>
      <c r="J52" s="62"/>
      <c r="K52" s="62"/>
      <c r="L52" s="62"/>
      <c r="M52" s="63"/>
      <c r="N52" s="63"/>
      <c r="O52" s="63"/>
      <c r="P52" s="63"/>
      <c r="Q52" s="63"/>
    </row>
    <row r="53" spans="3:17" s="49" customFormat="1" ht="15.75" x14ac:dyDescent="0.25">
      <c r="C53" s="48"/>
      <c r="D53" s="60"/>
      <c r="E53" s="60"/>
      <c r="F53" s="60"/>
      <c r="G53" s="50"/>
      <c r="H53" s="61"/>
      <c r="I53" s="62"/>
      <c r="J53" s="62"/>
      <c r="K53" s="62"/>
      <c r="L53" s="62"/>
      <c r="M53" s="63"/>
      <c r="N53" s="63"/>
      <c r="O53" s="63"/>
      <c r="P53" s="63"/>
      <c r="Q53" s="63"/>
    </row>
    <row r="54" spans="3:17" s="49" customFormat="1" ht="15.75" x14ac:dyDescent="0.25">
      <c r="C54" s="48"/>
      <c r="D54" s="60"/>
      <c r="E54" s="60"/>
      <c r="F54" s="60"/>
      <c r="G54" s="50"/>
      <c r="H54" s="61"/>
      <c r="I54" s="62"/>
      <c r="J54" s="62"/>
      <c r="K54" s="62"/>
      <c r="L54" s="62"/>
      <c r="M54" s="63"/>
      <c r="N54" s="63"/>
      <c r="O54" s="63"/>
      <c r="P54" s="63"/>
      <c r="Q54" s="63"/>
    </row>
    <row r="55" spans="3:17" s="49" customFormat="1" ht="15.75" x14ac:dyDescent="0.25">
      <c r="C55" s="48"/>
      <c r="D55" s="60"/>
      <c r="E55" s="60"/>
      <c r="F55" s="60"/>
      <c r="G55" s="50"/>
      <c r="H55" s="61"/>
      <c r="I55" s="62"/>
      <c r="J55" s="62"/>
      <c r="K55" s="62"/>
      <c r="L55" s="62"/>
      <c r="M55" s="63"/>
      <c r="N55" s="63"/>
      <c r="O55" s="63"/>
      <c r="P55" s="63"/>
      <c r="Q55" s="63"/>
    </row>
    <row r="56" spans="3:17" s="49" customFormat="1" ht="15.75" x14ac:dyDescent="0.25">
      <c r="C56" s="48"/>
      <c r="D56" s="60"/>
      <c r="E56" s="60"/>
      <c r="F56" s="60"/>
      <c r="G56" s="50"/>
      <c r="H56" s="61"/>
      <c r="I56" s="62"/>
      <c r="J56" s="62"/>
      <c r="K56" s="62"/>
      <c r="L56" s="62"/>
      <c r="M56" s="63"/>
      <c r="N56" s="63"/>
      <c r="O56" s="63"/>
      <c r="P56" s="63"/>
      <c r="Q56" s="63"/>
    </row>
    <row r="57" spans="3:17" s="49" customFormat="1" ht="15.75" x14ac:dyDescent="0.25">
      <c r="C57" s="48"/>
      <c r="D57" s="60"/>
      <c r="E57" s="60"/>
      <c r="F57" s="60"/>
      <c r="G57" s="50"/>
      <c r="H57" s="61"/>
      <c r="I57" s="62"/>
      <c r="J57" s="62"/>
      <c r="K57" s="62"/>
      <c r="L57" s="62"/>
      <c r="M57" s="63"/>
      <c r="N57" s="63"/>
      <c r="O57" s="63"/>
      <c r="P57" s="63"/>
      <c r="Q57" s="63"/>
    </row>
    <row r="58" spans="3:17" s="49" customFormat="1" ht="15.75" x14ac:dyDescent="0.25">
      <c r="C58" s="48"/>
      <c r="D58" s="60"/>
      <c r="E58" s="60"/>
      <c r="F58" s="60"/>
      <c r="G58" s="50"/>
      <c r="H58" s="61"/>
      <c r="I58" s="62"/>
      <c r="J58" s="62"/>
      <c r="K58" s="62"/>
      <c r="L58" s="62"/>
      <c r="M58" s="63"/>
      <c r="N58" s="63"/>
      <c r="O58" s="63"/>
      <c r="P58" s="63"/>
      <c r="Q58" s="63"/>
    </row>
    <row r="59" spans="3:17" s="49" customFormat="1" ht="15.75" x14ac:dyDescent="0.25">
      <c r="C59" s="48"/>
      <c r="D59" s="60"/>
      <c r="E59" s="60"/>
      <c r="F59" s="60"/>
      <c r="G59" s="50"/>
      <c r="H59" s="61"/>
      <c r="I59" s="62"/>
      <c r="J59" s="62"/>
      <c r="K59" s="62"/>
      <c r="L59" s="62"/>
      <c r="M59" s="63"/>
      <c r="N59" s="63"/>
      <c r="O59" s="63"/>
      <c r="P59" s="63"/>
      <c r="Q59" s="63"/>
    </row>
    <row r="60" spans="3:17" s="49" customFormat="1" ht="15.75" x14ac:dyDescent="0.25">
      <c r="C60" s="48"/>
      <c r="D60" s="60"/>
      <c r="E60" s="60"/>
      <c r="F60" s="60"/>
      <c r="G60" s="50"/>
      <c r="H60" s="61"/>
      <c r="I60" s="62"/>
      <c r="J60" s="62"/>
      <c r="K60" s="62"/>
      <c r="L60" s="62"/>
      <c r="M60" s="63"/>
      <c r="N60" s="63"/>
      <c r="O60" s="63"/>
      <c r="P60" s="63"/>
      <c r="Q60" s="63"/>
    </row>
    <row r="61" spans="3:17" s="49" customFormat="1" ht="15.75" x14ac:dyDescent="0.25">
      <c r="C61" s="48"/>
      <c r="D61" s="60"/>
      <c r="E61" s="60"/>
      <c r="F61" s="60"/>
      <c r="G61" s="50"/>
      <c r="H61" s="61"/>
      <c r="I61" s="62"/>
      <c r="J61" s="62"/>
      <c r="K61" s="62"/>
      <c r="L61" s="62"/>
      <c r="M61" s="63"/>
      <c r="N61" s="63"/>
      <c r="O61" s="63"/>
      <c r="P61" s="63"/>
      <c r="Q61" s="63"/>
    </row>
    <row r="62" spans="3:17" s="49" customFormat="1" ht="15.75" x14ac:dyDescent="0.25">
      <c r="C62" s="48"/>
      <c r="D62" s="60"/>
      <c r="E62" s="60"/>
      <c r="F62" s="60"/>
      <c r="G62" s="50"/>
      <c r="H62" s="61"/>
      <c r="I62" s="62"/>
      <c r="J62" s="62"/>
      <c r="K62" s="62"/>
      <c r="L62" s="62"/>
      <c r="M62" s="63"/>
      <c r="N62" s="63"/>
      <c r="O62" s="63"/>
      <c r="P62" s="63"/>
      <c r="Q62" s="63"/>
    </row>
    <row r="63" spans="3:17" s="49" customFormat="1" ht="15.75" x14ac:dyDescent="0.25">
      <c r="C63" s="48"/>
      <c r="D63" s="60"/>
      <c r="E63" s="60"/>
      <c r="F63" s="60"/>
      <c r="G63" s="50"/>
      <c r="H63" s="61"/>
      <c r="I63" s="62"/>
      <c r="J63" s="62"/>
      <c r="K63" s="62"/>
      <c r="L63" s="62"/>
      <c r="M63" s="63"/>
      <c r="N63" s="63"/>
      <c r="O63" s="63"/>
      <c r="P63" s="63"/>
      <c r="Q63" s="63"/>
    </row>
    <row r="64" spans="3:17" s="49" customFormat="1" ht="15.75" x14ac:dyDescent="0.25">
      <c r="C64" s="48"/>
      <c r="D64" s="60"/>
      <c r="E64" s="60"/>
      <c r="F64" s="60"/>
      <c r="G64" s="50"/>
      <c r="H64" s="61"/>
      <c r="I64" s="62"/>
      <c r="J64" s="62"/>
      <c r="K64" s="62"/>
      <c r="L64" s="62"/>
      <c r="M64" s="63"/>
      <c r="N64" s="63"/>
      <c r="O64" s="63"/>
      <c r="P64" s="63"/>
      <c r="Q64" s="63"/>
    </row>
    <row r="65" spans="3:17" s="49" customFormat="1" ht="15.75" x14ac:dyDescent="0.25">
      <c r="C65" s="48"/>
      <c r="D65" s="60"/>
      <c r="E65" s="60"/>
      <c r="F65" s="60"/>
      <c r="G65" s="50"/>
      <c r="H65" s="61"/>
      <c r="I65" s="62"/>
      <c r="J65" s="62"/>
      <c r="K65" s="62"/>
      <c r="L65" s="62"/>
      <c r="M65" s="63"/>
      <c r="N65" s="63"/>
      <c r="O65" s="63"/>
      <c r="P65" s="63"/>
      <c r="Q65" s="63"/>
    </row>
    <row r="66" spans="3:17" s="49" customFormat="1" ht="15.75" x14ac:dyDescent="0.25">
      <c r="C66" s="48"/>
      <c r="D66" s="60"/>
      <c r="E66" s="60"/>
      <c r="F66" s="60"/>
      <c r="G66" s="50"/>
      <c r="H66" s="61"/>
      <c r="I66" s="62"/>
      <c r="J66" s="62"/>
      <c r="K66" s="62"/>
      <c r="L66" s="62"/>
      <c r="M66" s="63"/>
      <c r="N66" s="63"/>
      <c r="O66" s="63"/>
      <c r="P66" s="63"/>
      <c r="Q66" s="63"/>
    </row>
    <row r="67" spans="3:17" s="49" customFormat="1" ht="15.75" x14ac:dyDescent="0.25">
      <c r="C67" s="48"/>
      <c r="D67" s="60"/>
      <c r="E67" s="60"/>
      <c r="F67" s="60"/>
      <c r="G67" s="50"/>
      <c r="H67" s="61"/>
      <c r="I67" s="62"/>
      <c r="J67" s="62"/>
      <c r="K67" s="62"/>
      <c r="L67" s="62"/>
      <c r="M67" s="63"/>
      <c r="N67" s="63"/>
      <c r="O67" s="63"/>
      <c r="P67" s="63"/>
      <c r="Q67" s="63"/>
    </row>
    <row r="68" spans="3:17" s="49" customFormat="1" ht="15.75" x14ac:dyDescent="0.25">
      <c r="C68" s="48"/>
      <c r="D68" s="60"/>
      <c r="E68" s="60"/>
      <c r="F68" s="60"/>
      <c r="G68" s="50"/>
      <c r="H68" s="61"/>
      <c r="I68" s="62"/>
      <c r="J68" s="62"/>
      <c r="K68" s="62"/>
      <c r="L68" s="62"/>
      <c r="M68" s="63"/>
      <c r="N68" s="63"/>
      <c r="O68" s="63"/>
      <c r="P68" s="63"/>
      <c r="Q68" s="63"/>
    </row>
    <row r="69" spans="3:17" s="49" customFormat="1" ht="15.75" x14ac:dyDescent="0.25">
      <c r="C69" s="48"/>
      <c r="D69" s="60"/>
      <c r="E69" s="60"/>
      <c r="F69" s="60"/>
      <c r="G69" s="50"/>
      <c r="H69" s="61"/>
      <c r="I69" s="62"/>
      <c r="J69" s="62"/>
      <c r="K69" s="62"/>
      <c r="L69" s="62"/>
      <c r="M69" s="63"/>
      <c r="N69" s="63"/>
      <c r="O69" s="63"/>
      <c r="P69" s="63"/>
      <c r="Q69" s="63"/>
    </row>
    <row r="70" spans="3:17" s="49" customFormat="1" ht="15.75" x14ac:dyDescent="0.25">
      <c r="C70" s="48"/>
      <c r="D70" s="60"/>
      <c r="E70" s="60"/>
      <c r="F70" s="60"/>
      <c r="G70" s="50"/>
      <c r="H70" s="61"/>
      <c r="I70" s="62"/>
      <c r="J70" s="62"/>
      <c r="K70" s="62"/>
      <c r="L70" s="62"/>
      <c r="M70" s="63"/>
      <c r="N70" s="63"/>
      <c r="O70" s="63"/>
      <c r="P70" s="63"/>
      <c r="Q70" s="63"/>
    </row>
    <row r="71" spans="3:17" s="49" customFormat="1" ht="15.75" x14ac:dyDescent="0.25">
      <c r="C71" s="48"/>
      <c r="D71" s="60"/>
      <c r="E71" s="60"/>
      <c r="F71" s="60"/>
      <c r="G71" s="50"/>
      <c r="H71" s="61"/>
      <c r="I71" s="62"/>
      <c r="J71" s="62"/>
      <c r="K71" s="62"/>
      <c r="L71" s="62"/>
      <c r="M71" s="63"/>
      <c r="N71" s="63"/>
      <c r="O71" s="63"/>
      <c r="P71" s="63"/>
      <c r="Q71" s="63"/>
    </row>
    <row r="72" spans="3:17" s="49" customFormat="1" ht="15.75" x14ac:dyDescent="0.25">
      <c r="C72" s="48"/>
      <c r="D72" s="60"/>
      <c r="E72" s="60"/>
      <c r="F72" s="60"/>
      <c r="G72" s="50"/>
      <c r="H72" s="61"/>
      <c r="I72" s="62"/>
      <c r="J72" s="62"/>
      <c r="K72" s="62"/>
      <c r="L72" s="62"/>
      <c r="M72" s="63"/>
      <c r="N72" s="63"/>
      <c r="O72" s="63"/>
      <c r="P72" s="63"/>
      <c r="Q72" s="63"/>
    </row>
    <row r="73" spans="3:17" s="49" customFormat="1" ht="15.75" x14ac:dyDescent="0.25">
      <c r="C73" s="48"/>
      <c r="D73" s="60"/>
      <c r="E73" s="60"/>
      <c r="F73" s="60"/>
      <c r="G73" s="50"/>
      <c r="H73" s="61"/>
      <c r="I73" s="62"/>
      <c r="J73" s="62"/>
      <c r="K73" s="62"/>
      <c r="L73" s="62"/>
      <c r="M73" s="63"/>
      <c r="N73" s="63"/>
      <c r="O73" s="63"/>
      <c r="P73" s="63"/>
      <c r="Q73" s="63"/>
    </row>
    <row r="74" spans="3:17" s="49" customFormat="1" ht="15.75" x14ac:dyDescent="0.25">
      <c r="C74" s="48"/>
      <c r="D74" s="60"/>
      <c r="E74" s="60"/>
      <c r="F74" s="60"/>
      <c r="G74" s="50"/>
      <c r="H74" s="61"/>
      <c r="I74" s="62"/>
      <c r="J74" s="62"/>
      <c r="K74" s="62"/>
      <c r="L74" s="62"/>
      <c r="M74" s="63"/>
      <c r="N74" s="63"/>
      <c r="O74" s="63"/>
      <c r="P74" s="63"/>
      <c r="Q74" s="63"/>
    </row>
    <row r="75" spans="3:17" s="49" customFormat="1" ht="15.75" x14ac:dyDescent="0.25">
      <c r="C75" s="48"/>
      <c r="D75" s="60"/>
      <c r="E75" s="60"/>
      <c r="F75" s="60"/>
      <c r="G75" s="50"/>
      <c r="H75" s="61"/>
      <c r="I75" s="62"/>
      <c r="J75" s="62"/>
      <c r="K75" s="62"/>
      <c r="L75" s="62"/>
      <c r="M75" s="63"/>
      <c r="N75" s="63"/>
      <c r="O75" s="63"/>
      <c r="P75" s="63"/>
      <c r="Q75" s="63"/>
    </row>
    <row r="76" spans="3:17" s="49" customFormat="1" ht="15.75" x14ac:dyDescent="0.25">
      <c r="C76" s="48"/>
      <c r="D76" s="60"/>
      <c r="E76" s="60"/>
      <c r="F76" s="60"/>
      <c r="G76" s="50"/>
      <c r="H76" s="61"/>
      <c r="I76" s="62"/>
      <c r="J76" s="62"/>
      <c r="K76" s="62"/>
      <c r="L76" s="62"/>
      <c r="M76" s="63"/>
      <c r="N76" s="63"/>
      <c r="O76" s="63"/>
      <c r="P76" s="63"/>
      <c r="Q76" s="63"/>
    </row>
    <row r="77" spans="3:17" s="49" customFormat="1" ht="15.75" x14ac:dyDescent="0.25">
      <c r="C77" s="48"/>
      <c r="D77" s="60"/>
      <c r="E77" s="60"/>
      <c r="F77" s="60"/>
      <c r="G77" s="50"/>
      <c r="H77" s="61"/>
      <c r="I77" s="62"/>
      <c r="J77" s="62"/>
      <c r="K77" s="62"/>
      <c r="L77" s="62"/>
      <c r="M77" s="63"/>
      <c r="N77" s="63"/>
      <c r="O77" s="63"/>
      <c r="P77" s="63"/>
      <c r="Q77" s="63"/>
    </row>
    <row r="78" spans="3:17" s="49" customFormat="1" ht="15.75" x14ac:dyDescent="0.25">
      <c r="C78" s="48"/>
      <c r="D78" s="60"/>
      <c r="E78" s="60"/>
      <c r="F78" s="60"/>
      <c r="G78" s="50"/>
      <c r="H78" s="61"/>
      <c r="I78" s="62"/>
      <c r="J78" s="62"/>
      <c r="K78" s="62"/>
      <c r="L78" s="62"/>
      <c r="M78" s="63"/>
      <c r="N78" s="63"/>
      <c r="O78" s="63"/>
      <c r="P78" s="63"/>
      <c r="Q78" s="63"/>
    </row>
    <row r="79" spans="3:17" s="49" customFormat="1" ht="15.75" x14ac:dyDescent="0.25">
      <c r="C79" s="48"/>
      <c r="D79" s="60"/>
      <c r="E79" s="60"/>
      <c r="F79" s="60"/>
      <c r="G79" s="50"/>
      <c r="H79" s="61"/>
      <c r="I79" s="62"/>
      <c r="J79" s="62"/>
      <c r="K79" s="62"/>
      <c r="L79" s="62"/>
      <c r="M79" s="63"/>
      <c r="N79" s="63"/>
      <c r="O79" s="63"/>
      <c r="P79" s="63"/>
      <c r="Q79" s="63"/>
    </row>
    <row r="80" spans="3:17" s="49" customFormat="1" ht="15.75" x14ac:dyDescent="0.25">
      <c r="C80" s="48"/>
      <c r="D80" s="60"/>
      <c r="E80" s="60"/>
      <c r="F80" s="60"/>
      <c r="G80" s="50"/>
      <c r="H80" s="61"/>
      <c r="I80" s="62"/>
      <c r="J80" s="62"/>
      <c r="K80" s="62"/>
      <c r="L80" s="62"/>
      <c r="M80" s="63"/>
      <c r="N80" s="63"/>
      <c r="O80" s="63"/>
      <c r="P80" s="63"/>
      <c r="Q80" s="63"/>
    </row>
    <row r="81" spans="3:17" s="49" customFormat="1" ht="15.75" x14ac:dyDescent="0.25">
      <c r="C81" s="48"/>
      <c r="D81" s="60"/>
      <c r="E81" s="60"/>
      <c r="F81" s="60"/>
      <c r="G81" s="50"/>
      <c r="H81" s="61"/>
      <c r="I81" s="62"/>
      <c r="J81" s="62"/>
      <c r="K81" s="62"/>
      <c r="L81" s="62"/>
      <c r="M81" s="63"/>
      <c r="N81" s="63"/>
      <c r="O81" s="63"/>
      <c r="P81" s="63"/>
      <c r="Q81" s="63"/>
    </row>
    <row r="82" spans="3:17" s="49" customFormat="1" ht="15.75" x14ac:dyDescent="0.25">
      <c r="C82" s="48"/>
      <c r="D82" s="60"/>
      <c r="E82" s="60"/>
      <c r="F82" s="60"/>
      <c r="G82" s="50"/>
      <c r="H82" s="61"/>
      <c r="I82" s="62"/>
      <c r="J82" s="62"/>
      <c r="K82" s="62"/>
      <c r="L82" s="62"/>
      <c r="M82" s="63"/>
      <c r="N82" s="63"/>
      <c r="O82" s="63"/>
      <c r="P82" s="63"/>
      <c r="Q82" s="63"/>
    </row>
    <row r="83" spans="3:17" s="49" customFormat="1" ht="15.75" x14ac:dyDescent="0.25">
      <c r="C83" s="48"/>
      <c r="D83" s="60"/>
      <c r="E83" s="60"/>
      <c r="F83" s="60"/>
      <c r="G83" s="50"/>
      <c r="H83" s="61"/>
      <c r="I83" s="62"/>
      <c r="J83" s="62"/>
      <c r="K83" s="62"/>
      <c r="L83" s="62"/>
      <c r="M83" s="63"/>
      <c r="N83" s="63"/>
      <c r="O83" s="63"/>
      <c r="P83" s="63"/>
      <c r="Q83" s="63"/>
    </row>
    <row r="84" spans="3:17" s="49" customFormat="1" ht="15.75" x14ac:dyDescent="0.25">
      <c r="C84" s="48"/>
      <c r="D84" s="60"/>
      <c r="E84" s="60"/>
      <c r="F84" s="60"/>
      <c r="G84" s="50"/>
      <c r="H84" s="61"/>
      <c r="I84" s="62"/>
      <c r="J84" s="62"/>
      <c r="K84" s="62"/>
      <c r="L84" s="62"/>
      <c r="M84" s="63"/>
      <c r="N84" s="63"/>
      <c r="O84" s="63"/>
      <c r="P84" s="63"/>
      <c r="Q84" s="63"/>
    </row>
    <row r="85" spans="3:17" s="49" customFormat="1" ht="15.75" x14ac:dyDescent="0.25">
      <c r="C85" s="48"/>
      <c r="D85" s="60"/>
      <c r="E85" s="60"/>
      <c r="F85" s="60"/>
      <c r="G85" s="50"/>
      <c r="H85" s="61"/>
      <c r="I85" s="62"/>
      <c r="J85" s="62"/>
      <c r="K85" s="62"/>
      <c r="L85" s="62"/>
      <c r="M85" s="63"/>
      <c r="N85" s="63"/>
      <c r="O85" s="63"/>
      <c r="P85" s="63"/>
      <c r="Q85" s="63"/>
    </row>
    <row r="86" spans="3:17" s="49" customFormat="1" ht="15.75" x14ac:dyDescent="0.25">
      <c r="C86" s="48"/>
      <c r="D86" s="60"/>
      <c r="E86" s="60"/>
      <c r="F86" s="60"/>
      <c r="G86" s="50"/>
      <c r="H86" s="61"/>
      <c r="I86" s="62"/>
      <c r="J86" s="62"/>
      <c r="K86" s="62"/>
      <c r="L86" s="62"/>
      <c r="M86" s="63"/>
      <c r="N86" s="63"/>
      <c r="O86" s="63"/>
      <c r="P86" s="63"/>
      <c r="Q86" s="63"/>
    </row>
    <row r="87" spans="3:17" s="49" customFormat="1" ht="15.75" x14ac:dyDescent="0.25">
      <c r="C87" s="48"/>
      <c r="D87" s="60"/>
      <c r="E87" s="60"/>
      <c r="F87" s="60"/>
      <c r="G87" s="50"/>
      <c r="H87" s="61"/>
      <c r="I87" s="44"/>
      <c r="J87" s="44"/>
      <c r="K87" s="44"/>
      <c r="L87" s="44"/>
      <c r="M87" s="64"/>
      <c r="N87" s="64"/>
    </row>
    <row r="88" spans="3:17" s="49" customFormat="1" ht="15.75" x14ac:dyDescent="0.25">
      <c r="C88" s="48"/>
      <c r="D88" s="60"/>
      <c r="E88" s="60"/>
      <c r="F88" s="60"/>
      <c r="G88" s="50"/>
      <c r="H88" s="61"/>
      <c r="I88" s="44"/>
      <c r="J88" s="44"/>
      <c r="K88" s="44"/>
      <c r="L88" s="44"/>
      <c r="M88" s="64"/>
      <c r="N88" s="64"/>
    </row>
    <row r="89" spans="3:17" s="49" customFormat="1" ht="15.75" x14ac:dyDescent="0.25">
      <c r="C89" s="48"/>
      <c r="D89" s="60"/>
      <c r="E89" s="60"/>
      <c r="F89" s="60"/>
      <c r="G89" s="50"/>
      <c r="H89" s="61"/>
      <c r="I89" s="44"/>
      <c r="J89" s="44"/>
      <c r="K89" s="44"/>
      <c r="L89" s="44"/>
      <c r="M89" s="64"/>
      <c r="N89" s="64"/>
    </row>
    <row r="90" spans="3:17" s="49" customFormat="1" ht="15.75" x14ac:dyDescent="0.25">
      <c r="C90" s="48"/>
      <c r="D90" s="60"/>
      <c r="E90" s="60"/>
      <c r="F90" s="60"/>
      <c r="G90" s="50"/>
      <c r="H90" s="61"/>
      <c r="I90" s="44"/>
      <c r="J90" s="44"/>
      <c r="K90" s="44"/>
      <c r="L90" s="44"/>
      <c r="M90" s="64"/>
      <c r="N90" s="64"/>
    </row>
    <row r="91" spans="3:17" s="49" customFormat="1" ht="15.75" x14ac:dyDescent="0.25">
      <c r="C91" s="48"/>
      <c r="D91" s="60"/>
      <c r="E91" s="60"/>
      <c r="F91" s="60"/>
      <c r="G91" s="50"/>
      <c r="H91" s="61"/>
      <c r="I91" s="44"/>
      <c r="J91" s="44"/>
      <c r="K91" s="44"/>
      <c r="L91" s="44"/>
      <c r="M91" s="64"/>
      <c r="N91" s="64"/>
    </row>
    <row r="92" spans="3:17" s="49" customFormat="1" ht="15.75" x14ac:dyDescent="0.25">
      <c r="C92" s="48"/>
      <c r="D92" s="60"/>
      <c r="E92" s="60"/>
      <c r="F92" s="60"/>
      <c r="G92" s="50"/>
      <c r="H92" s="61"/>
      <c r="I92" s="44"/>
      <c r="J92" s="44"/>
      <c r="K92" s="44"/>
      <c r="L92" s="44"/>
      <c r="M92" s="64"/>
      <c r="N92" s="64"/>
    </row>
    <row r="93" spans="3:17" s="49" customFormat="1" ht="15.75" x14ac:dyDescent="0.25">
      <c r="C93" s="48"/>
      <c r="D93" s="60"/>
      <c r="E93" s="60"/>
      <c r="F93" s="60"/>
      <c r="G93" s="50"/>
      <c r="H93" s="61"/>
      <c r="I93" s="44"/>
      <c r="J93" s="44"/>
      <c r="K93" s="44"/>
      <c r="L93" s="44"/>
      <c r="M93" s="64"/>
      <c r="N93" s="64"/>
    </row>
    <row r="94" spans="3:17" s="49" customFormat="1" ht="15.75" x14ac:dyDescent="0.25">
      <c r="C94" s="48"/>
      <c r="D94" s="60"/>
      <c r="E94" s="60"/>
      <c r="F94" s="60"/>
      <c r="G94" s="50"/>
      <c r="H94" s="61"/>
      <c r="I94" s="44"/>
      <c r="J94" s="44"/>
      <c r="K94" s="44"/>
      <c r="L94" s="44"/>
      <c r="M94" s="64"/>
      <c r="N94" s="64"/>
    </row>
    <row r="95" spans="3:17" s="49" customFormat="1" ht="15.75" x14ac:dyDescent="0.25">
      <c r="C95" s="48"/>
      <c r="D95" s="60"/>
      <c r="E95" s="60"/>
      <c r="F95" s="60"/>
      <c r="G95" s="50"/>
      <c r="H95" s="61"/>
      <c r="I95" s="44"/>
      <c r="J95" s="44"/>
      <c r="K95" s="44"/>
      <c r="L95" s="44"/>
      <c r="M95" s="64"/>
      <c r="N95" s="64"/>
    </row>
    <row r="96" spans="3:17" s="49" customFormat="1" ht="15.75" x14ac:dyDescent="0.25">
      <c r="C96" s="48"/>
      <c r="D96" s="60"/>
      <c r="E96" s="60"/>
      <c r="F96" s="60"/>
      <c r="G96" s="50"/>
      <c r="H96" s="61"/>
      <c r="I96" s="44"/>
      <c r="J96" s="44"/>
      <c r="K96" s="44"/>
      <c r="L96" s="44"/>
      <c r="M96" s="64"/>
      <c r="N96" s="64"/>
    </row>
    <row r="97" spans="3:14" s="49" customFormat="1" ht="15.75" x14ac:dyDescent="0.25">
      <c r="C97" s="48"/>
      <c r="D97" s="60"/>
      <c r="E97" s="60"/>
      <c r="F97" s="60"/>
      <c r="G97" s="50"/>
      <c r="H97" s="61"/>
      <c r="I97" s="44"/>
      <c r="J97" s="44"/>
      <c r="K97" s="44"/>
      <c r="L97" s="44"/>
      <c r="M97" s="64"/>
      <c r="N97" s="64"/>
    </row>
    <row r="98" spans="3:14" s="49" customFormat="1" ht="15.75" x14ac:dyDescent="0.25">
      <c r="C98" s="48"/>
      <c r="D98" s="60"/>
      <c r="E98" s="60"/>
      <c r="F98" s="60"/>
      <c r="G98" s="50"/>
      <c r="H98" s="61"/>
      <c r="I98" s="44"/>
      <c r="J98" s="44"/>
      <c r="K98" s="44"/>
      <c r="L98" s="44"/>
      <c r="M98" s="64"/>
      <c r="N98" s="64"/>
    </row>
    <row r="99" spans="3:14" s="49" customFormat="1" ht="15.75" x14ac:dyDescent="0.25">
      <c r="C99" s="48"/>
      <c r="D99" s="60"/>
      <c r="E99" s="60"/>
      <c r="F99" s="60"/>
      <c r="G99" s="50"/>
      <c r="H99" s="61"/>
      <c r="I99" s="44"/>
      <c r="J99" s="44"/>
      <c r="K99" s="44"/>
      <c r="L99" s="44"/>
      <c r="M99" s="64"/>
      <c r="N99" s="64"/>
    </row>
    <row r="100" spans="3:14" s="49" customFormat="1" ht="15.75" x14ac:dyDescent="0.25">
      <c r="C100" s="48"/>
      <c r="D100" s="60"/>
      <c r="E100" s="60"/>
      <c r="F100" s="60"/>
      <c r="G100" s="50"/>
      <c r="H100" s="61"/>
      <c r="I100" s="44"/>
      <c r="J100" s="44"/>
      <c r="K100" s="44"/>
      <c r="L100" s="44"/>
      <c r="M100" s="64"/>
      <c r="N100" s="64"/>
    </row>
    <row r="101" spans="3:14" s="49" customFormat="1" ht="15.75" x14ac:dyDescent="0.25">
      <c r="C101" s="48"/>
      <c r="D101" s="60"/>
      <c r="E101" s="60"/>
      <c r="F101" s="60"/>
      <c r="G101" s="50"/>
      <c r="H101" s="61"/>
      <c r="I101" s="44"/>
      <c r="J101" s="44"/>
      <c r="K101" s="44"/>
      <c r="L101" s="44"/>
      <c r="M101" s="64"/>
      <c r="N101" s="64"/>
    </row>
    <row r="102" spans="3:14" s="49" customFormat="1" ht="15.75" x14ac:dyDescent="0.25">
      <c r="C102" s="48"/>
      <c r="D102" s="60"/>
      <c r="E102" s="60"/>
      <c r="F102" s="60"/>
      <c r="G102" s="50"/>
      <c r="H102" s="61"/>
      <c r="I102" s="44"/>
      <c r="J102" s="44"/>
      <c r="K102" s="44"/>
      <c r="L102" s="44"/>
      <c r="M102" s="64"/>
      <c r="N102" s="64"/>
    </row>
    <row r="103" spans="3:14" s="49" customFormat="1" ht="15.75" x14ac:dyDescent="0.25">
      <c r="C103" s="48"/>
      <c r="D103" s="60"/>
      <c r="E103" s="60"/>
      <c r="F103" s="60"/>
      <c r="G103" s="50"/>
      <c r="H103" s="61"/>
      <c r="I103" s="44"/>
      <c r="J103" s="44"/>
      <c r="K103" s="44"/>
      <c r="L103" s="44"/>
      <c r="M103" s="64"/>
      <c r="N103" s="64"/>
    </row>
    <row r="104" spans="3:14" s="49" customFormat="1" ht="15.75" x14ac:dyDescent="0.25">
      <c r="C104" s="48"/>
      <c r="D104" s="60"/>
      <c r="E104" s="60"/>
      <c r="F104" s="60"/>
      <c r="G104" s="50"/>
      <c r="H104" s="61"/>
      <c r="I104" s="44"/>
      <c r="J104" s="44"/>
      <c r="K104" s="44"/>
      <c r="L104" s="44"/>
      <c r="M104" s="64"/>
      <c r="N104" s="64"/>
    </row>
    <row r="105" spans="3:14" s="49" customFormat="1" ht="15.75" x14ac:dyDescent="0.25">
      <c r="C105" s="48"/>
      <c r="D105" s="60"/>
      <c r="E105" s="60"/>
      <c r="F105" s="60"/>
      <c r="G105" s="50"/>
      <c r="H105" s="61"/>
      <c r="I105" s="44"/>
      <c r="J105" s="44"/>
      <c r="K105" s="44"/>
      <c r="L105" s="44"/>
      <c r="M105" s="64"/>
      <c r="N105" s="64"/>
    </row>
    <row r="106" spans="3:14" s="49" customFormat="1" ht="15.75" x14ac:dyDescent="0.25">
      <c r="C106" s="48"/>
      <c r="D106" s="60"/>
      <c r="E106" s="60"/>
      <c r="F106" s="60"/>
      <c r="G106" s="50"/>
      <c r="H106" s="61"/>
      <c r="I106" s="44"/>
      <c r="J106" s="44"/>
      <c r="K106" s="44"/>
      <c r="L106" s="44"/>
      <c r="M106" s="64"/>
      <c r="N106" s="64"/>
    </row>
    <row r="107" spans="3:14" s="49" customFormat="1" ht="15.75" x14ac:dyDescent="0.25">
      <c r="C107" s="48"/>
      <c r="D107" s="60"/>
      <c r="E107" s="60"/>
      <c r="F107" s="60"/>
      <c r="G107" s="50"/>
      <c r="H107" s="61"/>
      <c r="I107" s="44"/>
      <c r="J107" s="44"/>
      <c r="K107" s="44"/>
      <c r="L107" s="44"/>
      <c r="M107" s="64"/>
      <c r="N107" s="64"/>
    </row>
    <row r="108" spans="3:14" s="49" customFormat="1" ht="15.75" x14ac:dyDescent="0.25">
      <c r="C108" s="48"/>
      <c r="D108" s="60"/>
      <c r="E108" s="60"/>
      <c r="F108" s="60"/>
      <c r="G108" s="50"/>
      <c r="H108" s="61"/>
      <c r="I108" s="44"/>
      <c r="J108" s="44"/>
      <c r="K108" s="44"/>
      <c r="L108" s="44"/>
      <c r="M108" s="64"/>
      <c r="N108" s="64"/>
    </row>
    <row r="109" spans="3:14" s="49" customFormat="1" ht="15.75" x14ac:dyDescent="0.25">
      <c r="C109" s="48"/>
      <c r="D109" s="60"/>
      <c r="E109" s="60"/>
      <c r="F109" s="60"/>
      <c r="G109" s="50"/>
      <c r="H109" s="61"/>
      <c r="I109" s="44"/>
      <c r="J109" s="44"/>
      <c r="K109" s="44"/>
      <c r="L109" s="44"/>
      <c r="M109" s="64"/>
      <c r="N109" s="64"/>
    </row>
    <row r="110" spans="3:14" s="49" customFormat="1" ht="15.75" x14ac:dyDescent="0.25">
      <c r="C110" s="48"/>
      <c r="D110" s="60"/>
      <c r="E110" s="60"/>
      <c r="F110" s="60"/>
      <c r="G110" s="50"/>
      <c r="H110" s="61"/>
      <c r="I110" s="44"/>
      <c r="J110" s="44"/>
      <c r="K110" s="44"/>
      <c r="L110" s="44"/>
      <c r="M110" s="64"/>
      <c r="N110" s="64"/>
    </row>
    <row r="111" spans="3:14" s="49" customFormat="1" ht="15.75" x14ac:dyDescent="0.25">
      <c r="C111" s="48"/>
      <c r="D111" s="60"/>
      <c r="E111" s="60"/>
      <c r="F111" s="60"/>
      <c r="G111" s="50"/>
      <c r="H111" s="61"/>
      <c r="I111" s="44"/>
      <c r="J111" s="44"/>
      <c r="K111" s="44"/>
      <c r="L111" s="44"/>
      <c r="M111" s="64"/>
      <c r="N111" s="64"/>
    </row>
    <row r="112" spans="3:14" s="49" customFormat="1" ht="15.75" x14ac:dyDescent="0.25">
      <c r="C112" s="48"/>
      <c r="D112" s="60"/>
      <c r="E112" s="60"/>
      <c r="F112" s="60"/>
      <c r="G112" s="50"/>
      <c r="H112" s="61"/>
      <c r="I112" s="44"/>
      <c r="J112" s="44"/>
      <c r="K112" s="44"/>
      <c r="L112" s="44"/>
      <c r="M112" s="64"/>
      <c r="N112" s="64"/>
    </row>
    <row r="113" spans="3:14" s="49" customFormat="1" ht="15.75" x14ac:dyDescent="0.25">
      <c r="C113" s="48"/>
      <c r="D113" s="60"/>
      <c r="E113" s="60"/>
      <c r="F113" s="60"/>
      <c r="G113" s="50"/>
      <c r="H113" s="61"/>
      <c r="I113" s="44"/>
      <c r="J113" s="44"/>
      <c r="K113" s="44"/>
      <c r="L113" s="44"/>
      <c r="M113" s="64"/>
      <c r="N113" s="64"/>
    </row>
    <row r="114" spans="3:14" s="49" customFormat="1" ht="15.75" x14ac:dyDescent="0.25">
      <c r="C114" s="48"/>
      <c r="D114" s="60"/>
      <c r="E114" s="60"/>
      <c r="F114" s="60"/>
      <c r="G114" s="50"/>
      <c r="H114" s="61"/>
      <c r="I114" s="44"/>
      <c r="J114" s="44"/>
      <c r="K114" s="44"/>
      <c r="L114" s="44"/>
      <c r="M114" s="64"/>
      <c r="N114" s="64"/>
    </row>
    <row r="115" spans="3:14" s="49" customFormat="1" ht="15.75" x14ac:dyDescent="0.25">
      <c r="C115" s="48"/>
      <c r="D115" s="60"/>
      <c r="E115" s="60"/>
      <c r="F115" s="60"/>
      <c r="G115" s="50"/>
      <c r="H115" s="61"/>
      <c r="I115" s="44"/>
      <c r="J115" s="44"/>
      <c r="K115" s="44"/>
      <c r="L115" s="44"/>
      <c r="M115" s="64"/>
      <c r="N115" s="64"/>
    </row>
    <row r="116" spans="3:14" s="49" customFormat="1" ht="15.75" x14ac:dyDescent="0.25">
      <c r="C116" s="48"/>
      <c r="D116" s="60"/>
      <c r="E116" s="60"/>
      <c r="F116" s="60"/>
      <c r="G116" s="50"/>
      <c r="H116" s="61"/>
      <c r="I116" s="44"/>
      <c r="J116" s="44"/>
      <c r="K116" s="44"/>
      <c r="L116" s="44"/>
      <c r="M116" s="64"/>
      <c r="N116" s="64"/>
    </row>
    <row r="117" spans="3:14" s="49" customFormat="1" ht="15.75" x14ac:dyDescent="0.25">
      <c r="C117" s="48"/>
      <c r="D117" s="60"/>
      <c r="E117" s="60"/>
      <c r="F117" s="60"/>
      <c r="G117" s="50"/>
      <c r="H117" s="61"/>
      <c r="I117" s="44"/>
      <c r="J117" s="44"/>
      <c r="K117" s="44"/>
      <c r="L117" s="44"/>
      <c r="M117" s="64"/>
      <c r="N117" s="64"/>
    </row>
    <row r="118" spans="3:14" s="49" customFormat="1" ht="15.75" x14ac:dyDescent="0.25">
      <c r="C118" s="48"/>
      <c r="D118" s="60"/>
      <c r="E118" s="60"/>
      <c r="F118" s="60"/>
      <c r="G118" s="50"/>
      <c r="H118" s="61"/>
      <c r="I118" s="44"/>
      <c r="J118" s="44"/>
      <c r="K118" s="44"/>
      <c r="L118" s="44"/>
      <c r="M118" s="64"/>
      <c r="N118" s="64"/>
    </row>
    <row r="119" spans="3:14" s="49" customFormat="1" ht="15.75" x14ac:dyDescent="0.25">
      <c r="C119" s="48"/>
      <c r="D119" s="60"/>
      <c r="E119" s="60"/>
      <c r="F119" s="60"/>
      <c r="G119" s="50"/>
      <c r="H119" s="61"/>
      <c r="I119" s="44"/>
      <c r="J119" s="44"/>
      <c r="K119" s="44"/>
      <c r="L119" s="44"/>
      <c r="M119" s="64"/>
      <c r="N119" s="64"/>
    </row>
    <row r="120" spans="3:14" s="49" customFormat="1" ht="15.75" x14ac:dyDescent="0.25">
      <c r="C120" s="48"/>
      <c r="D120" s="60"/>
      <c r="E120" s="60"/>
      <c r="F120" s="60"/>
      <c r="G120" s="50"/>
      <c r="H120" s="61"/>
      <c r="I120" s="44"/>
      <c r="J120" s="44"/>
      <c r="K120" s="44"/>
      <c r="L120" s="44"/>
      <c r="M120" s="64"/>
      <c r="N120" s="64"/>
    </row>
    <row r="121" spans="3:14" s="49" customFormat="1" ht="15.75" x14ac:dyDescent="0.25">
      <c r="C121" s="48"/>
      <c r="D121" s="60"/>
      <c r="E121" s="60"/>
      <c r="F121" s="60"/>
      <c r="G121" s="50"/>
      <c r="H121" s="61"/>
      <c r="I121" s="44"/>
      <c r="J121" s="44"/>
      <c r="K121" s="44"/>
      <c r="L121" s="44"/>
      <c r="M121" s="64"/>
      <c r="N121" s="64"/>
    </row>
    <row r="122" spans="3:14" s="49" customFormat="1" ht="15.75" x14ac:dyDescent="0.25">
      <c r="C122" s="48"/>
      <c r="D122" s="60"/>
      <c r="E122" s="60"/>
      <c r="F122" s="60"/>
      <c r="G122" s="50"/>
      <c r="H122" s="61"/>
      <c r="I122" s="44"/>
      <c r="J122" s="44"/>
      <c r="K122" s="44"/>
      <c r="L122" s="44"/>
      <c r="M122" s="64"/>
      <c r="N122" s="64"/>
    </row>
    <row r="123" spans="3:14" s="49" customFormat="1" ht="15.75" x14ac:dyDescent="0.25">
      <c r="C123" s="48"/>
      <c r="D123" s="60"/>
      <c r="E123" s="60"/>
      <c r="F123" s="60"/>
      <c r="G123" s="50"/>
      <c r="H123" s="61"/>
      <c r="I123" s="44"/>
      <c r="J123" s="44"/>
      <c r="K123" s="44"/>
      <c r="L123" s="44"/>
      <c r="M123" s="64"/>
      <c r="N123" s="64"/>
    </row>
    <row r="124" spans="3:14" s="49" customFormat="1" ht="15.75" x14ac:dyDescent="0.25">
      <c r="C124" s="48"/>
      <c r="D124" s="60"/>
      <c r="E124" s="60"/>
      <c r="F124" s="60"/>
      <c r="G124" s="50"/>
      <c r="H124" s="61"/>
      <c r="I124" s="44"/>
      <c r="J124" s="44"/>
      <c r="K124" s="44"/>
      <c r="L124" s="44"/>
      <c r="M124" s="64"/>
      <c r="N124" s="64"/>
    </row>
    <row r="125" spans="3:14" s="49" customFormat="1" ht="15.75" x14ac:dyDescent="0.25">
      <c r="C125" s="48"/>
      <c r="D125" s="60"/>
      <c r="E125" s="60"/>
      <c r="F125" s="60"/>
      <c r="G125" s="50"/>
      <c r="H125" s="61"/>
      <c r="I125" s="44"/>
      <c r="J125" s="44"/>
      <c r="K125" s="44"/>
      <c r="L125" s="44"/>
      <c r="M125" s="64"/>
      <c r="N125" s="64"/>
    </row>
    <row r="126" spans="3:14" s="49" customFormat="1" ht="15.75" x14ac:dyDescent="0.25">
      <c r="C126" s="48"/>
      <c r="D126" s="60"/>
      <c r="E126" s="60"/>
      <c r="F126" s="60"/>
      <c r="G126" s="50"/>
      <c r="H126" s="61"/>
      <c r="I126" s="44"/>
      <c r="J126" s="44"/>
      <c r="K126" s="44"/>
      <c r="L126" s="44"/>
      <c r="M126" s="64"/>
      <c r="N126" s="64"/>
    </row>
    <row r="127" spans="3:14" s="49" customFormat="1" ht="15.75" x14ac:dyDescent="0.25">
      <c r="C127" s="48"/>
      <c r="D127" s="60"/>
      <c r="E127" s="60"/>
      <c r="F127" s="60"/>
      <c r="G127" s="50"/>
      <c r="H127" s="61"/>
      <c r="I127" s="44"/>
      <c r="J127" s="44"/>
      <c r="K127" s="44"/>
      <c r="L127" s="44"/>
      <c r="M127" s="64"/>
      <c r="N127" s="64"/>
    </row>
    <row r="128" spans="3:14" s="49" customFormat="1" ht="15.75" x14ac:dyDescent="0.25">
      <c r="C128" s="48"/>
      <c r="D128" s="60"/>
      <c r="E128" s="60"/>
      <c r="F128" s="60"/>
      <c r="G128" s="50"/>
      <c r="H128" s="61"/>
      <c r="I128" s="44"/>
      <c r="J128" s="44"/>
      <c r="K128" s="44"/>
      <c r="L128" s="44"/>
      <c r="M128" s="64"/>
      <c r="N128" s="64"/>
    </row>
    <row r="129" spans="3:18" s="49" customFormat="1" ht="15.75" x14ac:dyDescent="0.25">
      <c r="C129" s="48"/>
      <c r="D129" s="60"/>
      <c r="E129" s="60"/>
      <c r="F129" s="60"/>
      <c r="G129" s="50"/>
      <c r="H129" s="61"/>
      <c r="I129" s="44"/>
      <c r="J129" s="44"/>
      <c r="K129" s="44"/>
      <c r="L129" s="44"/>
      <c r="M129" s="64"/>
      <c r="N129" s="64"/>
    </row>
    <row r="130" spans="3:18" s="49" customFormat="1" ht="15.75" x14ac:dyDescent="0.25">
      <c r="C130" s="48"/>
      <c r="D130" s="60"/>
      <c r="E130" s="60"/>
      <c r="F130" s="60"/>
      <c r="G130" s="50"/>
      <c r="H130" s="61"/>
      <c r="I130" s="44"/>
      <c r="J130" s="44"/>
      <c r="K130" s="44"/>
      <c r="L130" s="44"/>
      <c r="M130" s="64"/>
      <c r="N130" s="64"/>
    </row>
    <row r="131" spans="3:18" ht="15" x14ac:dyDescent="0.25">
      <c r="D131" s="65"/>
      <c r="E131" s="65"/>
      <c r="F131" s="65"/>
      <c r="R131" s="49"/>
    </row>
    <row r="132" spans="3:18" ht="15" x14ac:dyDescent="0.25">
      <c r="D132" s="65"/>
      <c r="E132" s="65"/>
      <c r="F132" s="65"/>
      <c r="R132" s="49"/>
    </row>
    <row r="133" spans="3:18" ht="15" x14ac:dyDescent="0.25">
      <c r="D133" s="65"/>
      <c r="E133" s="65"/>
      <c r="F133" s="65"/>
      <c r="R133" s="49"/>
    </row>
    <row r="134" spans="3:18" ht="15" x14ac:dyDescent="0.25">
      <c r="D134" s="65"/>
      <c r="E134" s="65"/>
      <c r="F134" s="65"/>
      <c r="R134" s="49"/>
    </row>
    <row r="135" spans="3:18" ht="15" x14ac:dyDescent="0.25">
      <c r="D135" s="65"/>
      <c r="E135" s="65"/>
      <c r="F135" s="65"/>
      <c r="R135" s="49"/>
    </row>
    <row r="136" spans="3:18" ht="15" x14ac:dyDescent="0.25">
      <c r="D136" s="65"/>
      <c r="E136" s="65"/>
      <c r="F136" s="65"/>
      <c r="R136" s="49"/>
    </row>
    <row r="137" spans="3:18" ht="15" x14ac:dyDescent="0.25">
      <c r="D137" s="65"/>
      <c r="E137" s="65"/>
      <c r="F137" s="65"/>
      <c r="R137" s="49"/>
    </row>
    <row r="138" spans="3:18" ht="15" x14ac:dyDescent="0.25">
      <c r="D138" s="65"/>
      <c r="E138" s="65"/>
      <c r="F138" s="65"/>
      <c r="R138" s="49"/>
    </row>
    <row r="139" spans="3:18" ht="15" x14ac:dyDescent="0.25">
      <c r="D139" s="65"/>
      <c r="E139" s="65"/>
      <c r="F139" s="65"/>
      <c r="R139" s="49"/>
    </row>
    <row r="140" spans="3:18" s="39" customFormat="1" ht="15" x14ac:dyDescent="0.25">
      <c r="C140" s="37"/>
      <c r="D140" s="65"/>
      <c r="E140" s="65"/>
      <c r="F140" s="65"/>
      <c r="H140" s="40"/>
      <c r="I140" s="41"/>
      <c r="J140" s="41"/>
      <c r="K140" s="41"/>
      <c r="L140" s="41"/>
      <c r="M140" s="42"/>
      <c r="N140" s="42"/>
      <c r="O140" s="38"/>
      <c r="P140" s="38"/>
      <c r="Q140" s="38"/>
      <c r="R140" s="49"/>
    </row>
    <row r="141" spans="3:18" s="39" customFormat="1" ht="15" x14ac:dyDescent="0.25">
      <c r="C141" s="37"/>
      <c r="D141" s="65"/>
      <c r="E141" s="65"/>
      <c r="F141" s="65"/>
      <c r="H141" s="40"/>
      <c r="I141" s="41"/>
      <c r="J141" s="41"/>
      <c r="K141" s="41"/>
      <c r="L141" s="41"/>
      <c r="M141" s="42"/>
      <c r="N141" s="42"/>
      <c r="O141" s="38"/>
      <c r="P141" s="38"/>
      <c r="Q141" s="38"/>
      <c r="R141" s="49"/>
    </row>
    <row r="142" spans="3:18" s="39" customFormat="1" ht="15" x14ac:dyDescent="0.25">
      <c r="C142" s="37"/>
      <c r="D142" s="65"/>
      <c r="E142" s="65"/>
      <c r="F142" s="65"/>
      <c r="H142" s="40"/>
      <c r="I142" s="41"/>
      <c r="J142" s="41"/>
      <c r="K142" s="41"/>
      <c r="L142" s="41"/>
      <c r="M142" s="42"/>
      <c r="N142" s="42"/>
      <c r="O142" s="38"/>
      <c r="P142" s="38"/>
      <c r="Q142" s="38"/>
      <c r="R142" s="49"/>
    </row>
    <row r="143" spans="3:18" s="39" customFormat="1" ht="15" x14ac:dyDescent="0.25">
      <c r="C143" s="37"/>
      <c r="D143" s="65"/>
      <c r="E143" s="65"/>
      <c r="F143" s="65"/>
      <c r="H143" s="40"/>
      <c r="I143" s="41"/>
      <c r="J143" s="41"/>
      <c r="K143" s="41"/>
      <c r="L143" s="41"/>
      <c r="M143" s="42"/>
      <c r="N143" s="42"/>
      <c r="O143" s="38"/>
      <c r="P143" s="38"/>
      <c r="Q143" s="38"/>
      <c r="R143" s="49"/>
    </row>
    <row r="144" spans="3:18" s="39" customFormat="1" ht="15" x14ac:dyDescent="0.25">
      <c r="C144" s="37"/>
      <c r="D144" s="65"/>
      <c r="E144" s="65"/>
      <c r="F144" s="65"/>
      <c r="H144" s="40"/>
      <c r="I144" s="41"/>
      <c r="J144" s="41"/>
      <c r="K144" s="41"/>
      <c r="L144" s="41"/>
      <c r="M144" s="42"/>
      <c r="N144" s="42"/>
      <c r="O144" s="38"/>
      <c r="P144" s="38"/>
      <c r="Q144" s="38"/>
      <c r="R144" s="49"/>
    </row>
    <row r="145" spans="3:18" s="39" customFormat="1" ht="15" x14ac:dyDescent="0.25">
      <c r="C145" s="37"/>
      <c r="D145" s="65"/>
      <c r="E145" s="65"/>
      <c r="F145" s="65"/>
      <c r="H145" s="40"/>
      <c r="I145" s="41"/>
      <c r="J145" s="41"/>
      <c r="K145" s="41"/>
      <c r="L145" s="41"/>
      <c r="M145" s="42"/>
      <c r="N145" s="42"/>
      <c r="O145" s="38"/>
      <c r="P145" s="38"/>
      <c r="Q145" s="38"/>
      <c r="R145" s="49"/>
    </row>
    <row r="146" spans="3:18" s="39" customFormat="1" ht="15" x14ac:dyDescent="0.25">
      <c r="C146" s="37"/>
      <c r="D146" s="65"/>
      <c r="E146" s="65"/>
      <c r="F146" s="65"/>
      <c r="H146" s="40"/>
      <c r="I146" s="41"/>
      <c r="J146" s="41"/>
      <c r="K146" s="41"/>
      <c r="L146" s="41"/>
      <c r="M146" s="42"/>
      <c r="N146" s="42"/>
      <c r="O146" s="38"/>
      <c r="P146" s="38"/>
      <c r="Q146" s="38"/>
      <c r="R146" s="49"/>
    </row>
    <row r="147" spans="3:18" s="39" customFormat="1" ht="15" x14ac:dyDescent="0.25">
      <c r="C147" s="37"/>
      <c r="D147" s="65"/>
      <c r="E147" s="65"/>
      <c r="F147" s="65"/>
      <c r="H147" s="40"/>
      <c r="I147" s="41"/>
      <c r="J147" s="41"/>
      <c r="K147" s="41"/>
      <c r="L147" s="41"/>
      <c r="M147" s="42"/>
      <c r="N147" s="42"/>
      <c r="O147" s="38"/>
      <c r="P147" s="38"/>
      <c r="Q147" s="38"/>
      <c r="R147" s="49"/>
    </row>
    <row r="148" spans="3:18" s="39" customFormat="1" ht="15" x14ac:dyDescent="0.25">
      <c r="C148" s="37"/>
      <c r="D148" s="65"/>
      <c r="E148" s="65"/>
      <c r="F148" s="65"/>
      <c r="H148" s="40"/>
      <c r="I148" s="41"/>
      <c r="J148" s="41"/>
      <c r="K148" s="41"/>
      <c r="L148" s="41"/>
      <c r="M148" s="42"/>
      <c r="N148" s="42"/>
      <c r="O148" s="38"/>
      <c r="P148" s="38"/>
      <c r="Q148" s="38"/>
      <c r="R148" s="49"/>
    </row>
    <row r="149" spans="3:18" s="39" customFormat="1" ht="15" x14ac:dyDescent="0.25">
      <c r="C149" s="37"/>
      <c r="D149" s="65"/>
      <c r="E149" s="65"/>
      <c r="F149" s="65"/>
      <c r="H149" s="40"/>
      <c r="I149" s="41"/>
      <c r="J149" s="41"/>
      <c r="K149" s="41"/>
      <c r="L149" s="41"/>
      <c r="M149" s="42"/>
      <c r="N149" s="42"/>
      <c r="O149" s="38"/>
      <c r="P149" s="38"/>
      <c r="Q149" s="38"/>
      <c r="R149" s="49"/>
    </row>
    <row r="150" spans="3:18" s="39" customFormat="1" ht="15" x14ac:dyDescent="0.25">
      <c r="C150" s="37"/>
      <c r="D150" s="65"/>
      <c r="E150" s="65"/>
      <c r="F150" s="65"/>
      <c r="H150" s="40"/>
      <c r="I150" s="41"/>
      <c r="J150" s="41"/>
      <c r="K150" s="41"/>
      <c r="L150" s="41"/>
      <c r="M150" s="42"/>
      <c r="N150" s="42"/>
      <c r="O150" s="38"/>
      <c r="P150" s="38"/>
      <c r="Q150" s="38"/>
      <c r="R150" s="49"/>
    </row>
    <row r="151" spans="3:18" s="39" customFormat="1" ht="15" x14ac:dyDescent="0.25">
      <c r="C151" s="37"/>
      <c r="D151" s="65"/>
      <c r="E151" s="65"/>
      <c r="F151" s="65"/>
      <c r="H151" s="40"/>
      <c r="I151" s="41"/>
      <c r="J151" s="41"/>
      <c r="K151" s="41"/>
      <c r="L151" s="41"/>
      <c r="M151" s="42"/>
      <c r="N151" s="42"/>
      <c r="O151" s="38"/>
      <c r="P151" s="38"/>
      <c r="Q151" s="38"/>
      <c r="R151" s="38"/>
    </row>
    <row r="152" spans="3:18" s="39" customFormat="1" ht="15" x14ac:dyDescent="0.25">
      <c r="C152" s="37"/>
      <c r="D152" s="65"/>
      <c r="E152" s="65"/>
      <c r="F152" s="65"/>
      <c r="H152" s="40"/>
      <c r="I152" s="41"/>
      <c r="J152" s="41"/>
      <c r="K152" s="41"/>
      <c r="L152" s="41"/>
      <c r="M152" s="42"/>
      <c r="N152" s="42"/>
      <c r="O152" s="38"/>
      <c r="P152" s="38"/>
      <c r="Q152" s="38"/>
      <c r="R152" s="38"/>
    </row>
    <row r="153" spans="3:18" s="39" customFormat="1" ht="15" x14ac:dyDescent="0.25">
      <c r="C153" s="37"/>
      <c r="D153" s="65"/>
      <c r="E153" s="65"/>
      <c r="F153" s="65"/>
      <c r="H153" s="40"/>
      <c r="I153" s="41"/>
      <c r="J153" s="41"/>
      <c r="K153" s="41"/>
      <c r="L153" s="41"/>
      <c r="M153" s="42"/>
      <c r="N153" s="42"/>
      <c r="O153" s="38"/>
      <c r="P153" s="38"/>
      <c r="Q153" s="38"/>
      <c r="R153" s="38"/>
    </row>
    <row r="154" spans="3:18" s="39" customFormat="1" ht="15" x14ac:dyDescent="0.25">
      <c r="C154" s="37"/>
      <c r="D154" s="65"/>
      <c r="E154" s="65"/>
      <c r="F154" s="65"/>
      <c r="H154" s="40"/>
      <c r="I154" s="41"/>
      <c r="J154" s="41"/>
      <c r="K154" s="41"/>
      <c r="L154" s="41"/>
      <c r="M154" s="42"/>
      <c r="N154" s="42"/>
      <c r="O154" s="38"/>
      <c r="P154" s="38"/>
      <c r="Q154" s="38"/>
      <c r="R154" s="38"/>
    </row>
    <row r="155" spans="3:18" s="39" customFormat="1" ht="15" x14ac:dyDescent="0.25">
      <c r="C155" s="37"/>
      <c r="D155" s="65"/>
      <c r="E155" s="65"/>
      <c r="F155" s="65"/>
      <c r="H155" s="40"/>
      <c r="I155" s="41"/>
      <c r="J155" s="41"/>
      <c r="K155" s="41"/>
      <c r="L155" s="41"/>
      <c r="M155" s="42"/>
      <c r="N155" s="42"/>
      <c r="O155" s="38"/>
      <c r="P155" s="38"/>
      <c r="Q155" s="38"/>
      <c r="R155" s="38"/>
    </row>
    <row r="156" spans="3:18" s="39" customFormat="1" ht="15" x14ac:dyDescent="0.25">
      <c r="C156" s="37"/>
      <c r="D156" s="65"/>
      <c r="E156" s="65"/>
      <c r="F156" s="65"/>
      <c r="H156" s="40"/>
      <c r="I156" s="41"/>
      <c r="J156" s="41"/>
      <c r="K156" s="41"/>
      <c r="L156" s="41"/>
      <c r="M156" s="42"/>
      <c r="N156" s="42"/>
      <c r="O156" s="38"/>
      <c r="P156" s="38"/>
      <c r="Q156" s="38"/>
      <c r="R156" s="38"/>
    </row>
    <row r="157" spans="3:18" s="39" customFormat="1" ht="15" x14ac:dyDescent="0.25">
      <c r="C157" s="37"/>
      <c r="D157" s="65"/>
      <c r="E157" s="65"/>
      <c r="F157" s="65"/>
      <c r="H157" s="40"/>
      <c r="I157" s="41"/>
      <c r="J157" s="41"/>
      <c r="K157" s="41"/>
      <c r="L157" s="41"/>
      <c r="M157" s="42"/>
      <c r="N157" s="42"/>
      <c r="O157" s="38"/>
      <c r="P157" s="38"/>
      <c r="Q157" s="38"/>
      <c r="R157" s="38"/>
    </row>
    <row r="158" spans="3:18" s="39" customFormat="1" ht="15" x14ac:dyDescent="0.25">
      <c r="C158" s="37"/>
      <c r="D158" s="65"/>
      <c r="E158" s="65"/>
      <c r="F158" s="65"/>
      <c r="H158" s="40"/>
      <c r="I158" s="41"/>
      <c r="J158" s="41"/>
      <c r="K158" s="41"/>
      <c r="L158" s="41"/>
      <c r="M158" s="42"/>
      <c r="N158" s="42"/>
      <c r="O158" s="38"/>
      <c r="P158" s="38"/>
      <c r="Q158" s="38"/>
      <c r="R158" s="38"/>
    </row>
    <row r="159" spans="3:18" s="39" customFormat="1" ht="15" x14ac:dyDescent="0.25">
      <c r="C159" s="37"/>
      <c r="D159" s="65"/>
      <c r="E159" s="65"/>
      <c r="F159" s="65"/>
      <c r="H159" s="40"/>
      <c r="I159" s="41"/>
      <c r="J159" s="41"/>
      <c r="K159" s="41"/>
      <c r="L159" s="41"/>
      <c r="M159" s="42"/>
      <c r="N159" s="42"/>
      <c r="O159" s="38"/>
      <c r="P159" s="38"/>
      <c r="Q159" s="38"/>
      <c r="R159" s="38"/>
    </row>
    <row r="160" spans="3:18" s="39" customFormat="1" ht="15" x14ac:dyDescent="0.25">
      <c r="C160" s="37"/>
      <c r="D160" s="65"/>
      <c r="E160" s="65"/>
      <c r="F160" s="65"/>
      <c r="H160" s="40"/>
      <c r="I160" s="41"/>
      <c r="J160" s="41"/>
      <c r="K160" s="41"/>
      <c r="L160" s="41"/>
      <c r="M160" s="42"/>
      <c r="N160" s="42"/>
      <c r="O160" s="38"/>
      <c r="P160" s="38"/>
      <c r="Q160" s="38"/>
    </row>
    <row r="161" spans="3:17" s="39" customFormat="1" ht="15" x14ac:dyDescent="0.25">
      <c r="C161" s="37"/>
      <c r="D161" s="65"/>
      <c r="E161" s="65"/>
      <c r="F161" s="65"/>
      <c r="H161" s="40"/>
      <c r="I161" s="41"/>
      <c r="J161" s="41"/>
      <c r="K161" s="41"/>
      <c r="L161" s="41"/>
      <c r="M161" s="42"/>
      <c r="N161" s="42"/>
      <c r="O161" s="38"/>
      <c r="P161" s="38"/>
      <c r="Q161" s="38"/>
    </row>
    <row r="162" spans="3:17" s="39" customFormat="1" ht="15" x14ac:dyDescent="0.25">
      <c r="C162" s="37"/>
      <c r="D162" s="65"/>
      <c r="E162" s="65"/>
      <c r="F162" s="65"/>
      <c r="H162" s="40"/>
      <c r="I162" s="41"/>
      <c r="J162" s="41"/>
      <c r="K162" s="41"/>
      <c r="L162" s="41"/>
      <c r="M162" s="42"/>
      <c r="N162" s="42"/>
      <c r="O162" s="38"/>
      <c r="P162" s="38"/>
      <c r="Q162" s="38"/>
    </row>
    <row r="163" spans="3:17" s="39" customFormat="1" ht="15" x14ac:dyDescent="0.25">
      <c r="C163" s="37"/>
      <c r="D163" s="65"/>
      <c r="E163" s="65"/>
      <c r="F163" s="65"/>
      <c r="H163" s="40"/>
      <c r="I163" s="41"/>
      <c r="J163" s="41"/>
      <c r="K163" s="41"/>
      <c r="L163" s="41"/>
      <c r="M163" s="42"/>
      <c r="N163" s="42"/>
      <c r="O163" s="38"/>
      <c r="P163" s="38"/>
      <c r="Q163" s="38"/>
    </row>
    <row r="164" spans="3:17" s="39" customFormat="1" ht="15" x14ac:dyDescent="0.25">
      <c r="C164" s="37"/>
      <c r="D164" s="65"/>
      <c r="E164" s="65"/>
      <c r="F164" s="65"/>
      <c r="H164" s="40"/>
      <c r="I164" s="41"/>
      <c r="J164" s="41"/>
      <c r="K164" s="41"/>
      <c r="L164" s="41"/>
      <c r="M164" s="42"/>
      <c r="N164" s="42"/>
      <c r="O164" s="38"/>
      <c r="P164" s="38"/>
      <c r="Q164" s="38"/>
    </row>
    <row r="165" spans="3:17" s="39" customFormat="1" ht="15" x14ac:dyDescent="0.25">
      <c r="C165" s="37"/>
      <c r="D165" s="65"/>
      <c r="E165" s="65"/>
      <c r="F165" s="65"/>
      <c r="H165" s="40"/>
      <c r="I165" s="41"/>
      <c r="J165" s="41"/>
      <c r="K165" s="41"/>
      <c r="L165" s="41"/>
      <c r="M165" s="42"/>
      <c r="N165" s="42"/>
      <c r="O165" s="38"/>
      <c r="P165" s="38"/>
      <c r="Q165" s="38"/>
    </row>
    <row r="166" spans="3:17" s="39" customFormat="1" ht="15" x14ac:dyDescent="0.25">
      <c r="C166" s="37"/>
      <c r="D166" s="65"/>
      <c r="E166" s="65"/>
      <c r="F166" s="65"/>
      <c r="H166" s="40"/>
      <c r="I166" s="41"/>
      <c r="J166" s="41"/>
      <c r="K166" s="41"/>
      <c r="L166" s="41"/>
      <c r="M166" s="42"/>
      <c r="N166" s="42"/>
      <c r="O166" s="38"/>
      <c r="P166" s="38"/>
      <c r="Q166" s="38"/>
    </row>
    <row r="167" spans="3:17" s="39" customFormat="1" ht="15" x14ac:dyDescent="0.25">
      <c r="C167" s="37"/>
      <c r="D167" s="65"/>
      <c r="E167" s="65"/>
      <c r="F167" s="65"/>
      <c r="H167" s="40"/>
      <c r="I167" s="41"/>
      <c r="J167" s="41"/>
      <c r="K167" s="41"/>
      <c r="L167" s="41"/>
      <c r="M167" s="42"/>
      <c r="N167" s="42"/>
      <c r="O167" s="38"/>
      <c r="P167" s="38"/>
      <c r="Q167" s="38"/>
    </row>
    <row r="168" spans="3:17" s="39" customFormat="1" ht="15" x14ac:dyDescent="0.25">
      <c r="C168" s="37"/>
      <c r="D168" s="65"/>
      <c r="E168" s="65"/>
      <c r="F168" s="65"/>
      <c r="H168" s="40"/>
      <c r="I168" s="41"/>
      <c r="J168" s="41"/>
      <c r="K168" s="41"/>
      <c r="L168" s="41"/>
      <c r="M168" s="42"/>
      <c r="N168" s="42"/>
      <c r="O168" s="38"/>
      <c r="P168" s="38"/>
      <c r="Q168" s="38"/>
    </row>
    <row r="169" spans="3:17" s="39" customFormat="1" ht="15" x14ac:dyDescent="0.25">
      <c r="C169" s="37"/>
      <c r="D169" s="65"/>
      <c r="E169" s="65"/>
      <c r="F169" s="65"/>
      <c r="H169" s="40"/>
      <c r="I169" s="41"/>
      <c r="J169" s="41"/>
      <c r="K169" s="41"/>
      <c r="L169" s="41"/>
      <c r="M169" s="42"/>
      <c r="N169" s="42"/>
      <c r="O169" s="38"/>
      <c r="P169" s="38"/>
      <c r="Q169" s="38"/>
    </row>
    <row r="170" spans="3:17" s="39" customFormat="1" ht="15" x14ac:dyDescent="0.25">
      <c r="C170" s="37"/>
      <c r="D170" s="65"/>
      <c r="E170" s="65"/>
      <c r="F170" s="65"/>
      <c r="H170" s="40"/>
      <c r="I170" s="41"/>
      <c r="J170" s="41"/>
      <c r="K170" s="41"/>
      <c r="L170" s="41"/>
      <c r="M170" s="42"/>
      <c r="N170" s="42"/>
      <c r="O170" s="38"/>
      <c r="P170" s="38"/>
      <c r="Q170" s="38"/>
    </row>
    <row r="171" spans="3:17" s="39" customFormat="1" ht="15" x14ac:dyDescent="0.25">
      <c r="C171" s="37"/>
      <c r="D171" s="65"/>
      <c r="E171" s="65"/>
      <c r="F171" s="65"/>
      <c r="H171" s="40"/>
      <c r="I171" s="41"/>
      <c r="J171" s="41"/>
      <c r="K171" s="41"/>
      <c r="L171" s="41"/>
      <c r="M171" s="42"/>
      <c r="N171" s="42"/>
      <c r="O171" s="38"/>
      <c r="P171" s="38"/>
      <c r="Q171" s="38"/>
    </row>
    <row r="172" spans="3:17" s="39" customFormat="1" ht="15" x14ac:dyDescent="0.25">
      <c r="C172" s="37"/>
      <c r="D172" s="65"/>
      <c r="E172" s="65"/>
      <c r="F172" s="65"/>
      <c r="H172" s="40"/>
      <c r="I172" s="41"/>
      <c r="J172" s="41"/>
      <c r="K172" s="41"/>
      <c r="L172" s="41"/>
      <c r="M172" s="42"/>
      <c r="N172" s="42"/>
      <c r="O172" s="38"/>
      <c r="P172" s="38"/>
      <c r="Q172" s="38"/>
    </row>
    <row r="173" spans="3:17" s="39" customFormat="1" ht="15" x14ac:dyDescent="0.25">
      <c r="C173" s="37"/>
      <c r="D173" s="65"/>
      <c r="E173" s="65"/>
      <c r="F173" s="65"/>
      <c r="H173" s="40"/>
      <c r="I173" s="41"/>
      <c r="J173" s="41"/>
      <c r="K173" s="41"/>
      <c r="L173" s="41"/>
      <c r="M173" s="42"/>
      <c r="N173" s="42"/>
      <c r="O173" s="38"/>
      <c r="P173" s="38"/>
      <c r="Q173" s="38"/>
    </row>
    <row r="174" spans="3:17" s="39" customFormat="1" ht="15" x14ac:dyDescent="0.25">
      <c r="C174" s="37"/>
      <c r="D174" s="65"/>
      <c r="E174" s="65"/>
      <c r="F174" s="65"/>
      <c r="H174" s="40"/>
      <c r="I174" s="41"/>
      <c r="J174" s="41"/>
      <c r="K174" s="41"/>
      <c r="L174" s="41"/>
      <c r="M174" s="42"/>
      <c r="N174" s="42"/>
      <c r="O174" s="38"/>
      <c r="P174" s="38"/>
      <c r="Q174" s="38"/>
    </row>
    <row r="175" spans="3:17" s="39" customFormat="1" ht="15" x14ac:dyDescent="0.25">
      <c r="C175" s="37"/>
      <c r="D175" s="65"/>
      <c r="E175" s="65"/>
      <c r="F175" s="65"/>
      <c r="H175" s="40"/>
      <c r="I175" s="41"/>
      <c r="J175" s="41"/>
      <c r="K175" s="41"/>
      <c r="L175" s="41"/>
      <c r="M175" s="42"/>
      <c r="N175" s="42"/>
      <c r="O175" s="38"/>
      <c r="P175" s="38"/>
      <c r="Q175" s="38"/>
    </row>
    <row r="176" spans="3:17" s="39" customFormat="1" ht="15" x14ac:dyDescent="0.25">
      <c r="C176" s="37"/>
      <c r="D176" s="65"/>
      <c r="E176" s="65"/>
      <c r="F176" s="65"/>
      <c r="H176" s="40"/>
      <c r="I176" s="41"/>
      <c r="J176" s="41"/>
      <c r="K176" s="41"/>
      <c r="L176" s="41"/>
      <c r="M176" s="42"/>
      <c r="N176" s="42"/>
      <c r="O176" s="38"/>
      <c r="P176" s="38"/>
      <c r="Q176" s="38"/>
    </row>
    <row r="177" spans="3:17" s="39" customFormat="1" ht="15" x14ac:dyDescent="0.25">
      <c r="C177" s="37"/>
      <c r="D177" s="65"/>
      <c r="E177" s="65"/>
      <c r="F177" s="65"/>
      <c r="H177" s="40"/>
      <c r="I177" s="41"/>
      <c r="J177" s="41"/>
      <c r="K177" s="41"/>
      <c r="L177" s="41"/>
      <c r="M177" s="42"/>
      <c r="N177" s="42"/>
      <c r="O177" s="38"/>
      <c r="P177" s="38"/>
      <c r="Q177" s="38"/>
    </row>
    <row r="178" spans="3:17" s="39" customFormat="1" ht="15" x14ac:dyDescent="0.25">
      <c r="C178" s="37"/>
      <c r="D178" s="65"/>
      <c r="E178" s="65"/>
      <c r="F178" s="65"/>
      <c r="H178" s="40"/>
      <c r="I178" s="41"/>
      <c r="J178" s="41"/>
      <c r="K178" s="41"/>
      <c r="L178" s="41"/>
      <c r="M178" s="42"/>
      <c r="N178" s="42"/>
      <c r="O178" s="38"/>
      <c r="P178" s="38"/>
      <c r="Q178" s="38"/>
    </row>
    <row r="179" spans="3:17" s="39" customFormat="1" ht="15" x14ac:dyDescent="0.25">
      <c r="C179" s="37"/>
      <c r="D179" s="65"/>
      <c r="E179" s="65"/>
      <c r="F179" s="65"/>
      <c r="H179" s="40"/>
      <c r="I179" s="41"/>
      <c r="J179" s="41"/>
      <c r="K179" s="41"/>
      <c r="L179" s="41"/>
      <c r="M179" s="42"/>
      <c r="N179" s="42"/>
      <c r="O179" s="38"/>
      <c r="P179" s="38"/>
      <c r="Q179" s="38"/>
    </row>
    <row r="180" spans="3:17" s="39" customFormat="1" ht="15" x14ac:dyDescent="0.25">
      <c r="C180" s="37"/>
      <c r="D180" s="65"/>
      <c r="E180" s="65"/>
      <c r="F180" s="65"/>
      <c r="H180" s="40"/>
      <c r="I180" s="41"/>
      <c r="J180" s="41"/>
      <c r="K180" s="41"/>
      <c r="L180" s="41"/>
      <c r="M180" s="42"/>
      <c r="N180" s="42"/>
      <c r="O180" s="38"/>
      <c r="P180" s="38"/>
      <c r="Q180" s="38"/>
    </row>
    <row r="181" spans="3:17" s="39" customFormat="1" ht="15" x14ac:dyDescent="0.25">
      <c r="C181" s="37"/>
      <c r="D181" s="65"/>
      <c r="E181" s="65"/>
      <c r="F181" s="65"/>
      <c r="H181" s="40"/>
      <c r="I181" s="41"/>
      <c r="J181" s="41"/>
      <c r="K181" s="41"/>
      <c r="L181" s="41"/>
      <c r="M181" s="42"/>
      <c r="N181" s="42"/>
      <c r="O181" s="38"/>
      <c r="P181" s="38"/>
      <c r="Q181" s="38"/>
    </row>
    <row r="182" spans="3:17" s="39" customFormat="1" ht="15" x14ac:dyDescent="0.25">
      <c r="C182" s="37"/>
      <c r="D182" s="65"/>
      <c r="E182" s="65"/>
      <c r="F182" s="65"/>
      <c r="H182" s="40"/>
      <c r="I182" s="41"/>
      <c r="J182" s="41"/>
      <c r="K182" s="41"/>
      <c r="L182" s="41"/>
      <c r="M182" s="42"/>
      <c r="N182" s="42"/>
      <c r="O182" s="38"/>
      <c r="P182" s="38"/>
      <c r="Q182" s="38"/>
    </row>
    <row r="183" spans="3:17" s="39" customFormat="1" ht="15" x14ac:dyDescent="0.25">
      <c r="C183" s="37"/>
      <c r="D183" s="65"/>
      <c r="E183" s="65"/>
      <c r="F183" s="65"/>
      <c r="H183" s="40"/>
      <c r="I183" s="41"/>
      <c r="J183" s="41"/>
      <c r="K183" s="41"/>
      <c r="L183" s="41"/>
      <c r="M183" s="42"/>
      <c r="N183" s="42"/>
      <c r="O183" s="38"/>
      <c r="P183" s="38"/>
      <c r="Q183" s="38"/>
    </row>
    <row r="184" spans="3:17" s="39" customFormat="1" ht="15" x14ac:dyDescent="0.25">
      <c r="C184" s="37"/>
      <c r="D184" s="65"/>
      <c r="E184" s="65"/>
      <c r="F184" s="65"/>
      <c r="H184" s="40"/>
      <c r="I184" s="41"/>
      <c r="J184" s="41"/>
      <c r="K184" s="41"/>
      <c r="L184" s="41"/>
      <c r="M184" s="42"/>
      <c r="N184" s="42"/>
      <c r="O184" s="38"/>
      <c r="P184" s="38"/>
      <c r="Q184" s="38"/>
    </row>
    <row r="185" spans="3:17" s="39" customFormat="1" ht="15" x14ac:dyDescent="0.25">
      <c r="C185" s="37"/>
      <c r="D185" s="65"/>
      <c r="E185" s="65"/>
      <c r="F185" s="65"/>
      <c r="H185" s="40"/>
      <c r="I185" s="41"/>
      <c r="J185" s="41"/>
      <c r="K185" s="41"/>
      <c r="L185" s="41"/>
      <c r="M185" s="42"/>
      <c r="N185" s="42"/>
      <c r="O185" s="38"/>
      <c r="P185" s="38"/>
      <c r="Q185" s="38"/>
    </row>
    <row r="186" spans="3:17" s="39" customFormat="1" ht="15" x14ac:dyDescent="0.25">
      <c r="C186" s="37"/>
      <c r="D186" s="65"/>
      <c r="E186" s="65"/>
      <c r="F186" s="65"/>
      <c r="H186" s="40"/>
      <c r="I186" s="41"/>
      <c r="J186" s="41"/>
      <c r="K186" s="41"/>
      <c r="L186" s="41"/>
      <c r="M186" s="42"/>
      <c r="N186" s="42"/>
      <c r="O186" s="38"/>
      <c r="P186" s="38"/>
      <c r="Q186" s="38"/>
    </row>
    <row r="187" spans="3:17" s="39" customFormat="1" ht="15" x14ac:dyDescent="0.25">
      <c r="C187" s="37"/>
      <c r="D187" s="65"/>
      <c r="E187" s="65"/>
      <c r="F187" s="65"/>
      <c r="H187" s="40"/>
      <c r="I187" s="41"/>
      <c r="J187" s="41"/>
      <c r="K187" s="41"/>
      <c r="L187" s="41"/>
      <c r="M187" s="42"/>
      <c r="N187" s="42"/>
      <c r="O187" s="38"/>
      <c r="P187" s="38"/>
      <c r="Q187" s="38"/>
    </row>
    <row r="188" spans="3:17" s="39" customFormat="1" ht="15" x14ac:dyDescent="0.25">
      <c r="C188" s="37"/>
      <c r="D188" s="65"/>
      <c r="E188" s="65"/>
      <c r="F188" s="65"/>
      <c r="H188" s="40"/>
      <c r="I188" s="41"/>
      <c r="J188" s="41"/>
      <c r="K188" s="41"/>
      <c r="L188" s="41"/>
      <c r="M188" s="42"/>
      <c r="N188" s="42"/>
      <c r="O188" s="38"/>
      <c r="P188" s="38"/>
      <c r="Q188" s="38"/>
    </row>
    <row r="189" spans="3:17" s="39" customFormat="1" ht="15" x14ac:dyDescent="0.25">
      <c r="C189" s="37"/>
      <c r="D189" s="65"/>
      <c r="E189" s="65"/>
      <c r="F189" s="65"/>
      <c r="H189" s="40"/>
      <c r="I189" s="41"/>
      <c r="J189" s="41"/>
      <c r="K189" s="41"/>
      <c r="L189" s="41"/>
      <c r="M189" s="42"/>
      <c r="N189" s="42"/>
      <c r="O189" s="38"/>
      <c r="P189" s="38"/>
      <c r="Q189" s="38"/>
    </row>
    <row r="190" spans="3:17" s="39" customFormat="1" ht="15" x14ac:dyDescent="0.25">
      <c r="C190" s="37"/>
      <c r="D190" s="65"/>
      <c r="E190" s="65"/>
      <c r="F190" s="65"/>
      <c r="H190" s="40"/>
      <c r="I190" s="41"/>
      <c r="J190" s="41"/>
      <c r="K190" s="41"/>
      <c r="L190" s="41"/>
      <c r="M190" s="42"/>
      <c r="N190" s="42"/>
      <c r="O190" s="38"/>
      <c r="P190" s="38"/>
      <c r="Q190" s="38"/>
    </row>
    <row r="191" spans="3:17" s="39" customFormat="1" ht="15" x14ac:dyDescent="0.25">
      <c r="C191" s="37"/>
      <c r="D191" s="65"/>
      <c r="E191" s="65"/>
      <c r="F191" s="65"/>
      <c r="H191" s="40"/>
      <c r="I191" s="41"/>
      <c r="J191" s="41"/>
      <c r="K191" s="41"/>
      <c r="L191" s="41"/>
      <c r="M191" s="42"/>
      <c r="N191" s="42"/>
      <c r="O191" s="38"/>
      <c r="P191" s="38"/>
      <c r="Q191" s="38"/>
    </row>
    <row r="192" spans="3:17" s="39" customFormat="1" ht="15" x14ac:dyDescent="0.25">
      <c r="C192" s="37"/>
      <c r="D192" s="65"/>
      <c r="E192" s="65"/>
      <c r="F192" s="65"/>
      <c r="H192" s="40"/>
      <c r="I192" s="41"/>
      <c r="J192" s="41"/>
      <c r="K192" s="41"/>
      <c r="L192" s="41"/>
      <c r="M192" s="42"/>
      <c r="N192" s="42"/>
      <c r="O192" s="38"/>
      <c r="P192" s="38"/>
      <c r="Q192" s="38"/>
    </row>
    <row r="193" spans="3:17" s="39" customFormat="1" ht="15" x14ac:dyDescent="0.25">
      <c r="C193" s="37"/>
      <c r="D193" s="65"/>
      <c r="E193" s="65"/>
      <c r="F193" s="65"/>
      <c r="H193" s="40"/>
      <c r="I193" s="41"/>
      <c r="J193" s="41"/>
      <c r="K193" s="41"/>
      <c r="L193" s="41"/>
      <c r="M193" s="42"/>
      <c r="N193" s="42"/>
      <c r="O193" s="38"/>
      <c r="P193" s="38"/>
      <c r="Q193" s="38"/>
    </row>
    <row r="194" spans="3:17" s="39" customFormat="1" ht="15" x14ac:dyDescent="0.25">
      <c r="C194" s="37"/>
      <c r="D194" s="65"/>
      <c r="E194" s="65"/>
      <c r="F194" s="65"/>
      <c r="H194" s="40"/>
      <c r="I194" s="41"/>
      <c r="J194" s="41"/>
      <c r="K194" s="41"/>
      <c r="L194" s="41"/>
      <c r="M194" s="42"/>
      <c r="N194" s="42"/>
      <c r="O194" s="38"/>
      <c r="P194" s="38"/>
      <c r="Q194" s="38"/>
    </row>
    <row r="195" spans="3:17" s="39" customFormat="1" ht="15" x14ac:dyDescent="0.25">
      <c r="C195" s="37"/>
      <c r="D195" s="65"/>
      <c r="E195" s="65"/>
      <c r="F195" s="65"/>
      <c r="H195" s="40"/>
      <c r="I195" s="41"/>
      <c r="J195" s="41"/>
      <c r="K195" s="41"/>
      <c r="L195" s="41"/>
      <c r="M195" s="42"/>
      <c r="N195" s="42"/>
      <c r="O195" s="38"/>
      <c r="P195" s="38"/>
      <c r="Q195" s="38"/>
    </row>
    <row r="196" spans="3:17" s="39" customFormat="1" ht="15" x14ac:dyDescent="0.25">
      <c r="C196" s="37"/>
      <c r="D196" s="65"/>
      <c r="E196" s="65"/>
      <c r="F196" s="65"/>
      <c r="H196" s="40"/>
      <c r="I196" s="41"/>
      <c r="J196" s="41"/>
      <c r="K196" s="41"/>
      <c r="L196" s="41"/>
      <c r="M196" s="42"/>
      <c r="N196" s="42"/>
      <c r="O196" s="38"/>
      <c r="P196" s="38"/>
      <c r="Q196" s="38"/>
    </row>
    <row r="197" spans="3:17" s="39" customFormat="1" ht="15" x14ac:dyDescent="0.25">
      <c r="C197" s="37"/>
      <c r="D197" s="65"/>
      <c r="E197" s="65"/>
      <c r="F197" s="65"/>
      <c r="H197" s="40"/>
      <c r="I197" s="41"/>
      <c r="J197" s="41"/>
      <c r="K197" s="41"/>
      <c r="L197" s="41"/>
      <c r="M197" s="42"/>
      <c r="N197" s="42"/>
      <c r="O197" s="38"/>
      <c r="P197" s="38"/>
      <c r="Q197" s="38"/>
    </row>
    <row r="198" spans="3:17" s="39" customFormat="1" ht="15" x14ac:dyDescent="0.25">
      <c r="C198" s="37"/>
      <c r="D198" s="65"/>
      <c r="E198" s="65"/>
      <c r="F198" s="65"/>
      <c r="H198" s="40"/>
      <c r="I198" s="41"/>
      <c r="J198" s="41"/>
      <c r="K198" s="41"/>
      <c r="L198" s="41"/>
      <c r="M198" s="42"/>
      <c r="N198" s="42"/>
      <c r="O198" s="38"/>
      <c r="P198" s="38"/>
      <c r="Q198" s="38"/>
    </row>
    <row r="199" spans="3:17" s="39" customFormat="1" ht="15" x14ac:dyDescent="0.25">
      <c r="C199" s="37"/>
      <c r="D199" s="65"/>
      <c r="E199" s="65"/>
      <c r="F199" s="65"/>
      <c r="H199" s="40"/>
      <c r="I199" s="41"/>
      <c r="J199" s="41"/>
      <c r="K199" s="41"/>
      <c r="L199" s="41"/>
      <c r="M199" s="42"/>
      <c r="N199" s="42"/>
      <c r="O199" s="38"/>
      <c r="P199" s="38"/>
      <c r="Q199" s="38"/>
    </row>
    <row r="200" spans="3:17" s="39" customFormat="1" ht="15" x14ac:dyDescent="0.25">
      <c r="C200" s="37"/>
      <c r="D200" s="65"/>
      <c r="E200" s="65"/>
      <c r="F200" s="65"/>
      <c r="H200" s="40"/>
      <c r="I200" s="41"/>
      <c r="J200" s="41"/>
      <c r="K200" s="41"/>
      <c r="L200" s="41"/>
      <c r="M200" s="42"/>
      <c r="N200" s="42"/>
      <c r="O200" s="38"/>
      <c r="P200" s="38"/>
      <c r="Q200" s="38"/>
    </row>
    <row r="201" spans="3:17" s="39" customFormat="1" ht="15" x14ac:dyDescent="0.25">
      <c r="C201" s="37"/>
      <c r="D201" s="65"/>
      <c r="E201" s="65"/>
      <c r="F201" s="65"/>
      <c r="H201" s="40"/>
      <c r="I201" s="41"/>
      <c r="J201" s="41"/>
      <c r="K201" s="41"/>
      <c r="L201" s="41"/>
      <c r="M201" s="42"/>
      <c r="N201" s="42"/>
      <c r="O201" s="38"/>
      <c r="P201" s="38"/>
      <c r="Q201" s="38"/>
    </row>
    <row r="202" spans="3:17" s="39" customFormat="1" ht="15" x14ac:dyDescent="0.25">
      <c r="C202" s="37"/>
      <c r="D202" s="65"/>
      <c r="E202" s="65"/>
      <c r="F202" s="65"/>
      <c r="H202" s="40"/>
      <c r="I202" s="41"/>
      <c r="J202" s="41"/>
      <c r="K202" s="41"/>
      <c r="L202" s="41"/>
      <c r="M202" s="42"/>
      <c r="N202" s="42"/>
      <c r="O202" s="38"/>
      <c r="P202" s="38"/>
      <c r="Q202" s="38"/>
    </row>
    <row r="203" spans="3:17" s="39" customFormat="1" ht="15" x14ac:dyDescent="0.25">
      <c r="C203" s="37"/>
      <c r="D203" s="65"/>
      <c r="E203" s="65"/>
      <c r="F203" s="65"/>
      <c r="H203" s="40"/>
      <c r="I203" s="41"/>
      <c r="J203" s="41"/>
      <c r="K203" s="41"/>
      <c r="L203" s="41"/>
      <c r="M203" s="42"/>
      <c r="N203" s="42"/>
      <c r="O203" s="38"/>
      <c r="P203" s="38"/>
      <c r="Q203" s="38"/>
    </row>
    <row r="204" spans="3:17" s="39" customFormat="1" ht="15" x14ac:dyDescent="0.25">
      <c r="C204" s="37"/>
      <c r="D204" s="65"/>
      <c r="E204" s="65"/>
      <c r="F204" s="65"/>
      <c r="H204" s="40"/>
      <c r="I204" s="41"/>
      <c r="J204" s="41"/>
      <c r="K204" s="41"/>
      <c r="L204" s="41"/>
      <c r="M204" s="42"/>
      <c r="N204" s="42"/>
      <c r="O204" s="38"/>
      <c r="P204" s="38"/>
      <c r="Q204" s="38"/>
    </row>
    <row r="205" spans="3:17" s="39" customFormat="1" ht="15" x14ac:dyDescent="0.25">
      <c r="C205" s="37"/>
      <c r="D205" s="65"/>
      <c r="E205" s="65"/>
      <c r="F205" s="65"/>
      <c r="H205" s="40"/>
      <c r="I205" s="41"/>
      <c r="J205" s="41"/>
      <c r="K205" s="41"/>
      <c r="L205" s="41"/>
      <c r="M205" s="42"/>
      <c r="N205" s="42"/>
      <c r="O205" s="38"/>
      <c r="P205" s="38"/>
      <c r="Q205" s="38"/>
    </row>
    <row r="206" spans="3:17" s="39" customFormat="1" ht="15" x14ac:dyDescent="0.25">
      <c r="C206" s="37"/>
      <c r="D206" s="65"/>
      <c r="E206" s="65"/>
      <c r="F206" s="65"/>
      <c r="H206" s="40"/>
      <c r="I206" s="41"/>
      <c r="J206" s="41"/>
      <c r="K206" s="41"/>
      <c r="L206" s="41"/>
      <c r="M206" s="42"/>
      <c r="N206" s="42"/>
      <c r="O206" s="38"/>
      <c r="P206" s="38"/>
      <c r="Q206" s="38"/>
    </row>
    <row r="207" spans="3:17" s="39" customFormat="1" ht="15" x14ac:dyDescent="0.25">
      <c r="C207" s="37"/>
      <c r="D207" s="65"/>
      <c r="E207" s="65"/>
      <c r="F207" s="65"/>
      <c r="H207" s="40"/>
      <c r="I207" s="41"/>
      <c r="J207" s="41"/>
      <c r="K207" s="41"/>
      <c r="L207" s="41"/>
      <c r="M207" s="42"/>
      <c r="N207" s="42"/>
      <c r="O207" s="38"/>
      <c r="P207" s="38"/>
      <c r="Q207" s="38"/>
    </row>
    <row r="208" spans="3:17" s="39" customFormat="1" ht="15" x14ac:dyDescent="0.25">
      <c r="C208" s="37"/>
      <c r="D208" s="65"/>
      <c r="E208" s="65"/>
      <c r="F208" s="65"/>
      <c r="H208" s="40"/>
      <c r="I208" s="41"/>
      <c r="J208" s="41"/>
      <c r="K208" s="41"/>
      <c r="L208" s="41"/>
      <c r="M208" s="42"/>
      <c r="N208" s="42"/>
      <c r="O208" s="38"/>
      <c r="P208" s="38"/>
      <c r="Q208" s="38"/>
    </row>
    <row r="209" spans="3:17" s="39" customFormat="1" ht="15" x14ac:dyDescent="0.25">
      <c r="C209" s="37"/>
      <c r="D209" s="65"/>
      <c r="E209" s="65"/>
      <c r="F209" s="65"/>
      <c r="H209" s="40"/>
      <c r="I209" s="41"/>
      <c r="J209" s="41"/>
      <c r="K209" s="41"/>
      <c r="L209" s="41"/>
      <c r="M209" s="42"/>
      <c r="N209" s="42"/>
      <c r="O209" s="38"/>
      <c r="P209" s="38"/>
      <c r="Q209" s="38"/>
    </row>
    <row r="210" spans="3:17" s="39" customFormat="1" ht="15" x14ac:dyDescent="0.25">
      <c r="C210" s="37"/>
      <c r="D210" s="65"/>
      <c r="E210" s="65"/>
      <c r="F210" s="65"/>
      <c r="H210" s="40"/>
      <c r="I210" s="41"/>
      <c r="J210" s="41"/>
      <c r="K210" s="41"/>
      <c r="L210" s="41"/>
      <c r="M210" s="42"/>
      <c r="N210" s="42"/>
      <c r="O210" s="38"/>
      <c r="P210" s="38"/>
      <c r="Q210" s="38"/>
    </row>
    <row r="211" spans="3:17" s="39" customFormat="1" ht="15" x14ac:dyDescent="0.25">
      <c r="C211" s="37"/>
      <c r="D211" s="65"/>
      <c r="E211" s="65"/>
      <c r="F211" s="65"/>
      <c r="H211" s="40"/>
      <c r="I211" s="41"/>
      <c r="J211" s="41"/>
      <c r="K211" s="41"/>
      <c r="L211" s="41"/>
      <c r="M211" s="42"/>
      <c r="N211" s="42"/>
      <c r="O211" s="38"/>
      <c r="P211" s="38"/>
      <c r="Q211" s="38"/>
    </row>
    <row r="212" spans="3:17" s="39" customFormat="1" ht="15" x14ac:dyDescent="0.25">
      <c r="C212" s="37"/>
      <c r="D212" s="65"/>
      <c r="E212" s="65"/>
      <c r="F212" s="65"/>
      <c r="H212" s="40"/>
      <c r="I212" s="41"/>
      <c r="J212" s="41"/>
      <c r="K212" s="41"/>
      <c r="L212" s="41"/>
      <c r="M212" s="42"/>
      <c r="N212" s="42"/>
      <c r="O212" s="38"/>
      <c r="P212" s="38"/>
      <c r="Q212" s="38"/>
    </row>
    <row r="213" spans="3:17" s="39" customFormat="1" ht="15" x14ac:dyDescent="0.25">
      <c r="C213" s="37"/>
      <c r="D213" s="65"/>
      <c r="E213" s="65"/>
      <c r="F213" s="65"/>
      <c r="H213" s="40"/>
      <c r="I213" s="41"/>
      <c r="J213" s="41"/>
      <c r="K213" s="41"/>
      <c r="L213" s="41"/>
      <c r="M213" s="42"/>
      <c r="N213" s="42"/>
      <c r="O213" s="38"/>
      <c r="P213" s="38"/>
      <c r="Q213" s="38"/>
    </row>
    <row r="214" spans="3:17" s="39" customFormat="1" ht="15" x14ac:dyDescent="0.25">
      <c r="C214" s="37"/>
      <c r="D214" s="65"/>
      <c r="E214" s="65"/>
      <c r="F214" s="65"/>
      <c r="H214" s="40"/>
      <c r="I214" s="41"/>
      <c r="J214" s="41"/>
      <c r="K214" s="41"/>
      <c r="L214" s="41"/>
      <c r="M214" s="42"/>
      <c r="N214" s="42"/>
      <c r="O214" s="38"/>
      <c r="P214" s="38"/>
      <c r="Q214" s="38"/>
    </row>
    <row r="215" spans="3:17" s="39" customFormat="1" ht="15" x14ac:dyDescent="0.25">
      <c r="C215" s="37"/>
      <c r="D215" s="65"/>
      <c r="E215" s="65"/>
      <c r="F215" s="65"/>
      <c r="H215" s="40"/>
      <c r="I215" s="41"/>
      <c r="J215" s="41"/>
      <c r="K215" s="41"/>
      <c r="L215" s="41"/>
      <c r="M215" s="42"/>
      <c r="N215" s="42"/>
      <c r="O215" s="38"/>
      <c r="P215" s="38"/>
      <c r="Q215" s="38"/>
    </row>
    <row r="216" spans="3:17" s="39" customFormat="1" ht="15" x14ac:dyDescent="0.25">
      <c r="C216" s="37"/>
      <c r="D216" s="65"/>
      <c r="E216" s="65"/>
      <c r="F216" s="65"/>
      <c r="H216" s="40"/>
      <c r="I216" s="41"/>
      <c r="J216" s="41"/>
      <c r="K216" s="41"/>
      <c r="L216" s="41"/>
      <c r="M216" s="42"/>
      <c r="N216" s="42"/>
      <c r="O216" s="38"/>
      <c r="P216" s="38"/>
      <c r="Q216" s="38"/>
    </row>
    <row r="217" spans="3:17" s="39" customFormat="1" ht="15" x14ac:dyDescent="0.25">
      <c r="C217" s="37"/>
      <c r="D217" s="65"/>
      <c r="E217" s="65"/>
      <c r="F217" s="65"/>
      <c r="H217" s="40"/>
      <c r="I217" s="41"/>
      <c r="J217" s="41"/>
      <c r="K217" s="41"/>
      <c r="L217" s="41"/>
      <c r="M217" s="42"/>
      <c r="N217" s="42"/>
      <c r="O217" s="38"/>
      <c r="P217" s="38"/>
      <c r="Q217" s="38"/>
    </row>
    <row r="218" spans="3:17" s="39" customFormat="1" ht="15" x14ac:dyDescent="0.25">
      <c r="C218" s="37"/>
      <c r="D218" s="65"/>
      <c r="E218" s="65"/>
      <c r="F218" s="65"/>
      <c r="H218" s="40"/>
      <c r="I218" s="41"/>
      <c r="J218" s="41"/>
      <c r="K218" s="41"/>
      <c r="L218" s="41"/>
      <c r="M218" s="42"/>
      <c r="N218" s="42"/>
      <c r="O218" s="38"/>
      <c r="P218" s="38"/>
      <c r="Q218" s="38"/>
    </row>
    <row r="219" spans="3:17" s="39" customFormat="1" ht="15" x14ac:dyDescent="0.25">
      <c r="C219" s="37"/>
      <c r="D219" s="65"/>
      <c r="E219" s="65"/>
      <c r="F219" s="65"/>
      <c r="H219" s="40"/>
      <c r="I219" s="41"/>
      <c r="J219" s="41"/>
      <c r="K219" s="41"/>
      <c r="L219" s="41"/>
      <c r="M219" s="42"/>
      <c r="N219" s="42"/>
      <c r="O219" s="38"/>
      <c r="P219" s="38"/>
      <c r="Q219" s="38"/>
    </row>
    <row r="220" spans="3:17" s="39" customFormat="1" ht="15" x14ac:dyDescent="0.25">
      <c r="C220" s="37"/>
      <c r="D220" s="65"/>
      <c r="E220" s="65"/>
      <c r="F220" s="65"/>
      <c r="H220" s="40"/>
      <c r="I220" s="41"/>
      <c r="J220" s="41"/>
      <c r="K220" s="41"/>
      <c r="L220" s="41"/>
      <c r="M220" s="42"/>
      <c r="N220" s="42"/>
      <c r="O220" s="38"/>
      <c r="P220" s="38"/>
      <c r="Q220" s="38"/>
    </row>
    <row r="221" spans="3:17" s="39" customFormat="1" ht="15" x14ac:dyDescent="0.25">
      <c r="C221" s="37"/>
      <c r="D221" s="65"/>
      <c r="E221" s="65"/>
      <c r="F221" s="65"/>
      <c r="H221" s="40"/>
      <c r="I221" s="41"/>
      <c r="J221" s="41"/>
      <c r="K221" s="41"/>
      <c r="L221" s="41"/>
      <c r="M221" s="42"/>
      <c r="N221" s="42"/>
      <c r="O221" s="38"/>
      <c r="P221" s="38"/>
      <c r="Q221" s="38"/>
    </row>
    <row r="222" spans="3:17" s="39" customFormat="1" ht="15" x14ac:dyDescent="0.25">
      <c r="C222" s="37"/>
      <c r="D222" s="65"/>
      <c r="E222" s="65"/>
      <c r="F222" s="65"/>
      <c r="H222" s="40"/>
      <c r="I222" s="41"/>
      <c r="J222" s="41"/>
      <c r="K222" s="41"/>
      <c r="L222" s="41"/>
      <c r="M222" s="42"/>
      <c r="N222" s="42"/>
      <c r="O222" s="38"/>
      <c r="P222" s="38"/>
      <c r="Q222" s="38"/>
    </row>
    <row r="223" spans="3:17" s="39" customFormat="1" ht="15" x14ac:dyDescent="0.25">
      <c r="C223" s="37"/>
      <c r="D223" s="65"/>
      <c r="E223" s="65"/>
      <c r="F223" s="65"/>
      <c r="H223" s="40"/>
      <c r="I223" s="41"/>
      <c r="J223" s="41"/>
      <c r="K223" s="41"/>
      <c r="L223" s="41"/>
      <c r="M223" s="42"/>
      <c r="N223" s="42"/>
      <c r="O223" s="38"/>
      <c r="P223" s="38"/>
      <c r="Q223" s="38"/>
    </row>
    <row r="224" spans="3:17" s="39" customFormat="1" ht="15" x14ac:dyDescent="0.25">
      <c r="C224" s="37"/>
      <c r="D224" s="65"/>
      <c r="E224" s="65"/>
      <c r="F224" s="65"/>
      <c r="H224" s="40"/>
      <c r="I224" s="41"/>
      <c r="J224" s="41"/>
      <c r="K224" s="41"/>
      <c r="L224" s="41"/>
      <c r="M224" s="42"/>
      <c r="N224" s="42"/>
      <c r="O224" s="38"/>
      <c r="P224" s="38"/>
      <c r="Q224" s="38"/>
    </row>
    <row r="225" spans="3:17" s="39" customFormat="1" ht="15" x14ac:dyDescent="0.25">
      <c r="C225" s="37"/>
      <c r="D225" s="65"/>
      <c r="E225" s="65"/>
      <c r="F225" s="65"/>
      <c r="H225" s="40"/>
      <c r="I225" s="41"/>
      <c r="J225" s="41"/>
      <c r="K225" s="41"/>
      <c r="L225" s="41"/>
      <c r="M225" s="42"/>
      <c r="N225" s="42"/>
      <c r="O225" s="38"/>
      <c r="P225" s="38"/>
      <c r="Q225" s="38"/>
    </row>
    <row r="226" spans="3:17" s="39" customFormat="1" ht="15" x14ac:dyDescent="0.25">
      <c r="C226" s="37"/>
      <c r="D226" s="65"/>
      <c r="E226" s="65"/>
      <c r="F226" s="65"/>
      <c r="H226" s="40"/>
      <c r="I226" s="41"/>
      <c r="J226" s="41"/>
      <c r="K226" s="41"/>
      <c r="L226" s="41"/>
      <c r="M226" s="42"/>
      <c r="N226" s="42"/>
      <c r="O226" s="38"/>
      <c r="P226" s="38"/>
      <c r="Q226" s="38"/>
    </row>
    <row r="227" spans="3:17" s="39" customFormat="1" ht="15" x14ac:dyDescent="0.25">
      <c r="C227" s="37"/>
      <c r="D227" s="65"/>
      <c r="E227" s="65"/>
      <c r="F227" s="65"/>
      <c r="H227" s="40"/>
      <c r="I227" s="41"/>
      <c r="J227" s="41"/>
      <c r="K227" s="41"/>
      <c r="L227" s="41"/>
      <c r="M227" s="42"/>
      <c r="N227" s="42"/>
      <c r="O227" s="38"/>
      <c r="P227" s="38"/>
      <c r="Q227" s="38"/>
    </row>
    <row r="228" spans="3:17" s="39" customFormat="1" ht="15" x14ac:dyDescent="0.25">
      <c r="C228" s="37"/>
      <c r="D228" s="65"/>
      <c r="E228" s="65"/>
      <c r="F228" s="65"/>
      <c r="H228" s="40"/>
      <c r="I228" s="41"/>
      <c r="J228" s="41"/>
      <c r="K228" s="41"/>
      <c r="L228" s="41"/>
      <c r="M228" s="42"/>
      <c r="N228" s="42"/>
      <c r="O228" s="38"/>
      <c r="P228" s="38"/>
      <c r="Q228" s="38"/>
    </row>
    <row r="229" spans="3:17" s="39" customFormat="1" ht="15" x14ac:dyDescent="0.25">
      <c r="C229" s="37"/>
      <c r="D229" s="65"/>
      <c r="E229" s="65"/>
      <c r="F229" s="65"/>
      <c r="H229" s="40"/>
      <c r="I229" s="41"/>
      <c r="J229" s="41"/>
      <c r="K229" s="41"/>
      <c r="L229" s="41"/>
      <c r="M229" s="42"/>
      <c r="N229" s="42"/>
      <c r="O229" s="38"/>
      <c r="P229" s="38"/>
      <c r="Q229" s="38"/>
    </row>
    <row r="230" spans="3:17" s="39" customFormat="1" ht="15" x14ac:dyDescent="0.25">
      <c r="C230" s="37"/>
      <c r="D230" s="65"/>
      <c r="E230" s="65"/>
      <c r="F230" s="65"/>
      <c r="H230" s="40"/>
      <c r="I230" s="41"/>
      <c r="J230" s="41"/>
      <c r="K230" s="41"/>
      <c r="L230" s="41"/>
      <c r="M230" s="42"/>
      <c r="N230" s="42"/>
      <c r="O230" s="38"/>
      <c r="P230" s="38"/>
      <c r="Q230" s="38"/>
    </row>
    <row r="231" spans="3:17" s="39" customFormat="1" ht="15" x14ac:dyDescent="0.25">
      <c r="C231" s="37"/>
      <c r="D231" s="65"/>
      <c r="E231" s="65"/>
      <c r="F231" s="65"/>
      <c r="H231" s="40"/>
      <c r="I231" s="41"/>
      <c r="J231" s="41"/>
      <c r="K231" s="41"/>
      <c r="L231" s="41"/>
      <c r="M231" s="42"/>
      <c r="N231" s="42"/>
      <c r="O231" s="38"/>
      <c r="P231" s="38"/>
      <c r="Q231" s="38"/>
    </row>
    <row r="232" spans="3:17" s="39" customFormat="1" ht="15" x14ac:dyDescent="0.25">
      <c r="C232" s="37"/>
      <c r="D232" s="65"/>
      <c r="E232" s="65"/>
      <c r="F232" s="65"/>
      <c r="H232" s="40"/>
      <c r="I232" s="41"/>
      <c r="J232" s="41"/>
      <c r="K232" s="41"/>
      <c r="L232" s="41"/>
      <c r="M232" s="42"/>
      <c r="N232" s="42"/>
      <c r="O232" s="38"/>
      <c r="P232" s="38"/>
      <c r="Q232" s="38"/>
    </row>
    <row r="233" spans="3:17" s="39" customFormat="1" ht="15" x14ac:dyDescent="0.25">
      <c r="C233" s="37"/>
      <c r="D233" s="65"/>
      <c r="E233" s="65"/>
      <c r="F233" s="65"/>
      <c r="H233" s="40"/>
      <c r="I233" s="41"/>
      <c r="J233" s="41"/>
      <c r="K233" s="41"/>
      <c r="L233" s="41"/>
      <c r="M233" s="42"/>
      <c r="N233" s="42"/>
      <c r="O233" s="38"/>
      <c r="P233" s="38"/>
      <c r="Q233" s="38"/>
    </row>
    <row r="234" spans="3:17" s="39" customFormat="1" ht="15" x14ac:dyDescent="0.25">
      <c r="C234" s="37"/>
      <c r="D234" s="65"/>
      <c r="E234" s="65"/>
      <c r="F234" s="65"/>
      <c r="H234" s="40"/>
      <c r="I234" s="41"/>
      <c r="J234" s="41"/>
      <c r="K234" s="41"/>
      <c r="L234" s="41"/>
      <c r="M234" s="42"/>
      <c r="N234" s="42"/>
      <c r="O234" s="38"/>
      <c r="P234" s="38"/>
      <c r="Q234" s="38"/>
    </row>
    <row r="235" spans="3:17" s="39" customFormat="1" ht="15" x14ac:dyDescent="0.25">
      <c r="C235" s="37"/>
      <c r="D235" s="65"/>
      <c r="E235" s="65"/>
      <c r="F235" s="65"/>
      <c r="H235" s="40"/>
      <c r="I235" s="41"/>
      <c r="J235" s="41"/>
      <c r="K235" s="41"/>
      <c r="L235" s="41"/>
      <c r="M235" s="42"/>
      <c r="N235" s="42"/>
      <c r="O235" s="38"/>
      <c r="P235" s="38"/>
      <c r="Q235" s="38"/>
    </row>
    <row r="236" spans="3:17" s="39" customFormat="1" ht="15" x14ac:dyDescent="0.25">
      <c r="C236" s="37"/>
      <c r="D236" s="65"/>
      <c r="E236" s="65"/>
      <c r="F236" s="65"/>
      <c r="H236" s="40"/>
      <c r="I236" s="41"/>
      <c r="J236" s="41"/>
      <c r="K236" s="41"/>
      <c r="L236" s="41"/>
      <c r="M236" s="42"/>
      <c r="N236" s="42"/>
      <c r="O236" s="38"/>
      <c r="P236" s="38"/>
      <c r="Q236" s="38"/>
    </row>
    <row r="237" spans="3:17" s="39" customFormat="1" ht="15" x14ac:dyDescent="0.25">
      <c r="C237" s="37"/>
      <c r="D237" s="65"/>
      <c r="E237" s="65"/>
      <c r="F237" s="65"/>
      <c r="H237" s="40"/>
      <c r="I237" s="41"/>
      <c r="J237" s="41"/>
      <c r="K237" s="41"/>
      <c r="L237" s="41"/>
      <c r="M237" s="42"/>
      <c r="N237" s="42"/>
      <c r="O237" s="38"/>
      <c r="P237" s="38"/>
      <c r="Q237" s="38"/>
    </row>
    <row r="238" spans="3:17" s="39" customFormat="1" ht="15" x14ac:dyDescent="0.25">
      <c r="C238" s="37"/>
      <c r="D238" s="65"/>
      <c r="E238" s="65"/>
      <c r="F238" s="65"/>
      <c r="H238" s="40"/>
      <c r="I238" s="41"/>
      <c r="J238" s="41"/>
      <c r="K238" s="41"/>
      <c r="L238" s="41"/>
      <c r="M238" s="42"/>
      <c r="N238" s="42"/>
      <c r="O238" s="38"/>
      <c r="P238" s="38"/>
      <c r="Q238" s="38"/>
    </row>
    <row r="239" spans="3:17" s="39" customFormat="1" ht="15" x14ac:dyDescent="0.25">
      <c r="C239" s="37"/>
      <c r="D239" s="65"/>
      <c r="E239" s="65"/>
      <c r="F239" s="65"/>
      <c r="H239" s="40"/>
      <c r="I239" s="41"/>
      <c r="J239" s="41"/>
      <c r="K239" s="41"/>
      <c r="L239" s="41"/>
      <c r="M239" s="42"/>
      <c r="N239" s="42"/>
      <c r="O239" s="38"/>
      <c r="P239" s="38"/>
      <c r="Q239" s="38"/>
    </row>
    <row r="240" spans="3:17" s="39" customFormat="1" ht="15" x14ac:dyDescent="0.25">
      <c r="C240" s="37"/>
      <c r="D240" s="65"/>
      <c r="E240" s="65"/>
      <c r="F240" s="65"/>
      <c r="H240" s="40"/>
      <c r="I240" s="41"/>
      <c r="J240" s="41"/>
      <c r="K240" s="41"/>
      <c r="L240" s="41"/>
      <c r="M240" s="42"/>
      <c r="N240" s="42"/>
      <c r="O240" s="38"/>
      <c r="P240" s="38"/>
      <c r="Q240" s="38"/>
    </row>
    <row r="241" spans="3:17" s="39" customFormat="1" ht="15" x14ac:dyDescent="0.25">
      <c r="C241" s="37"/>
      <c r="D241" s="65"/>
      <c r="E241" s="65"/>
      <c r="F241" s="65"/>
      <c r="H241" s="40"/>
      <c r="I241" s="41"/>
      <c r="J241" s="41"/>
      <c r="K241" s="41"/>
      <c r="L241" s="41"/>
      <c r="M241" s="42"/>
      <c r="N241" s="42"/>
      <c r="O241" s="38"/>
      <c r="P241" s="38"/>
      <c r="Q241" s="38"/>
    </row>
    <row r="242" spans="3:17" s="39" customFormat="1" ht="15" x14ac:dyDescent="0.25">
      <c r="C242" s="37"/>
      <c r="D242" s="65"/>
      <c r="E242" s="65"/>
      <c r="F242" s="65"/>
      <c r="H242" s="40"/>
      <c r="I242" s="41"/>
      <c r="J242" s="41"/>
      <c r="K242" s="41"/>
      <c r="L242" s="41"/>
      <c r="M242" s="42"/>
      <c r="N242" s="42"/>
      <c r="O242" s="38"/>
      <c r="P242" s="38"/>
      <c r="Q242" s="38"/>
    </row>
    <row r="243" spans="3:17" s="39" customFormat="1" ht="15" x14ac:dyDescent="0.25">
      <c r="C243" s="37"/>
      <c r="D243" s="65"/>
      <c r="E243" s="65"/>
      <c r="F243" s="65"/>
      <c r="H243" s="40"/>
      <c r="I243" s="41"/>
      <c r="J243" s="41"/>
      <c r="K243" s="41"/>
      <c r="L243" s="41"/>
      <c r="M243" s="42"/>
      <c r="N243" s="42"/>
      <c r="O243" s="38"/>
      <c r="P243" s="38"/>
      <c r="Q243" s="38"/>
    </row>
    <row r="244" spans="3:17" s="39" customFormat="1" ht="15" x14ac:dyDescent="0.25">
      <c r="C244" s="37"/>
      <c r="D244" s="65"/>
      <c r="E244" s="65"/>
      <c r="F244" s="65"/>
      <c r="H244" s="40"/>
      <c r="I244" s="41"/>
      <c r="J244" s="41"/>
      <c r="K244" s="41"/>
      <c r="L244" s="41"/>
      <c r="M244" s="42"/>
      <c r="N244" s="42"/>
      <c r="O244" s="38"/>
      <c r="P244" s="38"/>
      <c r="Q244" s="38"/>
    </row>
    <row r="245" spans="3:17" s="39" customFormat="1" ht="15" x14ac:dyDescent="0.25">
      <c r="C245" s="37"/>
      <c r="D245" s="65"/>
      <c r="E245" s="65"/>
      <c r="F245" s="65"/>
      <c r="H245" s="40"/>
      <c r="I245" s="41"/>
      <c r="J245" s="41"/>
      <c r="K245" s="41"/>
      <c r="L245" s="41"/>
      <c r="M245" s="42"/>
      <c r="N245" s="42"/>
      <c r="O245" s="38"/>
      <c r="P245" s="38"/>
      <c r="Q245" s="38"/>
    </row>
    <row r="246" spans="3:17" s="39" customFormat="1" ht="15" x14ac:dyDescent="0.25">
      <c r="C246" s="37"/>
      <c r="D246" s="65"/>
      <c r="E246" s="65"/>
      <c r="F246" s="65"/>
      <c r="H246" s="40"/>
      <c r="I246" s="41"/>
      <c r="J246" s="41"/>
      <c r="K246" s="41"/>
      <c r="L246" s="41"/>
      <c r="M246" s="42"/>
      <c r="N246" s="42"/>
      <c r="O246" s="38"/>
      <c r="P246" s="38"/>
      <c r="Q246" s="38"/>
    </row>
    <row r="247" spans="3:17" s="39" customFormat="1" ht="15" x14ac:dyDescent="0.25">
      <c r="C247" s="37"/>
      <c r="D247" s="65"/>
      <c r="E247" s="65"/>
      <c r="F247" s="65"/>
      <c r="H247" s="40"/>
      <c r="I247" s="41"/>
      <c r="J247" s="41"/>
      <c r="K247" s="41"/>
      <c r="L247" s="41"/>
      <c r="M247" s="42"/>
      <c r="N247" s="42"/>
      <c r="O247" s="38"/>
      <c r="P247" s="38"/>
      <c r="Q247" s="38"/>
    </row>
    <row r="248" spans="3:17" s="39" customFormat="1" ht="15" x14ac:dyDescent="0.25">
      <c r="C248" s="37"/>
      <c r="D248" s="65"/>
      <c r="E248" s="65"/>
      <c r="F248" s="65"/>
      <c r="H248" s="40"/>
      <c r="I248" s="41"/>
      <c r="J248" s="41"/>
      <c r="K248" s="41"/>
      <c r="L248" s="41"/>
      <c r="M248" s="42"/>
      <c r="N248" s="42"/>
      <c r="O248" s="38"/>
      <c r="P248" s="38"/>
      <c r="Q248" s="38"/>
    </row>
    <row r="249" spans="3:17" s="39" customFormat="1" ht="15" x14ac:dyDescent="0.25">
      <c r="C249" s="37"/>
      <c r="D249" s="65"/>
      <c r="E249" s="65"/>
      <c r="F249" s="65"/>
      <c r="H249" s="40"/>
      <c r="I249" s="41"/>
      <c r="J249" s="41"/>
      <c r="K249" s="41"/>
      <c r="L249" s="41"/>
      <c r="M249" s="42"/>
      <c r="N249" s="42"/>
      <c r="O249" s="38"/>
      <c r="P249" s="38"/>
      <c r="Q249" s="38"/>
    </row>
    <row r="250" spans="3:17" s="39" customFormat="1" ht="15" x14ac:dyDescent="0.25">
      <c r="C250" s="37"/>
      <c r="D250" s="65"/>
      <c r="E250" s="65"/>
      <c r="F250" s="65"/>
      <c r="H250" s="40"/>
      <c r="I250" s="41"/>
      <c r="J250" s="41"/>
      <c r="K250" s="41"/>
      <c r="L250" s="41"/>
      <c r="M250" s="42"/>
      <c r="N250" s="42"/>
      <c r="O250" s="38"/>
      <c r="P250" s="38"/>
      <c r="Q250" s="38"/>
    </row>
    <row r="251" spans="3:17" s="39" customFormat="1" ht="15" x14ac:dyDescent="0.25">
      <c r="C251" s="37"/>
      <c r="D251" s="65"/>
      <c r="E251" s="65"/>
      <c r="F251" s="65"/>
      <c r="H251" s="40"/>
      <c r="I251" s="41"/>
      <c r="J251" s="41"/>
      <c r="K251" s="41"/>
      <c r="L251" s="41"/>
      <c r="M251" s="42"/>
      <c r="N251" s="42"/>
      <c r="O251" s="38"/>
      <c r="P251" s="38"/>
      <c r="Q251" s="38"/>
    </row>
    <row r="252" spans="3:17" s="39" customFormat="1" ht="15" x14ac:dyDescent="0.25">
      <c r="C252" s="37"/>
      <c r="D252" s="65"/>
      <c r="E252" s="65"/>
      <c r="F252" s="65"/>
      <c r="H252" s="40"/>
      <c r="I252" s="41"/>
      <c r="J252" s="41"/>
      <c r="K252" s="41"/>
      <c r="L252" s="41"/>
      <c r="M252" s="42"/>
      <c r="N252" s="42"/>
      <c r="O252" s="38"/>
      <c r="P252" s="38"/>
      <c r="Q252" s="38"/>
    </row>
    <row r="253" spans="3:17" s="39" customFormat="1" ht="15" x14ac:dyDescent="0.25">
      <c r="C253" s="37"/>
      <c r="D253" s="65"/>
      <c r="E253" s="65"/>
      <c r="F253" s="65"/>
      <c r="H253" s="40"/>
      <c r="I253" s="41"/>
      <c r="J253" s="41"/>
      <c r="K253" s="41"/>
      <c r="L253" s="41"/>
      <c r="M253" s="42"/>
      <c r="N253" s="42"/>
      <c r="O253" s="38"/>
      <c r="P253" s="38"/>
      <c r="Q253" s="38"/>
    </row>
    <row r="254" spans="3:17" s="39" customFormat="1" ht="15" x14ac:dyDescent="0.25">
      <c r="C254" s="37"/>
      <c r="D254" s="65"/>
      <c r="E254" s="65"/>
      <c r="F254" s="65"/>
      <c r="H254" s="40"/>
      <c r="I254" s="41"/>
      <c r="J254" s="41"/>
      <c r="K254" s="41"/>
      <c r="L254" s="41"/>
      <c r="M254" s="42"/>
      <c r="N254" s="42"/>
      <c r="O254" s="38"/>
      <c r="P254" s="38"/>
      <c r="Q254" s="38"/>
    </row>
    <row r="255" spans="3:17" s="39" customFormat="1" ht="15" x14ac:dyDescent="0.25">
      <c r="C255" s="37"/>
      <c r="D255" s="65"/>
      <c r="E255" s="65"/>
      <c r="F255" s="65"/>
      <c r="H255" s="40"/>
      <c r="I255" s="41"/>
      <c r="J255" s="41"/>
      <c r="K255" s="41"/>
      <c r="L255" s="41"/>
      <c r="M255" s="42"/>
      <c r="N255" s="42"/>
      <c r="O255" s="38"/>
      <c r="P255" s="38"/>
      <c r="Q255" s="38"/>
    </row>
    <row r="256" spans="3:17" s="39" customFormat="1" ht="15" x14ac:dyDescent="0.25">
      <c r="C256" s="37"/>
      <c r="D256" s="65"/>
      <c r="E256" s="65"/>
      <c r="F256" s="65"/>
      <c r="H256" s="40"/>
      <c r="I256" s="41"/>
      <c r="J256" s="41"/>
      <c r="K256" s="41"/>
      <c r="L256" s="41"/>
      <c r="M256" s="42"/>
      <c r="N256" s="42"/>
      <c r="O256" s="38"/>
      <c r="P256" s="38"/>
      <c r="Q256" s="38"/>
    </row>
    <row r="257" spans="3:17" s="39" customFormat="1" ht="15" x14ac:dyDescent="0.25">
      <c r="C257" s="37"/>
      <c r="D257" s="65"/>
      <c r="E257" s="65"/>
      <c r="F257" s="65"/>
      <c r="H257" s="40"/>
      <c r="I257" s="41"/>
      <c r="J257" s="41"/>
      <c r="K257" s="41"/>
      <c r="L257" s="41"/>
      <c r="M257" s="42"/>
      <c r="N257" s="42"/>
      <c r="O257" s="38"/>
      <c r="P257" s="38"/>
      <c r="Q257" s="38"/>
    </row>
    <row r="258" spans="3:17" s="39" customFormat="1" ht="15" x14ac:dyDescent="0.25">
      <c r="C258" s="37"/>
      <c r="D258" s="65"/>
      <c r="E258" s="65"/>
      <c r="F258" s="65"/>
      <c r="H258" s="40"/>
      <c r="I258" s="41"/>
      <c r="J258" s="41"/>
      <c r="K258" s="41"/>
      <c r="L258" s="41"/>
      <c r="M258" s="42"/>
      <c r="N258" s="42"/>
      <c r="O258" s="38"/>
      <c r="P258" s="38"/>
      <c r="Q258" s="38"/>
    </row>
    <row r="259" spans="3:17" s="39" customFormat="1" ht="15" x14ac:dyDescent="0.25">
      <c r="C259" s="37"/>
      <c r="D259" s="65"/>
      <c r="E259" s="65"/>
      <c r="F259" s="65"/>
      <c r="H259" s="40"/>
      <c r="I259" s="41"/>
      <c r="J259" s="41"/>
      <c r="K259" s="41"/>
      <c r="L259" s="41"/>
      <c r="M259" s="42"/>
      <c r="N259" s="42"/>
      <c r="O259" s="38"/>
      <c r="P259" s="38"/>
      <c r="Q259" s="38"/>
    </row>
    <row r="260" spans="3:17" s="39" customFormat="1" ht="15" x14ac:dyDescent="0.25">
      <c r="C260" s="37"/>
      <c r="D260" s="65"/>
      <c r="E260" s="65"/>
      <c r="F260" s="65"/>
      <c r="H260" s="40"/>
      <c r="I260" s="41"/>
      <c r="J260" s="41"/>
      <c r="K260" s="41"/>
      <c r="L260" s="41"/>
      <c r="M260" s="42"/>
      <c r="N260" s="42"/>
      <c r="O260" s="38"/>
      <c r="P260" s="38"/>
      <c r="Q260" s="38"/>
    </row>
    <row r="261" spans="3:17" s="39" customFormat="1" ht="15" x14ac:dyDescent="0.25">
      <c r="C261" s="37"/>
      <c r="D261" s="65"/>
      <c r="E261" s="65"/>
      <c r="F261" s="65"/>
      <c r="H261" s="40"/>
      <c r="I261" s="41"/>
      <c r="J261" s="41"/>
      <c r="K261" s="41"/>
      <c r="L261" s="41"/>
      <c r="M261" s="42"/>
      <c r="N261" s="42"/>
      <c r="O261" s="38"/>
      <c r="P261" s="38"/>
      <c r="Q261" s="38"/>
    </row>
    <row r="262" spans="3:17" s="39" customFormat="1" ht="15" x14ac:dyDescent="0.25">
      <c r="C262" s="37"/>
      <c r="D262" s="65"/>
      <c r="E262" s="65"/>
      <c r="F262" s="65"/>
      <c r="H262" s="40"/>
      <c r="I262" s="41"/>
      <c r="J262" s="41"/>
      <c r="K262" s="41"/>
      <c r="L262" s="41"/>
      <c r="M262" s="42"/>
      <c r="N262" s="42"/>
      <c r="O262" s="38"/>
      <c r="P262" s="38"/>
      <c r="Q262" s="38"/>
    </row>
    <row r="263" spans="3:17" s="39" customFormat="1" ht="15" x14ac:dyDescent="0.25">
      <c r="C263" s="37"/>
      <c r="D263" s="65"/>
      <c r="E263" s="65"/>
      <c r="F263" s="65"/>
      <c r="H263" s="40"/>
      <c r="I263" s="41"/>
      <c r="J263" s="41"/>
      <c r="K263" s="41"/>
      <c r="L263" s="41"/>
      <c r="M263" s="42"/>
      <c r="N263" s="42"/>
      <c r="O263" s="38"/>
      <c r="P263" s="38"/>
      <c r="Q263" s="38"/>
    </row>
    <row r="264" spans="3:17" s="39" customFormat="1" ht="15" x14ac:dyDescent="0.25">
      <c r="C264" s="37"/>
      <c r="D264" s="65"/>
      <c r="E264" s="65"/>
      <c r="F264" s="65"/>
      <c r="H264" s="40"/>
      <c r="I264" s="41"/>
      <c r="J264" s="41"/>
      <c r="K264" s="41"/>
      <c r="L264" s="41"/>
      <c r="M264" s="42"/>
      <c r="N264" s="42"/>
      <c r="O264" s="38"/>
      <c r="P264" s="38"/>
      <c r="Q264" s="38"/>
    </row>
    <row r="265" spans="3:17" s="39" customFormat="1" ht="15" x14ac:dyDescent="0.25">
      <c r="C265" s="37"/>
      <c r="D265" s="65"/>
      <c r="E265" s="65"/>
      <c r="F265" s="65"/>
      <c r="H265" s="40"/>
      <c r="I265" s="41"/>
      <c r="J265" s="41"/>
      <c r="K265" s="41"/>
      <c r="L265" s="41"/>
      <c r="M265" s="42"/>
      <c r="N265" s="42"/>
      <c r="O265" s="38"/>
      <c r="P265" s="38"/>
      <c r="Q265" s="38"/>
    </row>
    <row r="266" spans="3:17" s="39" customFormat="1" ht="15" x14ac:dyDescent="0.25">
      <c r="C266" s="37"/>
      <c r="D266" s="65"/>
      <c r="E266" s="65"/>
      <c r="F266" s="65"/>
      <c r="H266" s="40"/>
      <c r="I266" s="41"/>
      <c r="J266" s="41"/>
      <c r="K266" s="41"/>
      <c r="L266" s="41"/>
      <c r="M266" s="42"/>
      <c r="N266" s="42"/>
      <c r="O266" s="38"/>
      <c r="P266" s="38"/>
      <c r="Q266" s="38"/>
    </row>
    <row r="267" spans="3:17" s="39" customFormat="1" ht="15" x14ac:dyDescent="0.25">
      <c r="C267" s="37"/>
      <c r="D267" s="65"/>
      <c r="E267" s="65"/>
      <c r="F267" s="65"/>
      <c r="H267" s="40"/>
      <c r="I267" s="41"/>
      <c r="J267" s="41"/>
      <c r="K267" s="41"/>
      <c r="L267" s="41"/>
      <c r="M267" s="42"/>
      <c r="N267" s="42"/>
      <c r="O267" s="38"/>
      <c r="P267" s="38"/>
      <c r="Q267" s="38"/>
    </row>
    <row r="268" spans="3:17" s="39" customFormat="1" ht="15" x14ac:dyDescent="0.25">
      <c r="C268" s="37"/>
      <c r="D268" s="65"/>
      <c r="E268" s="65"/>
      <c r="F268" s="65"/>
      <c r="H268" s="40"/>
      <c r="I268" s="41"/>
      <c r="J268" s="41"/>
      <c r="K268" s="41"/>
      <c r="L268" s="41"/>
      <c r="M268" s="42"/>
      <c r="N268" s="42"/>
      <c r="O268" s="38"/>
      <c r="P268" s="38"/>
      <c r="Q268" s="38"/>
    </row>
    <row r="269" spans="3:17" s="39" customFormat="1" ht="15" x14ac:dyDescent="0.25">
      <c r="C269" s="37"/>
      <c r="D269" s="65"/>
      <c r="E269" s="65"/>
      <c r="F269" s="65"/>
      <c r="H269" s="40"/>
      <c r="I269" s="41"/>
      <c r="J269" s="41"/>
      <c r="K269" s="41"/>
      <c r="L269" s="41"/>
      <c r="M269" s="42"/>
      <c r="N269" s="42"/>
      <c r="O269" s="38"/>
      <c r="P269" s="38"/>
      <c r="Q269" s="38"/>
    </row>
    <row r="270" spans="3:17" s="39" customFormat="1" ht="15" x14ac:dyDescent="0.25">
      <c r="C270" s="37"/>
      <c r="D270" s="65"/>
      <c r="E270" s="65"/>
      <c r="F270" s="65"/>
      <c r="H270" s="40"/>
      <c r="I270" s="41"/>
      <c r="J270" s="41"/>
      <c r="K270" s="41"/>
      <c r="L270" s="41"/>
      <c r="M270" s="42"/>
      <c r="N270" s="42"/>
      <c r="O270" s="38"/>
      <c r="P270" s="38"/>
      <c r="Q270" s="38"/>
    </row>
    <row r="271" spans="3:17" s="39" customFormat="1" ht="15" x14ac:dyDescent="0.25">
      <c r="C271" s="37"/>
      <c r="D271" s="65"/>
      <c r="E271" s="65"/>
      <c r="F271" s="65"/>
      <c r="H271" s="40"/>
      <c r="I271" s="41"/>
      <c r="J271" s="41"/>
      <c r="K271" s="41"/>
      <c r="L271" s="41"/>
      <c r="M271" s="42"/>
      <c r="N271" s="42"/>
      <c r="O271" s="38"/>
      <c r="P271" s="38"/>
      <c r="Q271" s="38"/>
    </row>
    <row r="272" spans="3:17" s="39" customFormat="1" ht="15" x14ac:dyDescent="0.25">
      <c r="C272" s="37"/>
      <c r="D272" s="65"/>
      <c r="E272" s="65"/>
      <c r="F272" s="65"/>
      <c r="H272" s="40"/>
      <c r="I272" s="41"/>
      <c r="J272" s="41"/>
      <c r="K272" s="41"/>
      <c r="L272" s="41"/>
      <c r="M272" s="42"/>
      <c r="N272" s="42"/>
      <c r="O272" s="38"/>
      <c r="P272" s="38"/>
      <c r="Q272" s="38"/>
    </row>
    <row r="273" spans="3:17" s="39" customFormat="1" ht="15" x14ac:dyDescent="0.25">
      <c r="C273" s="37"/>
      <c r="D273" s="65"/>
      <c r="E273" s="65"/>
      <c r="F273" s="65"/>
      <c r="H273" s="40"/>
      <c r="I273" s="41"/>
      <c r="J273" s="41"/>
      <c r="K273" s="41"/>
      <c r="L273" s="41"/>
      <c r="M273" s="42"/>
      <c r="N273" s="42"/>
      <c r="O273" s="38"/>
      <c r="P273" s="38"/>
      <c r="Q273" s="38"/>
    </row>
    <row r="274" spans="3:17" s="39" customFormat="1" ht="15" x14ac:dyDescent="0.25">
      <c r="C274" s="37"/>
      <c r="D274" s="65"/>
      <c r="E274" s="65"/>
      <c r="F274" s="65"/>
      <c r="H274" s="40"/>
      <c r="I274" s="41"/>
      <c r="J274" s="41"/>
      <c r="K274" s="41"/>
      <c r="L274" s="41"/>
      <c r="M274" s="42"/>
      <c r="N274" s="42"/>
      <c r="O274" s="38"/>
      <c r="P274" s="38"/>
      <c r="Q274" s="38"/>
    </row>
    <row r="275" spans="3:17" s="39" customFormat="1" ht="15" x14ac:dyDescent="0.25">
      <c r="C275" s="37"/>
      <c r="D275" s="65"/>
      <c r="E275" s="65"/>
      <c r="F275" s="65"/>
      <c r="H275" s="40"/>
      <c r="I275" s="41"/>
      <c r="J275" s="41"/>
      <c r="K275" s="41"/>
      <c r="L275" s="41"/>
      <c r="M275" s="42"/>
      <c r="N275" s="42"/>
      <c r="O275" s="38"/>
      <c r="P275" s="38"/>
      <c r="Q275" s="38"/>
    </row>
    <row r="276" spans="3:17" s="39" customFormat="1" ht="15" x14ac:dyDescent="0.25">
      <c r="C276" s="37"/>
      <c r="D276" s="65"/>
      <c r="E276" s="65"/>
      <c r="F276" s="65"/>
      <c r="H276" s="40"/>
      <c r="I276" s="41"/>
      <c r="J276" s="41"/>
      <c r="K276" s="41"/>
      <c r="L276" s="41"/>
      <c r="M276" s="42"/>
      <c r="N276" s="42"/>
      <c r="O276" s="38"/>
      <c r="P276" s="38"/>
      <c r="Q276" s="38"/>
    </row>
    <row r="277" spans="3:17" s="39" customFormat="1" ht="15" x14ac:dyDescent="0.25">
      <c r="C277" s="37"/>
      <c r="D277" s="65"/>
      <c r="E277" s="65"/>
      <c r="F277" s="65"/>
      <c r="H277" s="40"/>
      <c r="I277" s="41"/>
      <c r="J277" s="41"/>
      <c r="K277" s="41"/>
      <c r="L277" s="41"/>
      <c r="M277" s="42"/>
      <c r="N277" s="42"/>
      <c r="O277" s="38"/>
      <c r="P277" s="38"/>
      <c r="Q277" s="38"/>
    </row>
    <row r="278" spans="3:17" s="39" customFormat="1" ht="15" x14ac:dyDescent="0.25">
      <c r="C278" s="37"/>
      <c r="D278" s="65"/>
      <c r="E278" s="65"/>
      <c r="F278" s="65"/>
      <c r="H278" s="40"/>
      <c r="I278" s="41"/>
      <c r="J278" s="41"/>
      <c r="K278" s="41"/>
      <c r="L278" s="41"/>
      <c r="M278" s="42"/>
      <c r="N278" s="42"/>
      <c r="O278" s="38"/>
      <c r="P278" s="38"/>
      <c r="Q278" s="38"/>
    </row>
    <row r="279" spans="3:17" s="39" customFormat="1" ht="15" x14ac:dyDescent="0.25">
      <c r="C279" s="37"/>
      <c r="D279" s="65"/>
      <c r="E279" s="65"/>
      <c r="F279" s="65"/>
      <c r="H279" s="40"/>
      <c r="I279" s="41"/>
      <c r="J279" s="41"/>
      <c r="K279" s="41"/>
      <c r="L279" s="41"/>
      <c r="M279" s="42"/>
      <c r="N279" s="42"/>
      <c r="O279" s="38"/>
      <c r="P279" s="38"/>
      <c r="Q279" s="38"/>
    </row>
    <row r="280" spans="3:17" s="39" customFormat="1" ht="15" x14ac:dyDescent="0.25">
      <c r="C280" s="37"/>
      <c r="D280" s="65"/>
      <c r="E280" s="65"/>
      <c r="F280" s="65"/>
      <c r="H280" s="40"/>
      <c r="I280" s="41"/>
      <c r="J280" s="41"/>
      <c r="K280" s="41"/>
      <c r="L280" s="41"/>
      <c r="M280" s="42"/>
      <c r="N280" s="42"/>
      <c r="O280" s="38"/>
      <c r="P280" s="38"/>
      <c r="Q280" s="38"/>
    </row>
    <row r="281" spans="3:17" s="39" customFormat="1" ht="15" x14ac:dyDescent="0.25">
      <c r="C281" s="37"/>
      <c r="D281" s="65"/>
      <c r="E281" s="65"/>
      <c r="F281" s="65"/>
      <c r="H281" s="40"/>
      <c r="I281" s="41"/>
      <c r="J281" s="41"/>
      <c r="K281" s="41"/>
      <c r="L281" s="41"/>
      <c r="M281" s="42"/>
      <c r="N281" s="42"/>
      <c r="O281" s="38"/>
      <c r="P281" s="38"/>
      <c r="Q281" s="38"/>
    </row>
    <row r="282" spans="3:17" s="39" customFormat="1" ht="15" x14ac:dyDescent="0.25">
      <c r="C282" s="37"/>
      <c r="D282" s="65"/>
      <c r="E282" s="65"/>
      <c r="F282" s="65"/>
      <c r="H282" s="40"/>
      <c r="I282" s="41"/>
      <c r="J282" s="41"/>
      <c r="K282" s="41"/>
      <c r="L282" s="41"/>
      <c r="M282" s="42"/>
      <c r="N282" s="42"/>
      <c r="O282" s="38"/>
      <c r="P282" s="38"/>
      <c r="Q282" s="38"/>
    </row>
    <row r="283" spans="3:17" s="39" customFormat="1" ht="15" x14ac:dyDescent="0.25">
      <c r="C283" s="37"/>
      <c r="D283" s="65"/>
      <c r="E283" s="65"/>
      <c r="F283" s="65"/>
      <c r="H283" s="40"/>
      <c r="I283" s="41"/>
      <c r="J283" s="41"/>
      <c r="K283" s="41"/>
      <c r="L283" s="41"/>
      <c r="M283" s="42"/>
      <c r="N283" s="42"/>
      <c r="O283" s="38"/>
      <c r="P283" s="38"/>
      <c r="Q283" s="38"/>
    </row>
    <row r="284" spans="3:17" s="39" customFormat="1" ht="15" x14ac:dyDescent="0.25">
      <c r="C284" s="37"/>
      <c r="D284" s="65"/>
      <c r="E284" s="65"/>
      <c r="F284" s="65"/>
      <c r="H284" s="40"/>
      <c r="I284" s="41"/>
      <c r="J284" s="41"/>
      <c r="K284" s="41"/>
      <c r="L284" s="41"/>
      <c r="M284" s="42"/>
      <c r="N284" s="42"/>
      <c r="O284" s="38"/>
      <c r="P284" s="38"/>
      <c r="Q284" s="38"/>
    </row>
    <row r="285" spans="3:17" s="39" customFormat="1" ht="15" x14ac:dyDescent="0.25">
      <c r="C285" s="37"/>
      <c r="D285" s="65"/>
      <c r="E285" s="65"/>
      <c r="F285" s="65"/>
      <c r="H285" s="40"/>
      <c r="I285" s="41"/>
      <c r="J285" s="41"/>
      <c r="K285" s="41"/>
      <c r="L285" s="41"/>
      <c r="M285" s="42"/>
      <c r="N285" s="42"/>
      <c r="O285" s="38"/>
      <c r="P285" s="38"/>
      <c r="Q285" s="38"/>
    </row>
    <row r="286" spans="3:17" s="39" customFormat="1" ht="15" x14ac:dyDescent="0.25">
      <c r="C286" s="37"/>
      <c r="D286" s="65"/>
      <c r="E286" s="65"/>
      <c r="F286" s="65"/>
      <c r="H286" s="40"/>
      <c r="I286" s="41"/>
      <c r="J286" s="41"/>
      <c r="K286" s="41"/>
      <c r="L286" s="41"/>
      <c r="M286" s="42"/>
      <c r="N286" s="42"/>
      <c r="O286" s="38"/>
      <c r="P286" s="38"/>
      <c r="Q286" s="38"/>
    </row>
    <row r="287" spans="3:17" s="39" customFormat="1" ht="15" x14ac:dyDescent="0.25">
      <c r="C287" s="37"/>
      <c r="D287" s="65"/>
      <c r="E287" s="65"/>
      <c r="F287" s="65"/>
      <c r="H287" s="40"/>
      <c r="I287" s="41"/>
      <c r="J287" s="41"/>
      <c r="K287" s="41"/>
      <c r="L287" s="41"/>
      <c r="M287" s="42"/>
      <c r="N287" s="42"/>
      <c r="O287" s="38"/>
      <c r="P287" s="38"/>
      <c r="Q287" s="38"/>
    </row>
    <row r="288" spans="3:17" s="39" customFormat="1" ht="15" x14ac:dyDescent="0.25">
      <c r="C288" s="37"/>
      <c r="D288" s="65"/>
      <c r="E288" s="65"/>
      <c r="F288" s="65"/>
      <c r="H288" s="40"/>
      <c r="I288" s="41"/>
      <c r="J288" s="41"/>
      <c r="K288" s="41"/>
      <c r="L288" s="41"/>
      <c r="M288" s="42"/>
      <c r="N288" s="42"/>
      <c r="O288" s="38"/>
      <c r="P288" s="38"/>
      <c r="Q288" s="38"/>
    </row>
    <row r="289" spans="3:17" s="39" customFormat="1" ht="15" x14ac:dyDescent="0.25">
      <c r="C289" s="37"/>
      <c r="D289" s="65"/>
      <c r="E289" s="65"/>
      <c r="F289" s="65"/>
      <c r="H289" s="40"/>
      <c r="I289" s="41"/>
      <c r="J289" s="41"/>
      <c r="K289" s="41"/>
      <c r="L289" s="41"/>
      <c r="M289" s="42"/>
      <c r="N289" s="42"/>
      <c r="O289" s="38"/>
      <c r="P289" s="38"/>
      <c r="Q289" s="38"/>
    </row>
    <row r="290" spans="3:17" s="39" customFormat="1" ht="15" x14ac:dyDescent="0.25">
      <c r="C290" s="37"/>
      <c r="D290" s="65"/>
      <c r="E290" s="65"/>
      <c r="F290" s="65"/>
      <c r="H290" s="40"/>
      <c r="I290" s="41"/>
      <c r="J290" s="41"/>
      <c r="K290" s="41"/>
      <c r="L290" s="41"/>
      <c r="M290" s="42"/>
      <c r="N290" s="42"/>
      <c r="O290" s="38"/>
      <c r="P290" s="38"/>
      <c r="Q290" s="38"/>
    </row>
    <row r="291" spans="3:17" s="39" customFormat="1" ht="15" x14ac:dyDescent="0.25">
      <c r="C291" s="37"/>
      <c r="D291" s="65"/>
      <c r="E291" s="65"/>
      <c r="F291" s="65"/>
      <c r="H291" s="40"/>
      <c r="I291" s="41"/>
      <c r="J291" s="41"/>
      <c r="K291" s="41"/>
      <c r="L291" s="41"/>
      <c r="M291" s="42"/>
      <c r="N291" s="42"/>
      <c r="O291" s="38"/>
      <c r="P291" s="38"/>
      <c r="Q291" s="38"/>
    </row>
    <row r="292" spans="3:17" s="39" customFormat="1" ht="15" x14ac:dyDescent="0.25">
      <c r="C292" s="37"/>
      <c r="D292" s="65"/>
      <c r="E292" s="65"/>
      <c r="F292" s="65"/>
      <c r="H292" s="40"/>
      <c r="I292" s="41"/>
      <c r="J292" s="41"/>
      <c r="K292" s="41"/>
      <c r="L292" s="41"/>
      <c r="M292" s="42"/>
      <c r="N292" s="42"/>
      <c r="O292" s="38"/>
      <c r="P292" s="38"/>
      <c r="Q292" s="38"/>
    </row>
    <row r="293" spans="3:17" s="39" customFormat="1" ht="15" x14ac:dyDescent="0.25">
      <c r="C293" s="37"/>
      <c r="D293" s="65"/>
      <c r="E293" s="65"/>
      <c r="F293" s="65"/>
      <c r="H293" s="40"/>
      <c r="I293" s="41"/>
      <c r="J293" s="41"/>
      <c r="K293" s="41"/>
      <c r="L293" s="41"/>
      <c r="M293" s="42"/>
      <c r="N293" s="42"/>
      <c r="O293" s="38"/>
      <c r="P293" s="38"/>
      <c r="Q293" s="38"/>
    </row>
    <row r="294" spans="3:17" s="39" customFormat="1" ht="15" x14ac:dyDescent="0.25">
      <c r="C294" s="37"/>
      <c r="D294" s="65"/>
      <c r="E294" s="65"/>
      <c r="F294" s="65"/>
      <c r="H294" s="40"/>
      <c r="I294" s="41"/>
      <c r="J294" s="41"/>
      <c r="K294" s="41"/>
      <c r="L294" s="41"/>
      <c r="M294" s="42"/>
      <c r="N294" s="42"/>
      <c r="O294" s="38"/>
      <c r="P294" s="38"/>
      <c r="Q294" s="38"/>
    </row>
    <row r="295" spans="3:17" s="39" customFormat="1" ht="15" x14ac:dyDescent="0.25">
      <c r="C295" s="37"/>
      <c r="D295" s="65"/>
      <c r="E295" s="65"/>
      <c r="F295" s="65"/>
      <c r="H295" s="40"/>
      <c r="I295" s="41"/>
      <c r="J295" s="41"/>
      <c r="K295" s="41"/>
      <c r="L295" s="41"/>
      <c r="M295" s="42"/>
      <c r="N295" s="42"/>
      <c r="O295" s="38"/>
      <c r="P295" s="38"/>
      <c r="Q295" s="38"/>
    </row>
    <row r="296" spans="3:17" s="39" customFormat="1" ht="15" x14ac:dyDescent="0.25">
      <c r="C296" s="37"/>
      <c r="D296" s="65"/>
      <c r="E296" s="65"/>
      <c r="F296" s="65"/>
      <c r="H296" s="40"/>
      <c r="I296" s="41"/>
      <c r="J296" s="41"/>
      <c r="K296" s="41"/>
      <c r="L296" s="41"/>
      <c r="M296" s="42"/>
      <c r="N296" s="42"/>
      <c r="O296" s="38"/>
      <c r="P296" s="38"/>
      <c r="Q296" s="38"/>
    </row>
    <row r="297" spans="3:17" s="39" customFormat="1" ht="15" x14ac:dyDescent="0.25">
      <c r="C297" s="37"/>
      <c r="D297" s="65"/>
      <c r="E297" s="65"/>
      <c r="F297" s="65"/>
      <c r="H297" s="40"/>
      <c r="I297" s="41"/>
      <c r="J297" s="41"/>
      <c r="K297" s="41"/>
      <c r="L297" s="41"/>
      <c r="M297" s="42"/>
      <c r="N297" s="42"/>
      <c r="O297" s="38"/>
      <c r="P297" s="38"/>
      <c r="Q297" s="38"/>
    </row>
    <row r="298" spans="3:17" s="39" customFormat="1" ht="15" x14ac:dyDescent="0.25">
      <c r="C298" s="37"/>
      <c r="D298" s="65"/>
      <c r="E298" s="65"/>
      <c r="F298" s="65"/>
      <c r="H298" s="40"/>
      <c r="I298" s="41"/>
      <c r="J298" s="41"/>
      <c r="K298" s="41"/>
      <c r="L298" s="41"/>
      <c r="M298" s="42"/>
      <c r="N298" s="42"/>
      <c r="O298" s="38"/>
      <c r="P298" s="38"/>
      <c r="Q298" s="38"/>
    </row>
    <row r="299" spans="3:17" s="39" customFormat="1" ht="15" x14ac:dyDescent="0.25">
      <c r="C299" s="37"/>
      <c r="D299" s="65"/>
      <c r="E299" s="65"/>
      <c r="F299" s="65"/>
      <c r="H299" s="40"/>
      <c r="I299" s="41"/>
      <c r="J299" s="41"/>
      <c r="K299" s="41"/>
      <c r="L299" s="41"/>
      <c r="M299" s="42"/>
      <c r="N299" s="42"/>
      <c r="O299" s="38"/>
      <c r="P299" s="38"/>
      <c r="Q299" s="38"/>
    </row>
    <row r="300" spans="3:17" s="39" customFormat="1" ht="15" x14ac:dyDescent="0.25">
      <c r="C300" s="37"/>
      <c r="D300" s="65"/>
      <c r="E300" s="65"/>
      <c r="F300" s="65"/>
      <c r="H300" s="40"/>
      <c r="I300" s="41"/>
      <c r="J300" s="41"/>
      <c r="K300" s="41"/>
      <c r="L300" s="41"/>
      <c r="M300" s="42"/>
      <c r="N300" s="42"/>
      <c r="O300" s="38"/>
      <c r="P300" s="38"/>
      <c r="Q300" s="38"/>
    </row>
    <row r="301" spans="3:17" s="39" customFormat="1" ht="15" x14ac:dyDescent="0.25">
      <c r="C301" s="37"/>
      <c r="D301" s="65"/>
      <c r="E301" s="65"/>
      <c r="F301" s="65"/>
      <c r="H301" s="40"/>
      <c r="I301" s="41"/>
      <c r="J301" s="41"/>
      <c r="K301" s="41"/>
      <c r="L301" s="41"/>
      <c r="M301" s="42"/>
      <c r="N301" s="42"/>
      <c r="O301" s="38"/>
      <c r="P301" s="38"/>
      <c r="Q301" s="38"/>
    </row>
    <row r="302" spans="3:17" s="39" customFormat="1" ht="15" x14ac:dyDescent="0.25">
      <c r="C302" s="37"/>
      <c r="D302" s="65"/>
      <c r="E302" s="65"/>
      <c r="F302" s="65"/>
      <c r="H302" s="40"/>
      <c r="I302" s="41"/>
      <c r="J302" s="41"/>
      <c r="K302" s="41"/>
      <c r="L302" s="41"/>
      <c r="M302" s="42"/>
      <c r="N302" s="42"/>
      <c r="O302" s="38"/>
      <c r="P302" s="38"/>
      <c r="Q302" s="38"/>
    </row>
    <row r="303" spans="3:17" s="39" customFormat="1" ht="15" x14ac:dyDescent="0.25">
      <c r="C303" s="37"/>
      <c r="D303" s="65"/>
      <c r="E303" s="65"/>
      <c r="F303" s="65"/>
      <c r="H303" s="40"/>
      <c r="I303" s="41"/>
      <c r="J303" s="41"/>
      <c r="K303" s="41"/>
      <c r="L303" s="41"/>
      <c r="M303" s="42"/>
      <c r="N303" s="42"/>
      <c r="O303" s="38"/>
      <c r="P303" s="38"/>
      <c r="Q303" s="38"/>
    </row>
    <row r="304" spans="3:17" s="39" customFormat="1" ht="15" x14ac:dyDescent="0.25">
      <c r="C304" s="37"/>
      <c r="D304" s="65"/>
      <c r="E304" s="65"/>
      <c r="F304" s="65"/>
      <c r="H304" s="40"/>
      <c r="I304" s="41"/>
      <c r="J304" s="41"/>
      <c r="K304" s="41"/>
      <c r="L304" s="41"/>
      <c r="M304" s="42"/>
      <c r="N304" s="42"/>
      <c r="O304" s="38"/>
      <c r="P304" s="38"/>
      <c r="Q304" s="38"/>
    </row>
    <row r="305" spans="3:17" s="39" customFormat="1" ht="15" x14ac:dyDescent="0.25">
      <c r="C305" s="37"/>
      <c r="D305" s="65"/>
      <c r="E305" s="65"/>
      <c r="F305" s="65"/>
      <c r="H305" s="40"/>
      <c r="I305" s="41"/>
      <c r="J305" s="41"/>
      <c r="K305" s="41"/>
      <c r="L305" s="41"/>
      <c r="M305" s="42"/>
      <c r="N305" s="42"/>
      <c r="O305" s="38"/>
      <c r="P305" s="38"/>
      <c r="Q305" s="38"/>
    </row>
    <row r="306" spans="3:17" s="39" customFormat="1" ht="15" x14ac:dyDescent="0.25">
      <c r="C306" s="37"/>
      <c r="D306" s="65"/>
      <c r="E306" s="65"/>
      <c r="F306" s="65"/>
      <c r="H306" s="40"/>
      <c r="I306" s="41"/>
      <c r="J306" s="41"/>
      <c r="K306" s="41"/>
      <c r="L306" s="41"/>
      <c r="M306" s="42"/>
      <c r="N306" s="42"/>
      <c r="O306" s="38"/>
      <c r="P306" s="38"/>
      <c r="Q306" s="38"/>
    </row>
    <row r="307" spans="3:17" s="39" customFormat="1" ht="15" x14ac:dyDescent="0.25">
      <c r="C307" s="37"/>
      <c r="D307" s="65"/>
      <c r="E307" s="65"/>
      <c r="F307" s="65"/>
      <c r="H307" s="40"/>
      <c r="I307" s="41"/>
      <c r="J307" s="41"/>
      <c r="K307" s="41"/>
      <c r="L307" s="41"/>
      <c r="M307" s="42"/>
      <c r="N307" s="42"/>
      <c r="O307" s="38"/>
      <c r="P307" s="38"/>
      <c r="Q307" s="38"/>
    </row>
    <row r="308" spans="3:17" s="39" customFormat="1" ht="15" x14ac:dyDescent="0.25">
      <c r="C308" s="37"/>
      <c r="D308" s="65"/>
      <c r="E308" s="65"/>
      <c r="F308" s="65"/>
      <c r="H308" s="40"/>
      <c r="I308" s="41"/>
      <c r="J308" s="41"/>
      <c r="K308" s="41"/>
      <c r="L308" s="41"/>
      <c r="M308" s="42"/>
      <c r="N308" s="42"/>
      <c r="O308" s="38"/>
      <c r="P308" s="38"/>
      <c r="Q308" s="38"/>
    </row>
    <row r="309" spans="3:17" s="39" customFormat="1" ht="15" x14ac:dyDescent="0.25">
      <c r="C309" s="37"/>
      <c r="D309" s="65"/>
      <c r="E309" s="65"/>
      <c r="F309" s="65"/>
      <c r="H309" s="40"/>
      <c r="I309" s="41"/>
      <c r="J309" s="41"/>
      <c r="K309" s="41"/>
      <c r="L309" s="41"/>
      <c r="M309" s="42"/>
      <c r="N309" s="42"/>
      <c r="O309" s="38"/>
      <c r="P309" s="38"/>
      <c r="Q309" s="38"/>
    </row>
    <row r="310" spans="3:17" s="39" customFormat="1" ht="15" x14ac:dyDescent="0.25">
      <c r="C310" s="37"/>
      <c r="D310" s="65"/>
      <c r="E310" s="65"/>
      <c r="F310" s="65"/>
      <c r="H310" s="40"/>
      <c r="I310" s="41"/>
      <c r="J310" s="41"/>
      <c r="K310" s="41"/>
      <c r="L310" s="41"/>
      <c r="M310" s="42"/>
      <c r="N310" s="42"/>
      <c r="O310" s="38"/>
      <c r="P310" s="38"/>
      <c r="Q310" s="38"/>
    </row>
    <row r="311" spans="3:17" s="39" customFormat="1" ht="15" x14ac:dyDescent="0.25">
      <c r="C311" s="37"/>
      <c r="D311" s="65"/>
      <c r="E311" s="65"/>
      <c r="F311" s="65"/>
      <c r="H311" s="40"/>
      <c r="I311" s="41"/>
      <c r="J311" s="41"/>
      <c r="K311" s="41"/>
      <c r="L311" s="41"/>
      <c r="M311" s="42"/>
      <c r="N311" s="42"/>
      <c r="O311" s="38"/>
      <c r="P311" s="38"/>
      <c r="Q311" s="38"/>
    </row>
    <row r="312" spans="3:17" s="39" customFormat="1" ht="15" x14ac:dyDescent="0.25">
      <c r="C312" s="37"/>
      <c r="D312" s="65"/>
      <c r="E312" s="65"/>
      <c r="F312" s="65"/>
      <c r="H312" s="40"/>
      <c r="I312" s="41"/>
      <c r="J312" s="41"/>
      <c r="K312" s="41"/>
      <c r="L312" s="41"/>
      <c r="M312" s="42"/>
      <c r="N312" s="42"/>
      <c r="O312" s="38"/>
      <c r="P312" s="38"/>
      <c r="Q312" s="38"/>
    </row>
    <row r="313" spans="3:17" s="39" customFormat="1" ht="15" x14ac:dyDescent="0.25">
      <c r="C313" s="37"/>
      <c r="D313" s="65"/>
      <c r="E313" s="65"/>
      <c r="F313" s="65"/>
      <c r="H313" s="40"/>
      <c r="I313" s="41"/>
      <c r="J313" s="41"/>
      <c r="K313" s="41"/>
      <c r="L313" s="41"/>
      <c r="M313" s="42"/>
      <c r="N313" s="42"/>
      <c r="O313" s="38"/>
      <c r="P313" s="38"/>
      <c r="Q313" s="38"/>
    </row>
    <row r="314" spans="3:17" s="39" customFormat="1" ht="15" x14ac:dyDescent="0.25">
      <c r="C314" s="37"/>
      <c r="D314" s="65"/>
      <c r="E314" s="65"/>
      <c r="F314" s="65"/>
      <c r="H314" s="40"/>
      <c r="I314" s="41"/>
      <c r="J314" s="41"/>
      <c r="K314" s="41"/>
      <c r="L314" s="41"/>
      <c r="M314" s="42"/>
      <c r="N314" s="42"/>
      <c r="O314" s="38"/>
      <c r="P314" s="38"/>
      <c r="Q314" s="38"/>
    </row>
    <row r="315" spans="3:17" s="39" customFormat="1" ht="15" x14ac:dyDescent="0.25">
      <c r="C315" s="37"/>
      <c r="D315" s="65"/>
      <c r="E315" s="65"/>
      <c r="F315" s="65"/>
      <c r="H315" s="40"/>
      <c r="I315" s="41"/>
      <c r="J315" s="41"/>
      <c r="K315" s="41"/>
      <c r="L315" s="41"/>
      <c r="M315" s="42"/>
      <c r="N315" s="42"/>
      <c r="O315" s="38"/>
      <c r="P315" s="38"/>
      <c r="Q315" s="38"/>
    </row>
    <row r="316" spans="3:17" s="39" customFormat="1" ht="15" x14ac:dyDescent="0.25">
      <c r="C316" s="37"/>
      <c r="D316" s="65"/>
      <c r="E316" s="65"/>
      <c r="F316" s="65"/>
      <c r="H316" s="40"/>
      <c r="I316" s="41"/>
      <c r="J316" s="41"/>
      <c r="K316" s="41"/>
      <c r="L316" s="41"/>
      <c r="M316" s="42"/>
      <c r="N316" s="42"/>
      <c r="O316" s="38"/>
      <c r="P316" s="38"/>
      <c r="Q316" s="38"/>
    </row>
    <row r="317" spans="3:17" s="39" customFormat="1" ht="15" x14ac:dyDescent="0.25">
      <c r="C317" s="37"/>
      <c r="D317" s="65"/>
      <c r="E317" s="65"/>
      <c r="F317" s="65"/>
      <c r="H317" s="40"/>
      <c r="I317" s="41"/>
      <c r="J317" s="41"/>
      <c r="K317" s="41"/>
      <c r="L317" s="41"/>
      <c r="M317" s="42"/>
      <c r="N317" s="42"/>
      <c r="O317" s="38"/>
      <c r="P317" s="38"/>
      <c r="Q317" s="38"/>
    </row>
    <row r="318" spans="3:17" s="39" customFormat="1" ht="15" x14ac:dyDescent="0.25">
      <c r="C318" s="37"/>
      <c r="D318" s="65"/>
      <c r="E318" s="65"/>
      <c r="F318" s="65"/>
      <c r="H318" s="40"/>
      <c r="I318" s="41"/>
      <c r="J318" s="41"/>
      <c r="K318" s="41"/>
      <c r="L318" s="41"/>
      <c r="M318" s="42"/>
      <c r="N318" s="42"/>
      <c r="O318" s="38"/>
      <c r="P318" s="38"/>
      <c r="Q318" s="38"/>
    </row>
    <row r="319" spans="3:17" s="39" customFormat="1" ht="15" x14ac:dyDescent="0.25">
      <c r="C319" s="37"/>
      <c r="D319" s="65"/>
      <c r="E319" s="65"/>
      <c r="F319" s="65"/>
      <c r="H319" s="40"/>
      <c r="I319" s="41"/>
      <c r="J319" s="41"/>
      <c r="K319" s="41"/>
      <c r="L319" s="41"/>
      <c r="M319" s="42"/>
      <c r="N319" s="42"/>
      <c r="O319" s="38"/>
      <c r="P319" s="38"/>
      <c r="Q319" s="38"/>
    </row>
    <row r="320" spans="3:17" s="39" customFormat="1" ht="15" x14ac:dyDescent="0.25">
      <c r="C320" s="37"/>
      <c r="D320" s="65"/>
      <c r="E320" s="65"/>
      <c r="F320" s="65"/>
      <c r="H320" s="40"/>
      <c r="I320" s="41"/>
      <c r="J320" s="41"/>
      <c r="K320" s="41"/>
      <c r="L320" s="41"/>
      <c r="M320" s="42"/>
      <c r="N320" s="42"/>
      <c r="O320" s="38"/>
      <c r="P320" s="38"/>
      <c r="Q320" s="38"/>
    </row>
    <row r="321" spans="3:17" s="39" customFormat="1" ht="15" x14ac:dyDescent="0.25">
      <c r="C321" s="37"/>
      <c r="D321" s="65"/>
      <c r="E321" s="65"/>
      <c r="F321" s="65"/>
      <c r="H321" s="40"/>
      <c r="I321" s="41"/>
      <c r="J321" s="41"/>
      <c r="K321" s="41"/>
      <c r="L321" s="41"/>
      <c r="M321" s="42"/>
      <c r="N321" s="42"/>
      <c r="O321" s="38"/>
      <c r="P321" s="38"/>
      <c r="Q321" s="38"/>
    </row>
    <row r="322" spans="3:17" s="39" customFormat="1" ht="15" x14ac:dyDescent="0.25">
      <c r="C322" s="37"/>
      <c r="D322" s="65"/>
      <c r="E322" s="65"/>
      <c r="F322" s="65"/>
      <c r="H322" s="40"/>
      <c r="I322" s="41"/>
      <c r="J322" s="41"/>
      <c r="K322" s="41"/>
      <c r="L322" s="41"/>
      <c r="M322" s="42"/>
      <c r="N322" s="42"/>
      <c r="O322" s="38"/>
      <c r="P322" s="38"/>
      <c r="Q322" s="38"/>
    </row>
    <row r="323" spans="3:17" s="39" customFormat="1" ht="15" x14ac:dyDescent="0.25">
      <c r="C323" s="37"/>
      <c r="D323" s="65"/>
      <c r="E323" s="65"/>
      <c r="F323" s="65"/>
      <c r="H323" s="40"/>
      <c r="I323" s="41"/>
      <c r="J323" s="41"/>
      <c r="K323" s="41"/>
      <c r="L323" s="41"/>
      <c r="M323" s="42"/>
      <c r="N323" s="42"/>
      <c r="O323" s="38"/>
      <c r="P323" s="38"/>
      <c r="Q323" s="38"/>
    </row>
    <row r="324" spans="3:17" s="39" customFormat="1" ht="15" x14ac:dyDescent="0.25">
      <c r="C324" s="37"/>
      <c r="D324" s="65"/>
      <c r="E324" s="65"/>
      <c r="F324" s="65"/>
      <c r="H324" s="40"/>
      <c r="I324" s="41"/>
      <c r="J324" s="41"/>
      <c r="K324" s="41"/>
      <c r="L324" s="41"/>
      <c r="M324" s="42"/>
      <c r="N324" s="42"/>
      <c r="O324" s="38"/>
      <c r="P324" s="38"/>
      <c r="Q324" s="38"/>
    </row>
    <row r="325" spans="3:17" s="39" customFormat="1" ht="15" x14ac:dyDescent="0.25">
      <c r="C325" s="37"/>
      <c r="D325" s="65"/>
      <c r="E325" s="65"/>
      <c r="F325" s="65"/>
      <c r="H325" s="40"/>
      <c r="I325" s="41"/>
      <c r="J325" s="41"/>
      <c r="K325" s="41"/>
      <c r="L325" s="41"/>
      <c r="M325" s="42"/>
      <c r="N325" s="42"/>
      <c r="O325" s="38"/>
      <c r="P325" s="38"/>
      <c r="Q325" s="38"/>
    </row>
    <row r="326" spans="3:17" s="39" customFormat="1" ht="15" x14ac:dyDescent="0.25">
      <c r="C326" s="37"/>
      <c r="D326" s="65"/>
      <c r="E326" s="65"/>
      <c r="F326" s="65"/>
      <c r="H326" s="40"/>
      <c r="I326" s="41"/>
      <c r="J326" s="41"/>
      <c r="K326" s="41"/>
      <c r="L326" s="41"/>
      <c r="M326" s="42"/>
      <c r="N326" s="42"/>
      <c r="O326" s="38"/>
      <c r="P326" s="38"/>
      <c r="Q326" s="38"/>
    </row>
    <row r="327" spans="3:17" s="39" customFormat="1" ht="15" x14ac:dyDescent="0.25">
      <c r="C327" s="37"/>
      <c r="D327" s="65"/>
      <c r="E327" s="65"/>
      <c r="F327" s="65"/>
      <c r="H327" s="40"/>
      <c r="I327" s="41"/>
      <c r="J327" s="41"/>
      <c r="K327" s="41"/>
      <c r="L327" s="41"/>
      <c r="M327" s="42"/>
      <c r="N327" s="42"/>
      <c r="O327" s="38"/>
      <c r="P327" s="38"/>
      <c r="Q327" s="38"/>
    </row>
    <row r="328" spans="3:17" s="39" customFormat="1" ht="15" x14ac:dyDescent="0.25">
      <c r="C328" s="37"/>
      <c r="D328" s="65"/>
      <c r="E328" s="65"/>
      <c r="F328" s="65"/>
      <c r="H328" s="40"/>
      <c r="I328" s="41"/>
      <c r="J328" s="41"/>
      <c r="K328" s="41"/>
      <c r="L328" s="41"/>
      <c r="M328" s="42"/>
      <c r="N328" s="42"/>
      <c r="O328" s="38"/>
      <c r="P328" s="38"/>
      <c r="Q328" s="38"/>
    </row>
    <row r="329" spans="3:17" s="39" customFormat="1" ht="15" x14ac:dyDescent="0.25">
      <c r="C329" s="37"/>
      <c r="D329" s="65"/>
      <c r="E329" s="65"/>
      <c r="F329" s="65"/>
      <c r="H329" s="40"/>
      <c r="I329" s="41"/>
      <c r="J329" s="41"/>
      <c r="K329" s="41"/>
      <c r="L329" s="41"/>
      <c r="M329" s="42"/>
      <c r="N329" s="42"/>
      <c r="O329" s="38"/>
      <c r="P329" s="38"/>
      <c r="Q329" s="38"/>
    </row>
    <row r="330" spans="3:17" s="39" customFormat="1" ht="15" x14ac:dyDescent="0.25">
      <c r="C330" s="37"/>
      <c r="D330" s="65"/>
      <c r="E330" s="65"/>
      <c r="F330" s="65"/>
      <c r="H330" s="40"/>
      <c r="I330" s="41"/>
      <c r="J330" s="41"/>
      <c r="K330" s="41"/>
      <c r="L330" s="41"/>
      <c r="M330" s="42"/>
      <c r="N330" s="42"/>
      <c r="O330" s="38"/>
      <c r="P330" s="38"/>
      <c r="Q330" s="38"/>
    </row>
    <row r="331" spans="3:17" s="39" customFormat="1" ht="15" x14ac:dyDescent="0.25">
      <c r="C331" s="37"/>
      <c r="D331" s="65"/>
      <c r="E331" s="65"/>
      <c r="F331" s="65"/>
      <c r="H331" s="40"/>
      <c r="I331" s="41"/>
      <c r="J331" s="41"/>
      <c r="K331" s="41"/>
      <c r="L331" s="41"/>
      <c r="M331" s="42"/>
      <c r="N331" s="42"/>
      <c r="O331" s="38"/>
      <c r="P331" s="38"/>
      <c r="Q331" s="38"/>
    </row>
    <row r="332" spans="3:17" s="39" customFormat="1" ht="15" x14ac:dyDescent="0.25">
      <c r="C332" s="37"/>
      <c r="D332" s="65"/>
      <c r="E332" s="65"/>
      <c r="F332" s="65"/>
      <c r="H332" s="40"/>
      <c r="I332" s="41"/>
      <c r="J332" s="41"/>
      <c r="K332" s="41"/>
      <c r="L332" s="41"/>
      <c r="M332" s="42"/>
      <c r="N332" s="42"/>
      <c r="O332" s="38"/>
      <c r="P332" s="38"/>
      <c r="Q332" s="38"/>
    </row>
    <row r="333" spans="3:17" s="39" customFormat="1" ht="15" x14ac:dyDescent="0.25">
      <c r="C333" s="37"/>
      <c r="D333" s="65"/>
      <c r="E333" s="65"/>
      <c r="F333" s="65"/>
      <c r="H333" s="40"/>
      <c r="I333" s="41"/>
      <c r="J333" s="41"/>
      <c r="K333" s="41"/>
      <c r="L333" s="41"/>
      <c r="M333" s="42"/>
      <c r="N333" s="42"/>
      <c r="O333" s="38"/>
      <c r="P333" s="38"/>
      <c r="Q333" s="38"/>
    </row>
    <row r="334" spans="3:17" s="39" customFormat="1" ht="15" x14ac:dyDescent="0.25">
      <c r="C334" s="37"/>
      <c r="D334" s="65"/>
      <c r="E334" s="65"/>
      <c r="F334" s="65"/>
      <c r="H334" s="40"/>
      <c r="I334" s="41"/>
      <c r="J334" s="41"/>
      <c r="K334" s="41"/>
      <c r="L334" s="41"/>
      <c r="M334" s="42"/>
      <c r="N334" s="42"/>
      <c r="O334" s="38"/>
      <c r="P334" s="38"/>
      <c r="Q334" s="38"/>
    </row>
    <row r="335" spans="3:17" s="39" customFormat="1" ht="15" x14ac:dyDescent="0.25">
      <c r="C335" s="37"/>
      <c r="D335" s="65"/>
      <c r="E335" s="65"/>
      <c r="F335" s="65"/>
      <c r="H335" s="40"/>
      <c r="I335" s="41"/>
      <c r="J335" s="41"/>
      <c r="K335" s="41"/>
      <c r="L335" s="41"/>
      <c r="M335" s="42"/>
      <c r="N335" s="42"/>
      <c r="O335" s="38"/>
      <c r="P335" s="38"/>
      <c r="Q335" s="38"/>
    </row>
    <row r="336" spans="3:17" s="39" customFormat="1" ht="15" x14ac:dyDescent="0.25">
      <c r="C336" s="37"/>
      <c r="D336" s="65"/>
      <c r="E336" s="65"/>
      <c r="F336" s="65"/>
      <c r="H336" s="40"/>
      <c r="I336" s="41"/>
      <c r="J336" s="41"/>
      <c r="K336" s="41"/>
      <c r="L336" s="41"/>
      <c r="M336" s="42"/>
      <c r="N336" s="42"/>
      <c r="O336" s="38"/>
      <c r="P336" s="38"/>
      <c r="Q336" s="38"/>
    </row>
    <row r="337" spans="3:17" s="39" customFormat="1" ht="15" x14ac:dyDescent="0.25">
      <c r="C337" s="37"/>
      <c r="D337" s="65"/>
      <c r="E337" s="65"/>
      <c r="F337" s="65"/>
      <c r="H337" s="40"/>
      <c r="I337" s="41"/>
      <c r="J337" s="41"/>
      <c r="K337" s="41"/>
      <c r="L337" s="41"/>
      <c r="M337" s="42"/>
      <c r="N337" s="42"/>
      <c r="O337" s="38"/>
      <c r="P337" s="38"/>
      <c r="Q337" s="38"/>
    </row>
    <row r="338" spans="3:17" s="39" customFormat="1" ht="15" x14ac:dyDescent="0.25">
      <c r="C338" s="37"/>
      <c r="D338" s="65"/>
      <c r="E338" s="65"/>
      <c r="F338" s="65"/>
      <c r="H338" s="40"/>
      <c r="I338" s="41"/>
      <c r="J338" s="41"/>
      <c r="K338" s="41"/>
      <c r="L338" s="41"/>
      <c r="M338" s="42"/>
      <c r="N338" s="42"/>
      <c r="O338" s="38"/>
      <c r="P338" s="38"/>
      <c r="Q338" s="38"/>
    </row>
    <row r="339" spans="3:17" s="39" customFormat="1" ht="15" x14ac:dyDescent="0.25">
      <c r="C339" s="37"/>
      <c r="D339" s="65"/>
      <c r="E339" s="65"/>
      <c r="F339" s="65"/>
      <c r="H339" s="40"/>
      <c r="I339" s="41"/>
      <c r="J339" s="41"/>
      <c r="K339" s="41"/>
      <c r="L339" s="41"/>
      <c r="M339" s="42"/>
      <c r="N339" s="42"/>
      <c r="O339" s="38"/>
      <c r="P339" s="38"/>
      <c r="Q339" s="38"/>
    </row>
    <row r="340" spans="3:17" s="39" customFormat="1" ht="15" x14ac:dyDescent="0.25">
      <c r="C340" s="37"/>
      <c r="D340" s="65"/>
      <c r="E340" s="65"/>
      <c r="F340" s="65"/>
      <c r="H340" s="40"/>
      <c r="I340" s="41"/>
      <c r="J340" s="41"/>
      <c r="K340" s="41"/>
      <c r="L340" s="41"/>
      <c r="M340" s="42"/>
      <c r="N340" s="42"/>
      <c r="O340" s="38"/>
      <c r="P340" s="38"/>
      <c r="Q340" s="38"/>
    </row>
    <row r="341" spans="3:17" s="39" customFormat="1" ht="15" x14ac:dyDescent="0.25">
      <c r="C341" s="37"/>
      <c r="D341" s="65"/>
      <c r="E341" s="65"/>
      <c r="F341" s="65"/>
      <c r="H341" s="40"/>
      <c r="I341" s="41"/>
      <c r="J341" s="41"/>
      <c r="K341" s="41"/>
      <c r="L341" s="41"/>
      <c r="M341" s="42"/>
      <c r="N341" s="42"/>
      <c r="O341" s="38"/>
      <c r="P341" s="38"/>
      <c r="Q341" s="38"/>
    </row>
    <row r="342" spans="3:17" s="39" customFormat="1" ht="15" x14ac:dyDescent="0.25">
      <c r="C342" s="37"/>
      <c r="D342" s="65"/>
      <c r="E342" s="65"/>
      <c r="F342" s="65"/>
      <c r="H342" s="40"/>
      <c r="I342" s="41"/>
      <c r="J342" s="41"/>
      <c r="K342" s="41"/>
      <c r="L342" s="41"/>
      <c r="M342" s="42"/>
      <c r="N342" s="42"/>
      <c r="O342" s="38"/>
      <c r="P342" s="38"/>
      <c r="Q342" s="38"/>
    </row>
    <row r="343" spans="3:17" s="39" customFormat="1" ht="15" x14ac:dyDescent="0.25">
      <c r="C343" s="37"/>
      <c r="D343" s="65"/>
      <c r="E343" s="65"/>
      <c r="F343" s="65"/>
      <c r="H343" s="40"/>
      <c r="I343" s="41"/>
      <c r="J343" s="41"/>
      <c r="K343" s="41"/>
      <c r="L343" s="41"/>
      <c r="M343" s="42"/>
      <c r="N343" s="42"/>
      <c r="O343" s="38"/>
      <c r="P343" s="38"/>
      <c r="Q343" s="38"/>
    </row>
    <row r="344" spans="3:17" s="39" customFormat="1" ht="15" x14ac:dyDescent="0.25">
      <c r="C344" s="37"/>
      <c r="D344" s="65"/>
      <c r="E344" s="65"/>
      <c r="F344" s="65"/>
      <c r="H344" s="40"/>
      <c r="I344" s="41"/>
      <c r="J344" s="41"/>
      <c r="K344" s="41"/>
      <c r="L344" s="41"/>
      <c r="M344" s="42"/>
      <c r="N344" s="42"/>
      <c r="O344" s="38"/>
      <c r="P344" s="38"/>
      <c r="Q344" s="38"/>
    </row>
    <row r="345" spans="3:17" s="39" customFormat="1" ht="15" x14ac:dyDescent="0.25">
      <c r="C345" s="37"/>
      <c r="D345" s="65"/>
      <c r="E345" s="65"/>
      <c r="F345" s="65"/>
      <c r="H345" s="40"/>
      <c r="I345" s="41"/>
      <c r="J345" s="41"/>
      <c r="K345" s="41"/>
      <c r="L345" s="41"/>
      <c r="M345" s="42"/>
      <c r="N345" s="42"/>
      <c r="O345" s="38"/>
      <c r="P345" s="38"/>
      <c r="Q345" s="38"/>
    </row>
    <row r="346" spans="3:17" s="39" customFormat="1" ht="15" x14ac:dyDescent="0.25">
      <c r="C346" s="37"/>
      <c r="D346" s="65"/>
      <c r="E346" s="65"/>
      <c r="F346" s="65"/>
      <c r="H346" s="40"/>
      <c r="I346" s="41"/>
      <c r="J346" s="41"/>
      <c r="K346" s="41"/>
      <c r="L346" s="41"/>
      <c r="M346" s="42"/>
      <c r="N346" s="42"/>
      <c r="O346" s="38"/>
      <c r="P346" s="38"/>
      <c r="Q346" s="38"/>
    </row>
    <row r="347" spans="3:17" s="39" customFormat="1" ht="15" x14ac:dyDescent="0.25">
      <c r="C347" s="37"/>
      <c r="D347" s="65"/>
      <c r="E347" s="65"/>
      <c r="F347" s="65"/>
      <c r="H347" s="40"/>
      <c r="I347" s="41"/>
      <c r="J347" s="41"/>
      <c r="K347" s="41"/>
      <c r="L347" s="41"/>
      <c r="M347" s="42"/>
      <c r="N347" s="42"/>
      <c r="O347" s="38"/>
      <c r="P347" s="38"/>
      <c r="Q347" s="38"/>
    </row>
    <row r="348" spans="3:17" s="39" customFormat="1" ht="15" x14ac:dyDescent="0.25">
      <c r="C348" s="37"/>
      <c r="D348" s="65"/>
      <c r="E348" s="65"/>
      <c r="F348" s="65"/>
      <c r="H348" s="40"/>
      <c r="I348" s="41"/>
      <c r="J348" s="41"/>
      <c r="K348" s="41"/>
      <c r="L348" s="41"/>
      <c r="M348" s="42"/>
      <c r="N348" s="42"/>
      <c r="O348" s="38"/>
      <c r="P348" s="38"/>
      <c r="Q348" s="38"/>
    </row>
    <row r="349" spans="3:17" s="39" customFormat="1" ht="15" x14ac:dyDescent="0.25">
      <c r="C349" s="37"/>
      <c r="D349" s="65"/>
      <c r="E349" s="65"/>
      <c r="F349" s="65"/>
      <c r="H349" s="40"/>
      <c r="I349" s="41"/>
      <c r="J349" s="41"/>
      <c r="K349" s="41"/>
      <c r="L349" s="41"/>
      <c r="M349" s="42"/>
      <c r="N349" s="42"/>
      <c r="O349" s="38"/>
      <c r="P349" s="38"/>
      <c r="Q349" s="38"/>
    </row>
    <row r="350" spans="3:17" s="39" customFormat="1" ht="15" x14ac:dyDescent="0.25">
      <c r="C350" s="37"/>
      <c r="D350" s="65"/>
      <c r="E350" s="65"/>
      <c r="F350" s="65"/>
      <c r="H350" s="40"/>
      <c r="I350" s="41"/>
      <c r="J350" s="41"/>
      <c r="K350" s="41"/>
      <c r="L350" s="41"/>
      <c r="M350" s="42"/>
      <c r="N350" s="42"/>
      <c r="O350" s="38"/>
      <c r="P350" s="38"/>
      <c r="Q350" s="38"/>
    </row>
    <row r="351" spans="3:17" s="39" customFormat="1" ht="15" x14ac:dyDescent="0.25">
      <c r="C351" s="37"/>
      <c r="D351" s="65"/>
      <c r="E351" s="65"/>
      <c r="F351" s="65"/>
      <c r="H351" s="40"/>
      <c r="I351" s="41"/>
      <c r="J351" s="41"/>
      <c r="K351" s="41"/>
      <c r="L351" s="41"/>
      <c r="M351" s="42"/>
      <c r="N351" s="42"/>
      <c r="O351" s="38"/>
      <c r="P351" s="38"/>
      <c r="Q351" s="38"/>
    </row>
    <row r="352" spans="3:17" s="39" customFormat="1" ht="15" x14ac:dyDescent="0.25">
      <c r="C352" s="37"/>
      <c r="D352" s="65"/>
      <c r="E352" s="65"/>
      <c r="F352" s="65"/>
      <c r="H352" s="40"/>
      <c r="I352" s="41"/>
      <c r="J352" s="41"/>
      <c r="K352" s="41"/>
      <c r="L352" s="41"/>
      <c r="M352" s="42"/>
      <c r="N352" s="42"/>
      <c r="O352" s="38"/>
      <c r="P352" s="38"/>
      <c r="Q352" s="38"/>
    </row>
    <row r="353" spans="3:17" s="39" customFormat="1" ht="15" x14ac:dyDescent="0.25">
      <c r="C353" s="37"/>
      <c r="D353" s="65"/>
      <c r="E353" s="65"/>
      <c r="F353" s="65"/>
      <c r="H353" s="40"/>
      <c r="I353" s="41"/>
      <c r="J353" s="41"/>
      <c r="K353" s="41"/>
      <c r="L353" s="41"/>
      <c r="M353" s="42"/>
      <c r="N353" s="42"/>
      <c r="O353" s="38"/>
      <c r="P353" s="38"/>
      <c r="Q353" s="38"/>
    </row>
    <row r="354" spans="3:17" s="39" customFormat="1" ht="15" x14ac:dyDescent="0.25">
      <c r="C354" s="37"/>
      <c r="D354" s="65"/>
      <c r="E354" s="65"/>
      <c r="F354" s="65"/>
      <c r="H354" s="40"/>
      <c r="I354" s="41"/>
      <c r="J354" s="41"/>
      <c r="K354" s="41"/>
      <c r="L354" s="41"/>
      <c r="M354" s="42"/>
      <c r="N354" s="42"/>
      <c r="O354" s="38"/>
      <c r="P354" s="38"/>
      <c r="Q354" s="38"/>
    </row>
    <row r="355" spans="3:17" s="39" customFormat="1" ht="15" x14ac:dyDescent="0.25">
      <c r="C355" s="37"/>
      <c r="D355" s="65"/>
      <c r="E355" s="65"/>
      <c r="F355" s="65"/>
      <c r="H355" s="40"/>
      <c r="I355" s="41"/>
      <c r="J355" s="41"/>
      <c r="K355" s="41"/>
      <c r="L355" s="41"/>
      <c r="M355" s="42"/>
      <c r="N355" s="42"/>
      <c r="O355" s="38"/>
      <c r="P355" s="38"/>
      <c r="Q355" s="38"/>
    </row>
    <row r="356" spans="3:17" s="39" customFormat="1" ht="15" x14ac:dyDescent="0.25">
      <c r="C356" s="37"/>
      <c r="D356" s="65"/>
      <c r="E356" s="65"/>
      <c r="F356" s="65"/>
      <c r="H356" s="40"/>
      <c r="I356" s="41"/>
      <c r="J356" s="41"/>
      <c r="K356" s="41"/>
      <c r="L356" s="41"/>
      <c r="M356" s="42"/>
      <c r="N356" s="42"/>
      <c r="O356" s="38"/>
      <c r="P356" s="38"/>
      <c r="Q356" s="38"/>
    </row>
    <row r="357" spans="3:17" s="39" customFormat="1" ht="15" x14ac:dyDescent="0.25">
      <c r="C357" s="37"/>
      <c r="D357" s="65"/>
      <c r="E357" s="65"/>
      <c r="F357" s="65"/>
      <c r="H357" s="40"/>
      <c r="I357" s="41"/>
      <c r="J357" s="41"/>
      <c r="K357" s="41"/>
      <c r="L357" s="41"/>
      <c r="M357" s="42"/>
      <c r="N357" s="42"/>
      <c r="O357" s="38"/>
      <c r="P357" s="38"/>
      <c r="Q357" s="38"/>
    </row>
    <row r="358" spans="3:17" s="39" customFormat="1" ht="15" x14ac:dyDescent="0.25">
      <c r="C358" s="37"/>
      <c r="D358" s="65"/>
      <c r="E358" s="65"/>
      <c r="F358" s="65"/>
      <c r="H358" s="40"/>
      <c r="I358" s="41"/>
      <c r="J358" s="41"/>
      <c r="K358" s="41"/>
      <c r="L358" s="41"/>
      <c r="M358" s="42"/>
      <c r="N358" s="42"/>
      <c r="O358" s="38"/>
      <c r="P358" s="38"/>
      <c r="Q358" s="38"/>
    </row>
    <row r="359" spans="3:17" s="39" customFormat="1" ht="15" x14ac:dyDescent="0.25">
      <c r="C359" s="37"/>
      <c r="D359" s="65"/>
      <c r="E359" s="65"/>
      <c r="F359" s="65"/>
      <c r="H359" s="40"/>
      <c r="I359" s="41"/>
      <c r="J359" s="41"/>
      <c r="K359" s="41"/>
      <c r="L359" s="41"/>
      <c r="M359" s="42"/>
      <c r="N359" s="42"/>
      <c r="O359" s="38"/>
      <c r="P359" s="38"/>
      <c r="Q359" s="38"/>
    </row>
    <row r="360" spans="3:17" s="39" customFormat="1" ht="15" x14ac:dyDescent="0.25">
      <c r="C360" s="37"/>
      <c r="D360" s="65"/>
      <c r="E360" s="65"/>
      <c r="F360" s="65"/>
      <c r="H360" s="40"/>
      <c r="I360" s="41"/>
      <c r="J360" s="41"/>
      <c r="K360" s="41"/>
      <c r="L360" s="41"/>
      <c r="M360" s="42"/>
      <c r="N360" s="42"/>
      <c r="O360" s="38"/>
      <c r="P360" s="38"/>
      <c r="Q360" s="38"/>
    </row>
    <row r="361" spans="3:17" s="39" customFormat="1" ht="15" x14ac:dyDescent="0.25">
      <c r="C361" s="37"/>
      <c r="D361" s="65"/>
      <c r="E361" s="65"/>
      <c r="F361" s="65"/>
      <c r="H361" s="40"/>
      <c r="I361" s="41"/>
      <c r="J361" s="41"/>
      <c r="K361" s="41"/>
      <c r="L361" s="41"/>
      <c r="M361" s="42"/>
      <c r="N361" s="42"/>
      <c r="O361" s="38"/>
      <c r="P361" s="38"/>
      <c r="Q361" s="38"/>
    </row>
    <row r="362" spans="3:17" s="39" customFormat="1" ht="15" x14ac:dyDescent="0.25">
      <c r="C362" s="37"/>
      <c r="D362" s="65"/>
      <c r="E362" s="65"/>
      <c r="F362" s="65"/>
      <c r="H362" s="40"/>
      <c r="I362" s="41"/>
      <c r="J362" s="41"/>
      <c r="K362" s="41"/>
      <c r="L362" s="41"/>
      <c r="M362" s="42"/>
      <c r="N362" s="42"/>
      <c r="O362" s="38"/>
      <c r="P362" s="38"/>
      <c r="Q362" s="38"/>
    </row>
    <row r="363" spans="3:17" s="39" customFormat="1" ht="15" x14ac:dyDescent="0.25">
      <c r="C363" s="37"/>
      <c r="D363" s="65"/>
      <c r="E363" s="65"/>
      <c r="F363" s="65"/>
      <c r="H363" s="40"/>
      <c r="I363" s="41"/>
      <c r="J363" s="41"/>
      <c r="K363" s="41"/>
      <c r="L363" s="41"/>
      <c r="M363" s="42"/>
      <c r="N363" s="42"/>
      <c r="O363" s="38"/>
      <c r="P363" s="38"/>
      <c r="Q363" s="38"/>
    </row>
    <row r="364" spans="3:17" s="39" customFormat="1" ht="15" x14ac:dyDescent="0.25">
      <c r="C364" s="37"/>
      <c r="D364" s="65"/>
      <c r="E364" s="65"/>
      <c r="F364" s="65"/>
      <c r="H364" s="40"/>
      <c r="I364" s="41"/>
      <c r="J364" s="41"/>
      <c r="K364" s="41"/>
      <c r="L364" s="41"/>
      <c r="M364" s="42"/>
      <c r="N364" s="42"/>
      <c r="O364" s="38"/>
      <c r="P364" s="38"/>
      <c r="Q364" s="38"/>
    </row>
    <row r="365" spans="3:17" s="39" customFormat="1" ht="15" x14ac:dyDescent="0.25">
      <c r="C365" s="37"/>
      <c r="D365" s="65"/>
      <c r="E365" s="65"/>
      <c r="F365" s="65"/>
      <c r="H365" s="40"/>
      <c r="I365" s="41"/>
      <c r="J365" s="41"/>
      <c r="K365" s="41"/>
      <c r="L365" s="41"/>
      <c r="M365" s="42"/>
      <c r="N365" s="42"/>
      <c r="O365" s="38"/>
      <c r="P365" s="38"/>
      <c r="Q365" s="38"/>
    </row>
    <row r="366" spans="3:17" s="39" customFormat="1" ht="15" x14ac:dyDescent="0.25">
      <c r="C366" s="37"/>
      <c r="D366" s="65"/>
      <c r="E366" s="65"/>
      <c r="F366" s="65"/>
      <c r="H366" s="40"/>
      <c r="I366" s="41"/>
      <c r="J366" s="41"/>
      <c r="K366" s="41"/>
      <c r="L366" s="41"/>
      <c r="M366" s="42"/>
      <c r="N366" s="42"/>
      <c r="O366" s="38"/>
      <c r="P366" s="38"/>
      <c r="Q366" s="38"/>
    </row>
    <row r="367" spans="3:17" s="39" customFormat="1" ht="15" x14ac:dyDescent="0.25">
      <c r="C367" s="37"/>
      <c r="D367" s="65"/>
      <c r="E367" s="65"/>
      <c r="F367" s="65"/>
      <c r="H367" s="40"/>
      <c r="I367" s="41"/>
      <c r="J367" s="41"/>
      <c r="K367" s="41"/>
      <c r="L367" s="41"/>
      <c r="M367" s="42"/>
      <c r="N367" s="42"/>
      <c r="O367" s="38"/>
      <c r="P367" s="38"/>
      <c r="Q367" s="38"/>
    </row>
    <row r="368" spans="3:17" s="39" customFormat="1" ht="15" x14ac:dyDescent="0.25">
      <c r="C368" s="37"/>
      <c r="D368" s="65"/>
      <c r="E368" s="65"/>
      <c r="F368" s="65"/>
      <c r="H368" s="40"/>
      <c r="I368" s="41"/>
      <c r="J368" s="41"/>
      <c r="K368" s="41"/>
      <c r="L368" s="41"/>
      <c r="M368" s="42"/>
      <c r="N368" s="42"/>
      <c r="O368" s="38"/>
      <c r="P368" s="38"/>
      <c r="Q368" s="38"/>
    </row>
    <row r="369" spans="3:17" s="39" customFormat="1" ht="15" x14ac:dyDescent="0.25">
      <c r="C369" s="37"/>
      <c r="D369" s="65"/>
      <c r="E369" s="65"/>
      <c r="F369" s="65"/>
      <c r="H369" s="40"/>
      <c r="I369" s="41"/>
      <c r="J369" s="41"/>
      <c r="K369" s="41"/>
      <c r="L369" s="41"/>
      <c r="M369" s="42"/>
      <c r="N369" s="42"/>
      <c r="O369" s="38"/>
      <c r="P369" s="38"/>
      <c r="Q369" s="38"/>
    </row>
    <row r="370" spans="3:17" s="39" customFormat="1" ht="15" x14ac:dyDescent="0.25">
      <c r="C370" s="37"/>
      <c r="D370" s="65"/>
      <c r="E370" s="65"/>
      <c r="F370" s="65"/>
      <c r="H370" s="40"/>
      <c r="I370" s="41"/>
      <c r="J370" s="41"/>
      <c r="K370" s="41"/>
      <c r="L370" s="41"/>
      <c r="M370" s="42"/>
      <c r="N370" s="42"/>
      <c r="O370" s="38"/>
      <c r="P370" s="38"/>
      <c r="Q370" s="38"/>
    </row>
    <row r="371" spans="3:17" s="39" customFormat="1" ht="15" x14ac:dyDescent="0.25">
      <c r="C371" s="37"/>
      <c r="D371" s="65"/>
      <c r="E371" s="65"/>
      <c r="F371" s="65"/>
      <c r="H371" s="40"/>
      <c r="I371" s="41"/>
      <c r="J371" s="41"/>
      <c r="K371" s="41"/>
      <c r="L371" s="41"/>
      <c r="M371" s="42"/>
      <c r="N371" s="42"/>
      <c r="O371" s="38"/>
      <c r="P371" s="38"/>
      <c r="Q371" s="38"/>
    </row>
    <row r="372" spans="3:17" s="39" customFormat="1" ht="15" x14ac:dyDescent="0.25">
      <c r="C372" s="37"/>
      <c r="D372" s="65"/>
      <c r="E372" s="65"/>
      <c r="F372" s="65"/>
      <c r="H372" s="40"/>
      <c r="I372" s="41"/>
      <c r="J372" s="41"/>
      <c r="K372" s="41"/>
      <c r="L372" s="41"/>
      <c r="M372" s="42"/>
      <c r="N372" s="42"/>
      <c r="O372" s="38"/>
      <c r="P372" s="38"/>
      <c r="Q372" s="38"/>
    </row>
    <row r="373" spans="3:17" s="39" customFormat="1" ht="15" x14ac:dyDescent="0.25">
      <c r="C373" s="37"/>
      <c r="D373" s="65"/>
      <c r="E373" s="65"/>
      <c r="F373" s="65"/>
      <c r="H373" s="40"/>
      <c r="I373" s="41"/>
      <c r="J373" s="41"/>
      <c r="K373" s="41"/>
      <c r="L373" s="41"/>
      <c r="M373" s="42"/>
      <c r="N373" s="42"/>
      <c r="O373" s="38"/>
      <c r="P373" s="38"/>
      <c r="Q373" s="38"/>
    </row>
    <row r="374" spans="3:17" s="39" customFormat="1" ht="15" x14ac:dyDescent="0.25">
      <c r="C374" s="37"/>
      <c r="D374" s="65"/>
      <c r="E374" s="65"/>
      <c r="F374" s="65"/>
      <c r="H374" s="40"/>
      <c r="I374" s="41"/>
      <c r="J374" s="41"/>
      <c r="K374" s="41"/>
      <c r="L374" s="41"/>
      <c r="M374" s="42"/>
      <c r="N374" s="42"/>
      <c r="O374" s="38"/>
      <c r="P374" s="38"/>
      <c r="Q374" s="38"/>
    </row>
    <row r="375" spans="3:17" s="39" customFormat="1" ht="15" x14ac:dyDescent="0.25">
      <c r="C375" s="37"/>
      <c r="D375" s="65"/>
      <c r="E375" s="65"/>
      <c r="F375" s="65"/>
      <c r="H375" s="40"/>
      <c r="I375" s="41"/>
      <c r="J375" s="41"/>
      <c r="K375" s="41"/>
      <c r="L375" s="41"/>
      <c r="M375" s="42"/>
      <c r="N375" s="42"/>
      <c r="O375" s="38"/>
      <c r="P375" s="38"/>
      <c r="Q375" s="38"/>
    </row>
    <row r="376" spans="3:17" s="39" customFormat="1" ht="15" x14ac:dyDescent="0.25">
      <c r="C376" s="37"/>
      <c r="D376" s="65"/>
      <c r="E376" s="65"/>
      <c r="F376" s="65"/>
      <c r="H376" s="40"/>
      <c r="I376" s="41"/>
      <c r="J376" s="41"/>
      <c r="K376" s="41"/>
      <c r="L376" s="41"/>
      <c r="M376" s="42"/>
      <c r="N376" s="42"/>
      <c r="O376" s="38"/>
      <c r="P376" s="38"/>
      <c r="Q376" s="38"/>
    </row>
    <row r="377" spans="3:17" s="39" customFormat="1" ht="15" x14ac:dyDescent="0.25">
      <c r="C377" s="37"/>
      <c r="D377" s="65"/>
      <c r="E377" s="65"/>
      <c r="F377" s="65"/>
      <c r="H377" s="40"/>
      <c r="I377" s="41"/>
      <c r="J377" s="41"/>
      <c r="K377" s="41"/>
      <c r="L377" s="41"/>
      <c r="M377" s="42"/>
      <c r="N377" s="42"/>
      <c r="O377" s="38"/>
      <c r="P377" s="38"/>
      <c r="Q377" s="38"/>
    </row>
    <row r="378" spans="3:17" s="39" customFormat="1" ht="15" x14ac:dyDescent="0.25">
      <c r="C378" s="37"/>
      <c r="D378" s="65"/>
      <c r="E378" s="65"/>
      <c r="F378" s="65"/>
      <c r="H378" s="40"/>
      <c r="I378" s="41"/>
      <c r="J378" s="41"/>
      <c r="K378" s="41"/>
      <c r="L378" s="41"/>
      <c r="M378" s="42"/>
      <c r="N378" s="42"/>
      <c r="O378" s="38"/>
      <c r="P378" s="38"/>
      <c r="Q378" s="38"/>
    </row>
    <row r="379" spans="3:17" s="39" customFormat="1" ht="15" x14ac:dyDescent="0.25">
      <c r="C379" s="37"/>
      <c r="D379" s="65"/>
      <c r="E379" s="65"/>
      <c r="F379" s="65"/>
      <c r="H379" s="40"/>
      <c r="I379" s="41"/>
      <c r="J379" s="41"/>
      <c r="K379" s="41"/>
      <c r="L379" s="41"/>
      <c r="M379" s="42"/>
      <c r="N379" s="42"/>
      <c r="O379" s="38"/>
      <c r="P379" s="38"/>
      <c r="Q379" s="38"/>
    </row>
    <row r="380" spans="3:17" s="39" customFormat="1" ht="15" x14ac:dyDescent="0.25">
      <c r="C380" s="37"/>
      <c r="D380" s="65"/>
      <c r="E380" s="65"/>
      <c r="F380" s="65"/>
      <c r="H380" s="40"/>
      <c r="I380" s="41"/>
      <c r="J380" s="41"/>
      <c r="K380" s="41"/>
      <c r="L380" s="41"/>
      <c r="M380" s="42"/>
      <c r="N380" s="42"/>
      <c r="O380" s="38"/>
      <c r="P380" s="38"/>
      <c r="Q380" s="38"/>
    </row>
    <row r="381" spans="3:17" s="39" customFormat="1" ht="15" x14ac:dyDescent="0.25">
      <c r="C381" s="37"/>
      <c r="D381" s="65"/>
      <c r="E381" s="65"/>
      <c r="F381" s="65"/>
      <c r="H381" s="40"/>
      <c r="I381" s="41"/>
      <c r="J381" s="41"/>
      <c r="K381" s="41"/>
      <c r="L381" s="41"/>
      <c r="M381" s="42"/>
      <c r="N381" s="42"/>
      <c r="O381" s="38"/>
      <c r="P381" s="38"/>
      <c r="Q381" s="38"/>
    </row>
    <row r="382" spans="3:17" s="39" customFormat="1" ht="15" x14ac:dyDescent="0.25">
      <c r="C382" s="37"/>
      <c r="D382" s="65"/>
      <c r="E382" s="65"/>
      <c r="F382" s="65"/>
      <c r="H382" s="40"/>
      <c r="I382" s="41"/>
      <c r="J382" s="41"/>
      <c r="K382" s="41"/>
      <c r="L382" s="41"/>
      <c r="M382" s="42"/>
      <c r="N382" s="42"/>
      <c r="O382" s="38"/>
      <c r="P382" s="38"/>
      <c r="Q382" s="38"/>
    </row>
    <row r="383" spans="3:17" s="39" customFormat="1" ht="15" x14ac:dyDescent="0.25">
      <c r="C383" s="37"/>
      <c r="D383" s="65"/>
      <c r="E383" s="65"/>
      <c r="F383" s="65"/>
      <c r="H383" s="40"/>
      <c r="I383" s="41"/>
      <c r="J383" s="41"/>
      <c r="K383" s="41"/>
      <c r="L383" s="41"/>
      <c r="M383" s="42"/>
      <c r="N383" s="42"/>
      <c r="O383" s="38"/>
      <c r="P383" s="38"/>
      <c r="Q383" s="38"/>
    </row>
    <row r="384" spans="3:17" s="39" customFormat="1" ht="15" x14ac:dyDescent="0.25">
      <c r="C384" s="37"/>
      <c r="D384" s="65"/>
      <c r="E384" s="65"/>
      <c r="F384" s="65"/>
      <c r="H384" s="40"/>
      <c r="I384" s="41"/>
      <c r="J384" s="41"/>
      <c r="K384" s="41"/>
      <c r="L384" s="41"/>
      <c r="M384" s="42"/>
      <c r="N384" s="42"/>
      <c r="O384" s="38"/>
      <c r="P384" s="38"/>
      <c r="Q384" s="38"/>
    </row>
    <row r="385" spans="3:17" s="39" customFormat="1" ht="15" x14ac:dyDescent="0.25">
      <c r="C385" s="37"/>
      <c r="D385" s="65"/>
      <c r="E385" s="65"/>
      <c r="F385" s="65"/>
      <c r="H385" s="40"/>
      <c r="I385" s="41"/>
      <c r="J385" s="41"/>
      <c r="K385" s="41"/>
      <c r="L385" s="41"/>
      <c r="M385" s="42"/>
      <c r="N385" s="42"/>
      <c r="O385" s="38"/>
      <c r="P385" s="38"/>
      <c r="Q385" s="38"/>
    </row>
    <row r="386" spans="3:17" s="39" customFormat="1" ht="15" x14ac:dyDescent="0.25">
      <c r="C386" s="37"/>
      <c r="D386" s="65"/>
      <c r="E386" s="65"/>
      <c r="F386" s="65"/>
      <c r="H386" s="40"/>
      <c r="I386" s="41"/>
      <c r="J386" s="41"/>
      <c r="K386" s="41"/>
      <c r="L386" s="41"/>
      <c r="M386" s="42"/>
      <c r="N386" s="42"/>
      <c r="O386" s="38"/>
      <c r="P386" s="38"/>
      <c r="Q386" s="38"/>
    </row>
    <row r="387" spans="3:17" s="39" customFormat="1" ht="15" x14ac:dyDescent="0.25">
      <c r="C387" s="37"/>
      <c r="D387" s="65"/>
      <c r="E387" s="65"/>
      <c r="F387" s="65"/>
      <c r="H387" s="40"/>
      <c r="I387" s="41"/>
      <c r="J387" s="41"/>
      <c r="K387" s="41"/>
      <c r="L387" s="41"/>
      <c r="M387" s="42"/>
      <c r="N387" s="42"/>
      <c r="O387" s="38"/>
      <c r="P387" s="38"/>
      <c r="Q387" s="38"/>
    </row>
    <row r="388" spans="3:17" s="39" customFormat="1" ht="15" x14ac:dyDescent="0.25">
      <c r="C388" s="37"/>
      <c r="D388" s="65"/>
      <c r="E388" s="65"/>
      <c r="F388" s="65"/>
      <c r="H388" s="40"/>
      <c r="I388" s="41"/>
      <c r="J388" s="41"/>
      <c r="K388" s="41"/>
      <c r="L388" s="41"/>
      <c r="M388" s="42"/>
      <c r="N388" s="42"/>
      <c r="O388" s="38"/>
      <c r="P388" s="38"/>
      <c r="Q388" s="38"/>
    </row>
    <row r="389" spans="3:17" s="39" customFormat="1" ht="15" x14ac:dyDescent="0.25">
      <c r="C389" s="37"/>
      <c r="D389" s="65"/>
      <c r="E389" s="65"/>
      <c r="F389" s="65"/>
      <c r="H389" s="40"/>
      <c r="I389" s="41"/>
      <c r="J389" s="41"/>
      <c r="K389" s="41"/>
      <c r="L389" s="41"/>
      <c r="M389" s="42"/>
      <c r="N389" s="42"/>
      <c r="O389" s="38"/>
      <c r="P389" s="38"/>
      <c r="Q389" s="38"/>
    </row>
    <row r="390" spans="3:17" s="39" customFormat="1" ht="15" x14ac:dyDescent="0.25">
      <c r="C390" s="37"/>
      <c r="D390" s="65"/>
      <c r="E390" s="65"/>
      <c r="F390" s="65"/>
      <c r="H390" s="40"/>
      <c r="I390" s="41"/>
      <c r="J390" s="41"/>
      <c r="K390" s="41"/>
      <c r="L390" s="41"/>
      <c r="M390" s="42"/>
      <c r="N390" s="42"/>
      <c r="O390" s="38"/>
      <c r="P390" s="38"/>
      <c r="Q390" s="38"/>
    </row>
    <row r="391" spans="3:17" s="39" customFormat="1" ht="15" x14ac:dyDescent="0.25">
      <c r="C391" s="37"/>
      <c r="D391" s="65"/>
      <c r="E391" s="65"/>
      <c r="F391" s="65"/>
      <c r="H391" s="40"/>
      <c r="I391" s="41"/>
      <c r="J391" s="41"/>
      <c r="K391" s="41"/>
      <c r="L391" s="41"/>
      <c r="M391" s="42"/>
      <c r="N391" s="42"/>
      <c r="O391" s="38"/>
      <c r="P391" s="38"/>
      <c r="Q391" s="38"/>
    </row>
    <row r="392" spans="3:17" s="39" customFormat="1" ht="15" x14ac:dyDescent="0.25">
      <c r="C392" s="37"/>
      <c r="D392" s="65"/>
      <c r="E392" s="65"/>
      <c r="F392" s="65"/>
      <c r="H392" s="40"/>
      <c r="I392" s="41"/>
      <c r="J392" s="41"/>
      <c r="K392" s="41"/>
      <c r="L392" s="41"/>
      <c r="M392" s="42"/>
      <c r="N392" s="42"/>
      <c r="O392" s="38"/>
      <c r="P392" s="38"/>
      <c r="Q392" s="38"/>
    </row>
    <row r="393" spans="3:17" s="39" customFormat="1" ht="15" x14ac:dyDescent="0.25">
      <c r="C393" s="37"/>
      <c r="D393" s="65"/>
      <c r="E393" s="65"/>
      <c r="F393" s="65"/>
      <c r="H393" s="40"/>
      <c r="I393" s="41"/>
      <c r="J393" s="41"/>
      <c r="K393" s="41"/>
      <c r="L393" s="41"/>
      <c r="M393" s="42"/>
      <c r="N393" s="42"/>
      <c r="O393" s="38"/>
      <c r="P393" s="38"/>
      <c r="Q393" s="38"/>
    </row>
    <row r="394" spans="3:17" s="39" customFormat="1" ht="15" x14ac:dyDescent="0.25">
      <c r="C394" s="37"/>
      <c r="D394" s="65"/>
      <c r="E394" s="65"/>
      <c r="F394" s="65"/>
      <c r="H394" s="40"/>
      <c r="I394" s="41"/>
      <c r="J394" s="41"/>
      <c r="K394" s="41"/>
      <c r="L394" s="41"/>
      <c r="M394" s="42"/>
      <c r="N394" s="42"/>
      <c r="O394" s="38"/>
      <c r="P394" s="38"/>
      <c r="Q394" s="38"/>
    </row>
    <row r="395" spans="3:17" s="39" customFormat="1" ht="15" x14ac:dyDescent="0.25">
      <c r="C395" s="37"/>
      <c r="D395" s="65"/>
      <c r="E395" s="65"/>
      <c r="F395" s="65"/>
      <c r="H395" s="40"/>
      <c r="I395" s="41"/>
      <c r="J395" s="41"/>
      <c r="K395" s="41"/>
      <c r="L395" s="41"/>
      <c r="M395" s="42"/>
      <c r="N395" s="42"/>
      <c r="O395" s="38"/>
      <c r="P395" s="38"/>
      <c r="Q395" s="38"/>
    </row>
    <row r="396" spans="3:17" s="39" customFormat="1" ht="15" x14ac:dyDescent="0.25">
      <c r="C396" s="37"/>
      <c r="D396" s="65"/>
      <c r="E396" s="65"/>
      <c r="F396" s="65"/>
      <c r="H396" s="40"/>
      <c r="I396" s="41"/>
      <c r="J396" s="41"/>
      <c r="K396" s="41"/>
      <c r="L396" s="41"/>
      <c r="M396" s="42"/>
      <c r="N396" s="42"/>
      <c r="O396" s="38"/>
      <c r="P396" s="38"/>
      <c r="Q396" s="38"/>
    </row>
    <row r="397" spans="3:17" s="39" customFormat="1" ht="15" x14ac:dyDescent="0.25">
      <c r="C397" s="37"/>
      <c r="D397" s="65"/>
      <c r="E397" s="65"/>
      <c r="F397" s="65"/>
      <c r="H397" s="40"/>
      <c r="I397" s="41"/>
      <c r="J397" s="41"/>
      <c r="K397" s="41"/>
      <c r="L397" s="41"/>
      <c r="M397" s="42"/>
      <c r="N397" s="42"/>
      <c r="O397" s="38"/>
      <c r="P397" s="38"/>
      <c r="Q397" s="38"/>
    </row>
    <row r="398" spans="3:17" s="39" customFormat="1" ht="15" x14ac:dyDescent="0.25">
      <c r="C398" s="37"/>
      <c r="D398" s="65"/>
      <c r="E398" s="65"/>
      <c r="F398" s="65"/>
      <c r="H398" s="40"/>
      <c r="I398" s="41"/>
      <c r="J398" s="41"/>
      <c r="K398" s="41"/>
      <c r="L398" s="41"/>
      <c r="M398" s="42"/>
      <c r="N398" s="42"/>
      <c r="O398" s="38"/>
      <c r="P398" s="38"/>
      <c r="Q398" s="38"/>
    </row>
    <row r="399" spans="3:17" s="39" customFormat="1" ht="15" x14ac:dyDescent="0.25">
      <c r="C399" s="37"/>
      <c r="D399" s="65"/>
      <c r="E399" s="65"/>
      <c r="F399" s="65"/>
      <c r="H399" s="40"/>
      <c r="I399" s="41"/>
      <c r="J399" s="41"/>
      <c r="K399" s="41"/>
      <c r="L399" s="41"/>
      <c r="M399" s="42"/>
      <c r="N399" s="42"/>
      <c r="O399" s="38"/>
      <c r="P399" s="38"/>
      <c r="Q399" s="38"/>
    </row>
    <row r="400" spans="3:17" s="39" customFormat="1" ht="15" x14ac:dyDescent="0.25">
      <c r="C400" s="37"/>
      <c r="D400" s="65"/>
      <c r="E400" s="65"/>
      <c r="F400" s="65"/>
      <c r="H400" s="40"/>
      <c r="I400" s="41"/>
      <c r="J400" s="41"/>
      <c r="K400" s="41"/>
      <c r="L400" s="41"/>
      <c r="M400" s="42"/>
      <c r="N400" s="42"/>
      <c r="O400" s="38"/>
      <c r="P400" s="38"/>
      <c r="Q400" s="38"/>
    </row>
    <row r="401" spans="3:17" s="39" customFormat="1" ht="15" x14ac:dyDescent="0.25">
      <c r="C401" s="37"/>
      <c r="D401" s="65"/>
      <c r="E401" s="65"/>
      <c r="F401" s="65"/>
      <c r="H401" s="40"/>
      <c r="I401" s="41"/>
      <c r="J401" s="41"/>
      <c r="K401" s="41"/>
      <c r="L401" s="41"/>
      <c r="M401" s="42"/>
      <c r="N401" s="42"/>
      <c r="O401" s="38"/>
      <c r="P401" s="38"/>
      <c r="Q401" s="38"/>
    </row>
    <row r="402" spans="3:17" s="39" customFormat="1" ht="15" x14ac:dyDescent="0.25">
      <c r="C402" s="37"/>
      <c r="D402" s="65"/>
      <c r="E402" s="65"/>
      <c r="F402" s="65"/>
      <c r="H402" s="40"/>
      <c r="I402" s="41"/>
      <c r="J402" s="41"/>
      <c r="K402" s="41"/>
      <c r="L402" s="41"/>
      <c r="M402" s="42"/>
      <c r="N402" s="42"/>
      <c r="O402" s="38"/>
      <c r="P402" s="38"/>
      <c r="Q402" s="38"/>
    </row>
    <row r="403" spans="3:17" s="39" customFormat="1" ht="15" x14ac:dyDescent="0.25">
      <c r="C403" s="37"/>
      <c r="D403" s="65"/>
      <c r="E403" s="65"/>
      <c r="F403" s="65"/>
      <c r="H403" s="40"/>
      <c r="I403" s="41"/>
      <c r="J403" s="41"/>
      <c r="K403" s="41"/>
      <c r="L403" s="41"/>
      <c r="M403" s="42"/>
      <c r="N403" s="42"/>
      <c r="O403" s="38"/>
      <c r="P403" s="38"/>
      <c r="Q403" s="38"/>
    </row>
    <row r="404" spans="3:17" s="39" customFormat="1" ht="15" x14ac:dyDescent="0.25">
      <c r="C404" s="37"/>
      <c r="D404" s="65"/>
      <c r="E404" s="65"/>
      <c r="F404" s="65"/>
      <c r="H404" s="40"/>
      <c r="I404" s="41"/>
      <c r="J404" s="41"/>
      <c r="K404" s="41"/>
      <c r="L404" s="41"/>
      <c r="M404" s="42"/>
      <c r="N404" s="42"/>
      <c r="O404" s="38"/>
      <c r="P404" s="38"/>
      <c r="Q404" s="38"/>
    </row>
    <row r="405" spans="3:17" s="39" customFormat="1" ht="15" x14ac:dyDescent="0.25">
      <c r="C405" s="37"/>
      <c r="D405" s="65"/>
      <c r="E405" s="65"/>
      <c r="F405" s="65"/>
      <c r="H405" s="40"/>
      <c r="I405" s="41"/>
      <c r="J405" s="41"/>
      <c r="K405" s="41"/>
      <c r="L405" s="41"/>
      <c r="M405" s="42"/>
      <c r="N405" s="42"/>
      <c r="O405" s="38"/>
      <c r="P405" s="38"/>
      <c r="Q405" s="38"/>
    </row>
    <row r="406" spans="3:17" s="39" customFormat="1" ht="15" x14ac:dyDescent="0.25">
      <c r="C406" s="37"/>
      <c r="D406" s="65"/>
      <c r="E406" s="65"/>
      <c r="F406" s="65"/>
      <c r="H406" s="40"/>
      <c r="I406" s="41"/>
      <c r="J406" s="41"/>
      <c r="K406" s="41"/>
      <c r="L406" s="41"/>
      <c r="M406" s="42"/>
      <c r="N406" s="42"/>
      <c r="O406" s="38"/>
      <c r="P406" s="38"/>
      <c r="Q406" s="38"/>
    </row>
    <row r="407" spans="3:17" s="39" customFormat="1" ht="15" x14ac:dyDescent="0.25">
      <c r="C407" s="37"/>
      <c r="D407" s="65"/>
      <c r="E407" s="65"/>
      <c r="F407" s="65"/>
      <c r="H407" s="40"/>
      <c r="I407" s="41"/>
      <c r="J407" s="41"/>
      <c r="K407" s="41"/>
      <c r="L407" s="41"/>
      <c r="M407" s="42"/>
      <c r="N407" s="42"/>
      <c r="O407" s="38"/>
      <c r="P407" s="38"/>
      <c r="Q407" s="38"/>
    </row>
    <row r="408" spans="3:17" s="39" customFormat="1" ht="15" x14ac:dyDescent="0.25">
      <c r="C408" s="37"/>
      <c r="D408" s="65"/>
      <c r="E408" s="65"/>
      <c r="F408" s="65"/>
      <c r="H408" s="40"/>
      <c r="I408" s="41"/>
      <c r="J408" s="41"/>
      <c r="K408" s="41"/>
      <c r="L408" s="41"/>
      <c r="M408" s="42"/>
      <c r="N408" s="42"/>
      <c r="O408" s="38"/>
      <c r="P408" s="38"/>
      <c r="Q408" s="38"/>
    </row>
    <row r="409" spans="3:17" s="39" customFormat="1" ht="15" x14ac:dyDescent="0.25">
      <c r="C409" s="37"/>
      <c r="D409" s="65"/>
      <c r="E409" s="65"/>
      <c r="F409" s="65"/>
      <c r="H409" s="40"/>
      <c r="I409" s="41"/>
      <c r="J409" s="41"/>
      <c r="K409" s="41"/>
      <c r="L409" s="41"/>
      <c r="M409" s="42"/>
      <c r="N409" s="42"/>
      <c r="O409" s="38"/>
      <c r="P409" s="38"/>
      <c r="Q409" s="38"/>
    </row>
    <row r="410" spans="3:17" s="39" customFormat="1" ht="15" x14ac:dyDescent="0.25">
      <c r="C410" s="37"/>
      <c r="D410" s="65"/>
      <c r="E410" s="65"/>
      <c r="F410" s="65"/>
      <c r="H410" s="40"/>
      <c r="I410" s="41"/>
      <c r="J410" s="41"/>
      <c r="K410" s="41"/>
      <c r="L410" s="41"/>
      <c r="M410" s="42"/>
      <c r="N410" s="42"/>
      <c r="O410" s="38"/>
      <c r="P410" s="38"/>
      <c r="Q410" s="38"/>
    </row>
    <row r="411" spans="3:17" s="39" customFormat="1" ht="15" x14ac:dyDescent="0.25">
      <c r="C411" s="37"/>
      <c r="D411" s="65"/>
      <c r="E411" s="65"/>
      <c r="F411" s="65"/>
      <c r="H411" s="40"/>
      <c r="I411" s="41"/>
      <c r="J411" s="41"/>
      <c r="K411" s="41"/>
      <c r="L411" s="41"/>
      <c r="M411" s="42"/>
      <c r="N411" s="42"/>
      <c r="O411" s="38"/>
      <c r="P411" s="38"/>
      <c r="Q411" s="38"/>
    </row>
    <row r="412" spans="3:17" s="39" customFormat="1" ht="15" x14ac:dyDescent="0.25">
      <c r="C412" s="37"/>
      <c r="D412" s="65"/>
      <c r="E412" s="65"/>
      <c r="F412" s="65"/>
      <c r="H412" s="40"/>
      <c r="I412" s="41"/>
      <c r="J412" s="41"/>
      <c r="K412" s="41"/>
      <c r="L412" s="41"/>
      <c r="M412" s="42"/>
      <c r="N412" s="42"/>
      <c r="O412" s="38"/>
      <c r="P412" s="38"/>
      <c r="Q412" s="38"/>
    </row>
    <row r="413" spans="3:17" s="39" customFormat="1" ht="15" x14ac:dyDescent="0.25">
      <c r="C413" s="37"/>
      <c r="D413" s="65"/>
      <c r="E413" s="65"/>
      <c r="F413" s="65"/>
      <c r="H413" s="40"/>
      <c r="I413" s="41"/>
      <c r="J413" s="41"/>
      <c r="K413" s="41"/>
      <c r="L413" s="41"/>
      <c r="M413" s="42"/>
      <c r="N413" s="42"/>
      <c r="O413" s="38"/>
      <c r="P413" s="38"/>
      <c r="Q413" s="38"/>
    </row>
    <row r="414" spans="3:17" s="39" customFormat="1" ht="15" x14ac:dyDescent="0.25">
      <c r="C414" s="37"/>
      <c r="D414" s="65"/>
      <c r="E414" s="65"/>
      <c r="F414" s="65"/>
      <c r="H414" s="40"/>
      <c r="I414" s="41"/>
      <c r="J414" s="41"/>
      <c r="K414" s="41"/>
      <c r="L414" s="41"/>
      <c r="M414" s="42"/>
      <c r="N414" s="42"/>
      <c r="O414" s="38"/>
      <c r="P414" s="38"/>
      <c r="Q414" s="38"/>
    </row>
    <row r="415" spans="3:17" s="39" customFormat="1" ht="15" x14ac:dyDescent="0.25">
      <c r="C415" s="37"/>
      <c r="D415" s="65"/>
      <c r="E415" s="65"/>
      <c r="F415" s="65"/>
      <c r="H415" s="40"/>
      <c r="I415" s="41"/>
      <c r="J415" s="41"/>
      <c r="K415" s="41"/>
      <c r="L415" s="41"/>
      <c r="M415" s="42"/>
      <c r="N415" s="42"/>
      <c r="O415" s="38"/>
      <c r="P415" s="38"/>
      <c r="Q415" s="38"/>
    </row>
    <row r="416" spans="3:17" s="39" customFormat="1" ht="15" x14ac:dyDescent="0.25">
      <c r="C416" s="37"/>
      <c r="D416" s="65"/>
      <c r="E416" s="65"/>
      <c r="F416" s="65"/>
      <c r="H416" s="40"/>
      <c r="I416" s="41"/>
      <c r="J416" s="41"/>
      <c r="K416" s="41"/>
      <c r="L416" s="41"/>
      <c r="M416" s="42"/>
      <c r="N416" s="42"/>
      <c r="O416" s="38"/>
      <c r="P416" s="38"/>
      <c r="Q416" s="38"/>
    </row>
    <row r="417" spans="3:17" s="39" customFormat="1" ht="15" x14ac:dyDescent="0.25">
      <c r="C417" s="37"/>
      <c r="D417" s="65"/>
      <c r="E417" s="65"/>
      <c r="F417" s="65"/>
      <c r="H417" s="40"/>
      <c r="I417" s="41"/>
      <c r="J417" s="41"/>
      <c r="K417" s="41"/>
      <c r="L417" s="41"/>
      <c r="M417" s="42"/>
      <c r="N417" s="42"/>
      <c r="O417" s="38"/>
      <c r="P417" s="38"/>
      <c r="Q417" s="38"/>
    </row>
    <row r="418" spans="3:17" s="39" customFormat="1" ht="15" x14ac:dyDescent="0.25">
      <c r="C418" s="37"/>
      <c r="D418" s="65"/>
      <c r="E418" s="65"/>
      <c r="F418" s="65"/>
      <c r="H418" s="40"/>
      <c r="I418" s="41"/>
      <c r="J418" s="41"/>
      <c r="K418" s="41"/>
      <c r="L418" s="41"/>
      <c r="M418" s="42"/>
      <c r="N418" s="42"/>
      <c r="O418" s="38"/>
      <c r="P418" s="38"/>
      <c r="Q418" s="38"/>
    </row>
    <row r="419" spans="3:17" s="39" customFormat="1" ht="15" x14ac:dyDescent="0.25">
      <c r="C419" s="37"/>
      <c r="D419" s="65"/>
      <c r="E419" s="65"/>
      <c r="F419" s="65"/>
      <c r="H419" s="40"/>
      <c r="I419" s="41"/>
      <c r="J419" s="41"/>
      <c r="K419" s="41"/>
      <c r="L419" s="41"/>
      <c r="M419" s="42"/>
      <c r="N419" s="42"/>
      <c r="O419" s="38"/>
      <c r="P419" s="38"/>
      <c r="Q419" s="38"/>
    </row>
    <row r="420" spans="3:17" s="39" customFormat="1" ht="15" x14ac:dyDescent="0.25">
      <c r="C420" s="37"/>
      <c r="D420" s="65"/>
      <c r="E420" s="65"/>
      <c r="F420" s="65"/>
      <c r="H420" s="40"/>
      <c r="I420" s="41"/>
      <c r="J420" s="41"/>
      <c r="K420" s="41"/>
      <c r="L420" s="41"/>
      <c r="M420" s="42"/>
      <c r="N420" s="42"/>
      <c r="O420" s="38"/>
      <c r="P420" s="38"/>
      <c r="Q420" s="38"/>
    </row>
    <row r="421" spans="3:17" s="39" customFormat="1" ht="15" x14ac:dyDescent="0.25">
      <c r="C421" s="37"/>
      <c r="D421" s="65"/>
      <c r="E421" s="65"/>
      <c r="F421" s="65"/>
      <c r="H421" s="40"/>
      <c r="I421" s="41"/>
      <c r="J421" s="41"/>
      <c r="K421" s="41"/>
      <c r="L421" s="41"/>
      <c r="M421" s="42"/>
      <c r="N421" s="42"/>
      <c r="O421" s="38"/>
      <c r="P421" s="38"/>
      <c r="Q421" s="38"/>
    </row>
    <row r="422" spans="3:17" s="39" customFormat="1" ht="15" x14ac:dyDescent="0.25">
      <c r="C422" s="37"/>
      <c r="D422" s="65"/>
      <c r="E422" s="65"/>
      <c r="F422" s="65"/>
      <c r="H422" s="40"/>
      <c r="I422" s="41"/>
      <c r="J422" s="41"/>
      <c r="K422" s="41"/>
      <c r="L422" s="41"/>
      <c r="M422" s="42"/>
      <c r="N422" s="42"/>
      <c r="O422" s="38"/>
      <c r="P422" s="38"/>
      <c r="Q422" s="38"/>
    </row>
    <row r="423" spans="3:17" s="39" customFormat="1" ht="15" x14ac:dyDescent="0.25">
      <c r="C423" s="37"/>
      <c r="D423" s="65"/>
      <c r="E423" s="65"/>
      <c r="F423" s="65"/>
      <c r="H423" s="40"/>
      <c r="I423" s="41"/>
      <c r="J423" s="41"/>
      <c r="K423" s="41"/>
      <c r="L423" s="41"/>
      <c r="M423" s="42"/>
      <c r="N423" s="42"/>
      <c r="O423" s="38"/>
      <c r="P423" s="38"/>
      <c r="Q423" s="38"/>
    </row>
    <row r="424" spans="3:17" s="39" customFormat="1" ht="15" x14ac:dyDescent="0.25">
      <c r="C424" s="37"/>
      <c r="D424" s="65"/>
      <c r="E424" s="65"/>
      <c r="F424" s="65"/>
      <c r="H424" s="40"/>
      <c r="I424" s="41"/>
      <c r="J424" s="41"/>
      <c r="K424" s="41"/>
      <c r="L424" s="41"/>
      <c r="M424" s="42"/>
      <c r="N424" s="42"/>
      <c r="O424" s="38"/>
      <c r="P424" s="38"/>
      <c r="Q424" s="38"/>
    </row>
    <row r="425" spans="3:17" s="39" customFormat="1" ht="15" x14ac:dyDescent="0.25">
      <c r="C425" s="37"/>
      <c r="D425" s="65"/>
      <c r="E425" s="65"/>
      <c r="F425" s="65"/>
      <c r="H425" s="40"/>
      <c r="I425" s="41"/>
      <c r="J425" s="41"/>
      <c r="K425" s="41"/>
      <c r="L425" s="41"/>
      <c r="M425" s="42"/>
      <c r="N425" s="42"/>
      <c r="O425" s="38"/>
      <c r="P425" s="38"/>
      <c r="Q425" s="38"/>
    </row>
    <row r="426" spans="3:17" s="39" customFormat="1" ht="15" x14ac:dyDescent="0.25">
      <c r="C426" s="37"/>
      <c r="D426" s="65"/>
      <c r="E426" s="65"/>
      <c r="F426" s="65"/>
      <c r="H426" s="40"/>
      <c r="I426" s="41"/>
      <c r="J426" s="41"/>
      <c r="K426" s="41"/>
      <c r="L426" s="41"/>
      <c r="M426" s="42"/>
      <c r="N426" s="42"/>
      <c r="O426" s="38"/>
      <c r="P426" s="38"/>
      <c r="Q426" s="38"/>
    </row>
    <row r="427" spans="3:17" s="39" customFormat="1" ht="15" x14ac:dyDescent="0.25">
      <c r="C427" s="37"/>
      <c r="D427" s="65"/>
      <c r="E427" s="65"/>
      <c r="F427" s="65"/>
      <c r="H427" s="40"/>
      <c r="I427" s="41"/>
      <c r="J427" s="41"/>
      <c r="K427" s="41"/>
      <c r="L427" s="41"/>
      <c r="M427" s="42"/>
      <c r="N427" s="42"/>
      <c r="O427" s="38"/>
      <c r="P427" s="38"/>
      <c r="Q427" s="38"/>
    </row>
    <row r="428" spans="3:17" s="39" customFormat="1" ht="15" x14ac:dyDescent="0.25">
      <c r="C428" s="37"/>
      <c r="D428" s="65"/>
      <c r="E428" s="65"/>
      <c r="F428" s="65"/>
      <c r="H428" s="40"/>
      <c r="I428" s="41"/>
      <c r="J428" s="41"/>
      <c r="K428" s="41"/>
      <c r="L428" s="41"/>
      <c r="M428" s="42"/>
      <c r="N428" s="42"/>
      <c r="O428" s="38"/>
      <c r="P428" s="38"/>
      <c r="Q428" s="38"/>
    </row>
    <row r="429" spans="3:17" s="39" customFormat="1" ht="15" x14ac:dyDescent="0.25">
      <c r="C429" s="37"/>
      <c r="D429" s="65"/>
      <c r="E429" s="65"/>
      <c r="F429" s="65"/>
      <c r="H429" s="40"/>
      <c r="I429" s="41"/>
      <c r="J429" s="41"/>
      <c r="K429" s="41"/>
      <c r="L429" s="41"/>
      <c r="M429" s="42"/>
      <c r="N429" s="42"/>
      <c r="O429" s="38"/>
      <c r="P429" s="38"/>
      <c r="Q429" s="38"/>
    </row>
    <row r="430" spans="3:17" s="39" customFormat="1" ht="15" x14ac:dyDescent="0.25">
      <c r="C430" s="37"/>
      <c r="D430" s="65"/>
      <c r="E430" s="65"/>
      <c r="F430" s="65"/>
      <c r="H430" s="40"/>
      <c r="I430" s="41"/>
      <c r="J430" s="41"/>
      <c r="K430" s="41"/>
      <c r="L430" s="41"/>
      <c r="M430" s="42"/>
      <c r="N430" s="42"/>
      <c r="O430" s="38"/>
      <c r="P430" s="38"/>
      <c r="Q430" s="38"/>
    </row>
    <row r="431" spans="3:17" s="39" customFormat="1" ht="15" x14ac:dyDescent="0.25">
      <c r="C431" s="37"/>
      <c r="D431" s="65"/>
      <c r="E431" s="65"/>
      <c r="F431" s="65"/>
      <c r="H431" s="40"/>
      <c r="I431" s="41"/>
      <c r="J431" s="41"/>
      <c r="K431" s="41"/>
      <c r="L431" s="41"/>
      <c r="M431" s="42"/>
      <c r="N431" s="42"/>
      <c r="O431" s="38"/>
      <c r="P431" s="38"/>
      <c r="Q431" s="38"/>
    </row>
    <row r="432" spans="3:17" s="39" customFormat="1" ht="15" x14ac:dyDescent="0.25">
      <c r="C432" s="37"/>
      <c r="D432" s="65"/>
      <c r="E432" s="65"/>
      <c r="F432" s="65"/>
      <c r="H432" s="40"/>
      <c r="I432" s="41"/>
      <c r="J432" s="41"/>
      <c r="K432" s="41"/>
      <c r="L432" s="41"/>
      <c r="M432" s="42"/>
      <c r="N432" s="42"/>
      <c r="O432" s="38"/>
      <c r="P432" s="38"/>
      <c r="Q432" s="38"/>
    </row>
    <row r="433" spans="3:17" s="39" customFormat="1" ht="15" x14ac:dyDescent="0.25">
      <c r="C433" s="37"/>
      <c r="D433" s="65"/>
      <c r="E433" s="65"/>
      <c r="F433" s="65"/>
      <c r="H433" s="40"/>
      <c r="I433" s="41"/>
      <c r="J433" s="41"/>
      <c r="K433" s="41"/>
      <c r="L433" s="41"/>
      <c r="M433" s="42"/>
      <c r="N433" s="42"/>
      <c r="O433" s="38"/>
      <c r="P433" s="38"/>
      <c r="Q433" s="38"/>
    </row>
    <row r="434" spans="3:17" s="39" customFormat="1" ht="15" x14ac:dyDescent="0.25">
      <c r="C434" s="37"/>
      <c r="D434" s="65"/>
      <c r="E434" s="65"/>
      <c r="F434" s="65"/>
      <c r="H434" s="40"/>
      <c r="I434" s="41"/>
      <c r="J434" s="41"/>
      <c r="K434" s="41"/>
      <c r="L434" s="41"/>
      <c r="M434" s="42"/>
      <c r="N434" s="42"/>
      <c r="O434" s="38"/>
      <c r="P434" s="38"/>
      <c r="Q434" s="38"/>
    </row>
    <row r="435" spans="3:17" s="39" customFormat="1" ht="15" x14ac:dyDescent="0.25">
      <c r="C435" s="37"/>
      <c r="D435" s="65"/>
      <c r="E435" s="65"/>
      <c r="F435" s="65"/>
      <c r="H435" s="40"/>
      <c r="I435" s="41"/>
      <c r="J435" s="41"/>
      <c r="K435" s="41"/>
      <c r="L435" s="41"/>
      <c r="M435" s="42"/>
      <c r="N435" s="42"/>
      <c r="O435" s="38"/>
      <c r="P435" s="38"/>
      <c r="Q435" s="38"/>
    </row>
    <row r="436" spans="3:17" s="39" customFormat="1" ht="15" x14ac:dyDescent="0.25">
      <c r="C436" s="37"/>
      <c r="D436" s="65"/>
      <c r="E436" s="65"/>
      <c r="F436" s="65"/>
      <c r="H436" s="40"/>
      <c r="I436" s="41"/>
      <c r="J436" s="41"/>
      <c r="K436" s="41"/>
      <c r="L436" s="41"/>
      <c r="M436" s="42"/>
      <c r="N436" s="42"/>
      <c r="O436" s="38"/>
      <c r="P436" s="38"/>
      <c r="Q436" s="38"/>
    </row>
    <row r="437" spans="3:17" s="39" customFormat="1" ht="15" x14ac:dyDescent="0.25">
      <c r="C437" s="37"/>
      <c r="D437" s="65"/>
      <c r="E437" s="65"/>
      <c r="F437" s="65"/>
      <c r="H437" s="40"/>
      <c r="I437" s="41"/>
      <c r="J437" s="41"/>
      <c r="K437" s="41"/>
      <c r="L437" s="41"/>
      <c r="M437" s="42"/>
      <c r="N437" s="42"/>
      <c r="O437" s="38"/>
      <c r="P437" s="38"/>
      <c r="Q437" s="38"/>
    </row>
    <row r="438" spans="3:17" s="39" customFormat="1" ht="15" x14ac:dyDescent="0.25">
      <c r="C438" s="37"/>
      <c r="D438" s="65"/>
      <c r="E438" s="65"/>
      <c r="F438" s="65"/>
      <c r="H438" s="40"/>
      <c r="I438" s="41"/>
      <c r="J438" s="41"/>
      <c r="K438" s="41"/>
      <c r="L438" s="41"/>
      <c r="M438" s="42"/>
      <c r="N438" s="42"/>
      <c r="O438" s="38"/>
      <c r="P438" s="38"/>
      <c r="Q438" s="38"/>
    </row>
    <row r="439" spans="3:17" s="39" customFormat="1" ht="15" x14ac:dyDescent="0.25">
      <c r="C439" s="37"/>
      <c r="D439" s="65"/>
      <c r="E439" s="65"/>
      <c r="F439" s="65"/>
      <c r="H439" s="40"/>
      <c r="I439" s="41"/>
      <c r="J439" s="41"/>
      <c r="K439" s="41"/>
      <c r="L439" s="41"/>
      <c r="M439" s="42"/>
      <c r="N439" s="42"/>
      <c r="O439" s="38"/>
      <c r="P439" s="38"/>
      <c r="Q439" s="38"/>
    </row>
    <row r="440" spans="3:17" s="39" customFormat="1" ht="15" x14ac:dyDescent="0.25">
      <c r="C440" s="37"/>
      <c r="D440" s="65"/>
      <c r="E440" s="65"/>
      <c r="F440" s="65"/>
      <c r="H440" s="40"/>
      <c r="I440" s="41"/>
      <c r="J440" s="41"/>
      <c r="K440" s="41"/>
      <c r="L440" s="41"/>
      <c r="M440" s="42"/>
      <c r="N440" s="42"/>
      <c r="O440" s="38"/>
      <c r="P440" s="38"/>
      <c r="Q440" s="38"/>
    </row>
    <row r="441" spans="3:17" s="39" customFormat="1" ht="15" x14ac:dyDescent="0.25">
      <c r="C441" s="37"/>
      <c r="D441" s="65"/>
      <c r="E441" s="65"/>
      <c r="F441" s="65"/>
      <c r="H441" s="40"/>
      <c r="I441" s="41"/>
      <c r="J441" s="41"/>
      <c r="K441" s="41"/>
      <c r="L441" s="41"/>
      <c r="M441" s="42"/>
      <c r="N441" s="42"/>
      <c r="O441" s="38"/>
      <c r="P441" s="38"/>
      <c r="Q441" s="38"/>
    </row>
    <row r="442" spans="3:17" s="39" customFormat="1" ht="15" x14ac:dyDescent="0.25">
      <c r="C442" s="37"/>
      <c r="D442" s="65"/>
      <c r="E442" s="65"/>
      <c r="F442" s="65"/>
      <c r="H442" s="40"/>
      <c r="I442" s="41"/>
      <c r="J442" s="41"/>
      <c r="K442" s="41"/>
      <c r="L442" s="41"/>
      <c r="M442" s="42"/>
      <c r="N442" s="42"/>
      <c r="O442" s="38"/>
      <c r="P442" s="38"/>
      <c r="Q442" s="38"/>
    </row>
    <row r="443" spans="3:17" s="39" customFormat="1" ht="15" x14ac:dyDescent="0.25">
      <c r="C443" s="37"/>
      <c r="D443" s="65"/>
      <c r="E443" s="65"/>
      <c r="F443" s="65"/>
      <c r="H443" s="40"/>
      <c r="I443" s="41"/>
      <c r="J443" s="41"/>
      <c r="K443" s="41"/>
      <c r="L443" s="41"/>
      <c r="M443" s="42"/>
      <c r="N443" s="42"/>
      <c r="O443" s="38"/>
      <c r="P443" s="38"/>
      <c r="Q443" s="38"/>
    </row>
    <row r="444" spans="3:17" s="39" customFormat="1" ht="15" x14ac:dyDescent="0.25">
      <c r="C444" s="37"/>
      <c r="D444" s="65"/>
      <c r="E444" s="65"/>
      <c r="F444" s="65"/>
      <c r="H444" s="40"/>
      <c r="I444" s="41"/>
      <c r="J444" s="41"/>
      <c r="K444" s="41"/>
      <c r="L444" s="41"/>
      <c r="M444" s="42"/>
      <c r="N444" s="42"/>
      <c r="O444" s="38"/>
      <c r="P444" s="38"/>
      <c r="Q444" s="38"/>
    </row>
    <row r="445" spans="3:17" s="39" customFormat="1" ht="15" x14ac:dyDescent="0.25">
      <c r="C445" s="37"/>
      <c r="D445" s="65"/>
      <c r="E445" s="65"/>
      <c r="F445" s="65"/>
      <c r="H445" s="40"/>
      <c r="I445" s="41"/>
      <c r="J445" s="41"/>
      <c r="K445" s="41"/>
      <c r="L445" s="41"/>
      <c r="M445" s="42"/>
      <c r="N445" s="42"/>
      <c r="O445" s="38"/>
      <c r="P445" s="38"/>
      <c r="Q445" s="38"/>
    </row>
    <row r="446" spans="3:17" s="39" customFormat="1" ht="15" x14ac:dyDescent="0.25">
      <c r="C446" s="37"/>
      <c r="D446" s="65"/>
      <c r="E446" s="65"/>
      <c r="F446" s="65"/>
      <c r="H446" s="40"/>
      <c r="I446" s="41"/>
      <c r="J446" s="41"/>
      <c r="K446" s="41"/>
      <c r="L446" s="41"/>
      <c r="M446" s="42"/>
      <c r="N446" s="42"/>
      <c r="O446" s="38"/>
      <c r="P446" s="38"/>
      <c r="Q446" s="38"/>
    </row>
    <row r="447" spans="3:17" s="39" customFormat="1" ht="15" x14ac:dyDescent="0.25">
      <c r="C447" s="37"/>
      <c r="D447" s="65"/>
      <c r="E447" s="65"/>
      <c r="F447" s="65"/>
      <c r="H447" s="40"/>
      <c r="I447" s="41"/>
      <c r="J447" s="41"/>
      <c r="K447" s="41"/>
      <c r="L447" s="41"/>
      <c r="M447" s="42"/>
      <c r="N447" s="42"/>
      <c r="O447" s="38"/>
      <c r="P447" s="38"/>
      <c r="Q447" s="38"/>
    </row>
    <row r="448" spans="3:17" s="39" customFormat="1" ht="15" x14ac:dyDescent="0.25">
      <c r="C448" s="37"/>
      <c r="D448" s="65"/>
      <c r="E448" s="65"/>
      <c r="F448" s="65"/>
      <c r="H448" s="40"/>
      <c r="I448" s="41"/>
      <c r="J448" s="41"/>
      <c r="K448" s="41"/>
      <c r="L448" s="41"/>
      <c r="M448" s="42"/>
      <c r="N448" s="42"/>
      <c r="O448" s="38"/>
      <c r="P448" s="38"/>
      <c r="Q448" s="38"/>
    </row>
    <row r="449" spans="3:17" s="39" customFormat="1" ht="15" x14ac:dyDescent="0.25">
      <c r="C449" s="37"/>
      <c r="D449" s="65"/>
      <c r="E449" s="65"/>
      <c r="F449" s="65"/>
      <c r="H449" s="40"/>
      <c r="I449" s="41"/>
      <c r="J449" s="41"/>
      <c r="K449" s="41"/>
      <c r="L449" s="41"/>
      <c r="M449" s="42"/>
      <c r="N449" s="42"/>
      <c r="O449" s="38"/>
      <c r="P449" s="38"/>
      <c r="Q449" s="38"/>
    </row>
    <row r="450" spans="3:17" s="39" customFormat="1" ht="15" x14ac:dyDescent="0.25">
      <c r="C450" s="37"/>
      <c r="D450" s="65"/>
      <c r="E450" s="65"/>
      <c r="F450" s="65"/>
      <c r="H450" s="40"/>
      <c r="I450" s="41"/>
      <c r="J450" s="41"/>
      <c r="K450" s="41"/>
      <c r="L450" s="41"/>
      <c r="M450" s="42"/>
      <c r="N450" s="42"/>
      <c r="O450" s="38"/>
      <c r="P450" s="38"/>
      <c r="Q450" s="38"/>
    </row>
    <row r="451" spans="3:17" s="39" customFormat="1" ht="15" x14ac:dyDescent="0.25">
      <c r="C451" s="37"/>
      <c r="D451" s="65"/>
      <c r="E451" s="65"/>
      <c r="F451" s="65"/>
      <c r="H451" s="40"/>
      <c r="I451" s="41"/>
      <c r="J451" s="41"/>
      <c r="K451" s="41"/>
      <c r="L451" s="41"/>
      <c r="M451" s="42"/>
      <c r="N451" s="42"/>
      <c r="O451" s="38"/>
      <c r="P451" s="38"/>
      <c r="Q451" s="38"/>
    </row>
    <row r="452" spans="3:17" s="39" customFormat="1" ht="15" x14ac:dyDescent="0.25">
      <c r="C452" s="37"/>
      <c r="D452" s="65"/>
      <c r="E452" s="65"/>
      <c r="F452" s="65"/>
      <c r="H452" s="40"/>
      <c r="I452" s="41"/>
      <c r="J452" s="41"/>
      <c r="K452" s="41"/>
      <c r="L452" s="41"/>
      <c r="M452" s="42"/>
      <c r="N452" s="42"/>
      <c r="O452" s="38"/>
      <c r="P452" s="38"/>
      <c r="Q452" s="38"/>
    </row>
    <row r="453" spans="3:17" s="39" customFormat="1" ht="15" x14ac:dyDescent="0.25">
      <c r="C453" s="37"/>
      <c r="D453" s="65"/>
      <c r="E453" s="65"/>
      <c r="F453" s="65"/>
      <c r="H453" s="40"/>
      <c r="I453" s="41"/>
      <c r="J453" s="41"/>
      <c r="K453" s="41"/>
      <c r="L453" s="41"/>
      <c r="M453" s="42"/>
      <c r="N453" s="42"/>
      <c r="O453" s="38"/>
      <c r="P453" s="38"/>
      <c r="Q453" s="38"/>
    </row>
    <row r="454" spans="3:17" s="39" customFormat="1" ht="15" x14ac:dyDescent="0.25">
      <c r="C454" s="37"/>
      <c r="D454" s="65"/>
      <c r="E454" s="65"/>
      <c r="F454" s="65"/>
      <c r="H454" s="40"/>
      <c r="I454" s="41"/>
      <c r="J454" s="41"/>
      <c r="K454" s="41"/>
      <c r="L454" s="41"/>
      <c r="M454" s="42"/>
      <c r="N454" s="42"/>
      <c r="O454" s="38"/>
      <c r="P454" s="38"/>
      <c r="Q454" s="38"/>
    </row>
    <row r="455" spans="3:17" s="39" customFormat="1" ht="15" x14ac:dyDescent="0.25">
      <c r="C455" s="37"/>
      <c r="D455" s="65"/>
      <c r="E455" s="65"/>
      <c r="F455" s="65"/>
      <c r="H455" s="40"/>
      <c r="I455" s="41"/>
      <c r="J455" s="41"/>
      <c r="K455" s="41"/>
      <c r="L455" s="41"/>
      <c r="M455" s="42"/>
      <c r="N455" s="42"/>
      <c r="O455" s="38"/>
      <c r="P455" s="38"/>
      <c r="Q455" s="38"/>
    </row>
    <row r="456" spans="3:17" s="39" customFormat="1" ht="15" x14ac:dyDescent="0.25">
      <c r="C456" s="37"/>
      <c r="D456" s="65"/>
      <c r="E456" s="65"/>
      <c r="F456" s="65"/>
      <c r="H456" s="40"/>
      <c r="I456" s="41"/>
      <c r="J456" s="41"/>
      <c r="K456" s="41"/>
      <c r="L456" s="41"/>
      <c r="M456" s="42"/>
      <c r="N456" s="42"/>
      <c r="O456" s="38"/>
      <c r="P456" s="38"/>
      <c r="Q456" s="38"/>
    </row>
    <row r="457" spans="3:17" s="39" customFormat="1" ht="15" x14ac:dyDescent="0.25">
      <c r="C457" s="37"/>
      <c r="D457" s="65"/>
      <c r="E457" s="65"/>
      <c r="F457" s="65"/>
      <c r="H457" s="40"/>
      <c r="I457" s="41"/>
      <c r="J457" s="41"/>
      <c r="K457" s="41"/>
      <c r="L457" s="41"/>
      <c r="M457" s="42"/>
      <c r="N457" s="42"/>
      <c r="O457" s="38"/>
      <c r="P457" s="38"/>
      <c r="Q457" s="38"/>
    </row>
    <row r="458" spans="3:17" s="39" customFormat="1" ht="15" x14ac:dyDescent="0.25">
      <c r="C458" s="37"/>
      <c r="D458" s="65"/>
      <c r="E458" s="65"/>
      <c r="F458" s="65"/>
      <c r="H458" s="40"/>
      <c r="I458" s="41"/>
      <c r="J458" s="41"/>
      <c r="K458" s="41"/>
      <c r="L458" s="41"/>
      <c r="M458" s="42"/>
      <c r="N458" s="42"/>
      <c r="O458" s="38"/>
      <c r="P458" s="38"/>
      <c r="Q458" s="38"/>
    </row>
    <row r="459" spans="3:17" s="39" customFormat="1" ht="15" x14ac:dyDescent="0.25">
      <c r="C459" s="37"/>
      <c r="D459" s="65"/>
      <c r="E459" s="65"/>
      <c r="F459" s="65"/>
      <c r="H459" s="40"/>
      <c r="I459" s="41"/>
      <c r="J459" s="41"/>
      <c r="K459" s="41"/>
      <c r="L459" s="41"/>
      <c r="M459" s="42"/>
      <c r="N459" s="42"/>
      <c r="O459" s="38"/>
      <c r="P459" s="38"/>
      <c r="Q459" s="38"/>
    </row>
    <row r="460" spans="3:17" s="39" customFormat="1" ht="15" x14ac:dyDescent="0.25">
      <c r="C460" s="37"/>
      <c r="D460" s="65"/>
      <c r="E460" s="65"/>
      <c r="F460" s="65"/>
      <c r="H460" s="40"/>
      <c r="I460" s="41"/>
      <c r="J460" s="41"/>
      <c r="K460" s="41"/>
      <c r="L460" s="41"/>
      <c r="M460" s="42"/>
      <c r="N460" s="42"/>
      <c r="O460" s="38"/>
      <c r="P460" s="38"/>
      <c r="Q460" s="38"/>
    </row>
    <row r="461" spans="3:17" s="39" customFormat="1" ht="15" x14ac:dyDescent="0.25">
      <c r="C461" s="37"/>
      <c r="D461" s="65"/>
      <c r="E461" s="65"/>
      <c r="F461" s="65"/>
      <c r="H461" s="40"/>
      <c r="I461" s="41"/>
      <c r="J461" s="41"/>
      <c r="K461" s="41"/>
      <c r="L461" s="41"/>
      <c r="M461" s="42"/>
      <c r="N461" s="42"/>
      <c r="O461" s="38"/>
      <c r="P461" s="38"/>
      <c r="Q461" s="38"/>
    </row>
    <row r="462" spans="3:17" s="39" customFormat="1" ht="15" x14ac:dyDescent="0.25">
      <c r="C462" s="37"/>
      <c r="D462" s="65"/>
      <c r="E462" s="65"/>
      <c r="F462" s="65"/>
      <c r="H462" s="40"/>
      <c r="I462" s="41"/>
      <c r="J462" s="41"/>
      <c r="K462" s="41"/>
      <c r="L462" s="41"/>
      <c r="M462" s="42"/>
      <c r="N462" s="42"/>
      <c r="O462" s="38"/>
      <c r="P462" s="38"/>
      <c r="Q462" s="38"/>
    </row>
    <row r="463" spans="3:17" s="39" customFormat="1" ht="15" x14ac:dyDescent="0.25">
      <c r="C463" s="37"/>
      <c r="D463" s="65"/>
      <c r="E463" s="65"/>
      <c r="F463" s="65"/>
      <c r="H463" s="40"/>
      <c r="I463" s="41"/>
      <c r="J463" s="41"/>
      <c r="K463" s="41"/>
      <c r="L463" s="41"/>
      <c r="M463" s="42"/>
      <c r="N463" s="42"/>
      <c r="O463" s="38"/>
      <c r="P463" s="38"/>
      <c r="Q463" s="38"/>
    </row>
    <row r="464" spans="3:17" s="39" customFormat="1" ht="15" x14ac:dyDescent="0.25">
      <c r="C464" s="37"/>
      <c r="D464" s="65"/>
      <c r="E464" s="65"/>
      <c r="F464" s="65"/>
      <c r="H464" s="40"/>
      <c r="I464" s="41"/>
      <c r="J464" s="41"/>
      <c r="K464" s="41"/>
      <c r="L464" s="41"/>
      <c r="M464" s="42"/>
      <c r="N464" s="42"/>
      <c r="O464" s="38"/>
      <c r="P464" s="38"/>
      <c r="Q464" s="38"/>
    </row>
    <row r="465" spans="3:17" s="39" customFormat="1" ht="15" x14ac:dyDescent="0.25">
      <c r="C465" s="37"/>
      <c r="D465" s="65"/>
      <c r="E465" s="65"/>
      <c r="F465" s="65"/>
      <c r="H465" s="40"/>
      <c r="I465" s="41"/>
      <c r="J465" s="41"/>
      <c r="K465" s="41"/>
      <c r="L465" s="41"/>
      <c r="M465" s="42"/>
      <c r="N465" s="42"/>
      <c r="O465" s="38"/>
      <c r="P465" s="38"/>
      <c r="Q465" s="38"/>
    </row>
    <row r="466" spans="3:17" s="39" customFormat="1" ht="15" x14ac:dyDescent="0.25">
      <c r="C466" s="37"/>
      <c r="D466" s="65"/>
      <c r="E466" s="65"/>
      <c r="F466" s="65"/>
      <c r="H466" s="40"/>
      <c r="I466" s="41"/>
      <c r="J466" s="41"/>
      <c r="K466" s="41"/>
      <c r="L466" s="41"/>
      <c r="M466" s="42"/>
      <c r="N466" s="42"/>
      <c r="O466" s="38"/>
      <c r="P466" s="38"/>
      <c r="Q466" s="38"/>
    </row>
    <row r="467" spans="3:17" s="39" customFormat="1" ht="15" x14ac:dyDescent="0.25">
      <c r="C467" s="37"/>
      <c r="D467" s="65"/>
      <c r="E467" s="65"/>
      <c r="F467" s="65"/>
      <c r="H467" s="40"/>
      <c r="I467" s="41"/>
      <c r="J467" s="41"/>
      <c r="K467" s="41"/>
      <c r="L467" s="41"/>
      <c r="M467" s="42"/>
      <c r="N467" s="42"/>
      <c r="O467" s="38"/>
      <c r="P467" s="38"/>
      <c r="Q467" s="38"/>
    </row>
    <row r="468" spans="3:17" s="39" customFormat="1" ht="15" x14ac:dyDescent="0.25">
      <c r="C468" s="37"/>
      <c r="D468" s="65"/>
      <c r="E468" s="65"/>
      <c r="F468" s="65"/>
      <c r="H468" s="40"/>
      <c r="I468" s="41"/>
      <c r="J468" s="41"/>
      <c r="K468" s="41"/>
      <c r="L468" s="41"/>
      <c r="M468" s="42"/>
      <c r="N468" s="42"/>
      <c r="O468" s="38"/>
      <c r="P468" s="38"/>
      <c r="Q468" s="38"/>
    </row>
    <row r="469" spans="3:17" s="39" customFormat="1" ht="15" x14ac:dyDescent="0.25">
      <c r="C469" s="37"/>
      <c r="D469" s="65"/>
      <c r="E469" s="65"/>
      <c r="F469" s="65"/>
      <c r="H469" s="40"/>
      <c r="I469" s="41"/>
      <c r="J469" s="41"/>
      <c r="K469" s="41"/>
      <c r="L469" s="41"/>
      <c r="M469" s="42"/>
      <c r="N469" s="42"/>
      <c r="O469" s="38"/>
      <c r="P469" s="38"/>
      <c r="Q469" s="38"/>
    </row>
    <row r="470" spans="3:17" s="39" customFormat="1" ht="15" x14ac:dyDescent="0.25">
      <c r="C470" s="37"/>
      <c r="D470" s="65"/>
      <c r="E470" s="65"/>
      <c r="F470" s="65"/>
      <c r="H470" s="40"/>
      <c r="I470" s="41"/>
      <c r="J470" s="41"/>
      <c r="K470" s="41"/>
      <c r="L470" s="41"/>
      <c r="M470" s="42"/>
      <c r="N470" s="42"/>
      <c r="O470" s="38"/>
      <c r="P470" s="38"/>
      <c r="Q470" s="38"/>
    </row>
    <row r="471" spans="3:17" s="39" customFormat="1" ht="15" x14ac:dyDescent="0.25">
      <c r="C471" s="37"/>
      <c r="D471" s="65"/>
      <c r="E471" s="65"/>
      <c r="F471" s="65"/>
      <c r="H471" s="40"/>
      <c r="I471" s="41"/>
      <c r="J471" s="41"/>
      <c r="K471" s="41"/>
      <c r="L471" s="41"/>
      <c r="M471" s="42"/>
      <c r="N471" s="42"/>
      <c r="O471" s="38"/>
      <c r="P471" s="38"/>
      <c r="Q471" s="38"/>
    </row>
    <row r="472" spans="3:17" s="39" customFormat="1" ht="15" x14ac:dyDescent="0.25">
      <c r="C472" s="37"/>
      <c r="D472" s="65"/>
      <c r="E472" s="65"/>
      <c r="F472" s="65"/>
      <c r="H472" s="40"/>
      <c r="I472" s="41"/>
      <c r="J472" s="41"/>
      <c r="K472" s="41"/>
      <c r="L472" s="41"/>
      <c r="M472" s="42"/>
      <c r="N472" s="42"/>
      <c r="O472" s="38"/>
      <c r="P472" s="38"/>
      <c r="Q472" s="38"/>
    </row>
    <row r="473" spans="3:17" s="39" customFormat="1" ht="15" x14ac:dyDescent="0.25">
      <c r="C473" s="37"/>
      <c r="D473" s="65"/>
      <c r="E473" s="65"/>
      <c r="F473" s="65"/>
      <c r="H473" s="40"/>
      <c r="I473" s="41"/>
      <c r="J473" s="41"/>
      <c r="K473" s="41"/>
      <c r="L473" s="41"/>
      <c r="M473" s="42"/>
      <c r="N473" s="42"/>
      <c r="O473" s="38"/>
      <c r="P473" s="38"/>
      <c r="Q473" s="38"/>
    </row>
    <row r="474" spans="3:17" s="39" customFormat="1" ht="15" x14ac:dyDescent="0.25">
      <c r="C474" s="37"/>
      <c r="D474" s="65"/>
      <c r="E474" s="65"/>
      <c r="F474" s="65"/>
      <c r="H474" s="40"/>
      <c r="I474" s="41"/>
      <c r="J474" s="41"/>
      <c r="K474" s="41"/>
      <c r="L474" s="41"/>
      <c r="M474" s="42"/>
      <c r="N474" s="42"/>
      <c r="O474" s="38"/>
      <c r="P474" s="38"/>
      <c r="Q474" s="38"/>
    </row>
    <row r="475" spans="3:17" s="39" customFormat="1" ht="15" x14ac:dyDescent="0.25">
      <c r="C475" s="37"/>
      <c r="D475" s="65"/>
      <c r="E475" s="65"/>
      <c r="F475" s="65"/>
      <c r="H475" s="40"/>
      <c r="I475" s="41"/>
      <c r="J475" s="41"/>
      <c r="K475" s="41"/>
      <c r="L475" s="41"/>
      <c r="M475" s="42"/>
      <c r="N475" s="42"/>
      <c r="O475" s="38"/>
      <c r="P475" s="38"/>
      <c r="Q475" s="38"/>
    </row>
    <row r="476" spans="3:17" s="39" customFormat="1" ht="15" x14ac:dyDescent="0.25">
      <c r="C476" s="37"/>
      <c r="D476" s="65"/>
      <c r="E476" s="65"/>
      <c r="F476" s="65"/>
      <c r="H476" s="40"/>
      <c r="I476" s="41"/>
      <c r="J476" s="41"/>
      <c r="K476" s="41"/>
      <c r="L476" s="41"/>
      <c r="M476" s="42"/>
      <c r="N476" s="42"/>
      <c r="O476" s="38"/>
      <c r="P476" s="38"/>
      <c r="Q476" s="38"/>
    </row>
    <row r="477" spans="3:17" s="39" customFormat="1" ht="15" x14ac:dyDescent="0.25">
      <c r="C477" s="37"/>
      <c r="D477" s="65"/>
      <c r="E477" s="65"/>
      <c r="F477" s="65"/>
      <c r="H477" s="40"/>
      <c r="I477" s="41"/>
      <c r="J477" s="41"/>
      <c r="K477" s="41"/>
      <c r="L477" s="41"/>
      <c r="M477" s="42"/>
      <c r="N477" s="42"/>
      <c r="O477" s="38"/>
      <c r="P477" s="38"/>
      <c r="Q477" s="38"/>
    </row>
    <row r="478" spans="3:17" s="39" customFormat="1" ht="15" x14ac:dyDescent="0.25">
      <c r="C478" s="37"/>
      <c r="D478" s="65"/>
      <c r="E478" s="65"/>
      <c r="F478" s="65"/>
      <c r="H478" s="40"/>
      <c r="I478" s="41"/>
      <c r="J478" s="41"/>
      <c r="K478" s="41"/>
      <c r="L478" s="41"/>
      <c r="M478" s="42"/>
      <c r="N478" s="42"/>
      <c r="O478" s="38"/>
      <c r="P478" s="38"/>
      <c r="Q478" s="38"/>
    </row>
    <row r="479" spans="3:17" s="39" customFormat="1" ht="15" x14ac:dyDescent="0.25">
      <c r="C479" s="37"/>
      <c r="D479" s="65"/>
      <c r="E479" s="65"/>
      <c r="F479" s="65"/>
      <c r="H479" s="40"/>
      <c r="I479" s="41"/>
      <c r="J479" s="41"/>
      <c r="K479" s="41"/>
      <c r="L479" s="41"/>
      <c r="M479" s="42"/>
      <c r="N479" s="42"/>
      <c r="O479" s="38"/>
      <c r="P479" s="38"/>
      <c r="Q479" s="38"/>
    </row>
    <row r="480" spans="3:17" s="39" customFormat="1" ht="15" x14ac:dyDescent="0.25">
      <c r="C480" s="37"/>
      <c r="D480" s="65"/>
      <c r="E480" s="65"/>
      <c r="F480" s="65"/>
      <c r="H480" s="40"/>
      <c r="I480" s="41"/>
      <c r="J480" s="41"/>
      <c r="K480" s="41"/>
      <c r="L480" s="41"/>
      <c r="M480" s="42"/>
      <c r="N480" s="42"/>
      <c r="O480" s="38"/>
      <c r="P480" s="38"/>
      <c r="Q480" s="38"/>
    </row>
    <row r="481" spans="3:17" s="39" customFormat="1" ht="15" x14ac:dyDescent="0.25">
      <c r="C481" s="37"/>
      <c r="D481" s="65"/>
      <c r="E481" s="65"/>
      <c r="F481" s="65"/>
      <c r="H481" s="40"/>
      <c r="I481" s="41"/>
      <c r="J481" s="41"/>
      <c r="K481" s="41"/>
      <c r="L481" s="41"/>
      <c r="M481" s="42"/>
      <c r="N481" s="42"/>
      <c r="O481" s="38"/>
      <c r="P481" s="38"/>
      <c r="Q481" s="38"/>
    </row>
    <row r="482" spans="3:17" s="39" customFormat="1" ht="15" x14ac:dyDescent="0.25">
      <c r="C482" s="37"/>
      <c r="D482" s="65"/>
      <c r="E482" s="65"/>
      <c r="F482" s="65"/>
      <c r="H482" s="40"/>
      <c r="I482" s="41"/>
      <c r="J482" s="41"/>
      <c r="K482" s="41"/>
      <c r="L482" s="41"/>
      <c r="M482" s="42"/>
      <c r="N482" s="42"/>
      <c r="O482" s="38"/>
      <c r="P482" s="38"/>
      <c r="Q482" s="38"/>
    </row>
    <row r="483" spans="3:17" s="39" customFormat="1" ht="15" x14ac:dyDescent="0.25">
      <c r="C483" s="37"/>
      <c r="D483" s="65"/>
      <c r="E483" s="65"/>
      <c r="F483" s="65"/>
      <c r="H483" s="40"/>
      <c r="I483" s="41"/>
      <c r="J483" s="41"/>
      <c r="K483" s="41"/>
      <c r="L483" s="41"/>
      <c r="M483" s="42"/>
      <c r="N483" s="42"/>
      <c r="O483" s="38"/>
      <c r="P483" s="38"/>
      <c r="Q483" s="38"/>
    </row>
    <row r="484" spans="3:17" s="39" customFormat="1" ht="15" x14ac:dyDescent="0.25">
      <c r="C484" s="37"/>
      <c r="D484" s="65"/>
      <c r="E484" s="65"/>
      <c r="F484" s="65"/>
      <c r="H484" s="40"/>
      <c r="I484" s="41"/>
      <c r="J484" s="41"/>
      <c r="K484" s="41"/>
      <c r="L484" s="41"/>
      <c r="M484" s="42"/>
      <c r="N484" s="42"/>
      <c r="O484" s="38"/>
      <c r="P484" s="38"/>
      <c r="Q484" s="38"/>
    </row>
    <row r="485" spans="3:17" s="39" customFormat="1" ht="15" x14ac:dyDescent="0.25">
      <c r="C485" s="37"/>
      <c r="D485" s="65"/>
      <c r="E485" s="65"/>
      <c r="F485" s="65"/>
      <c r="H485" s="40"/>
      <c r="I485" s="41"/>
      <c r="J485" s="41"/>
      <c r="K485" s="41"/>
      <c r="L485" s="41"/>
      <c r="M485" s="42"/>
      <c r="N485" s="42"/>
      <c r="O485" s="38"/>
      <c r="P485" s="38"/>
      <c r="Q485" s="38"/>
    </row>
    <row r="486" spans="3:17" s="39" customFormat="1" ht="15" x14ac:dyDescent="0.25">
      <c r="C486" s="37"/>
      <c r="D486" s="65"/>
      <c r="E486" s="65"/>
      <c r="F486" s="65"/>
      <c r="H486" s="40"/>
      <c r="I486" s="41"/>
      <c r="J486" s="41"/>
      <c r="K486" s="41"/>
      <c r="L486" s="41"/>
      <c r="M486" s="42"/>
      <c r="N486" s="42"/>
      <c r="O486" s="38"/>
      <c r="P486" s="38"/>
      <c r="Q486" s="38"/>
    </row>
    <row r="487" spans="3:17" s="39" customFormat="1" ht="15" x14ac:dyDescent="0.25">
      <c r="C487" s="37"/>
      <c r="D487" s="65"/>
      <c r="E487" s="65"/>
      <c r="F487" s="65"/>
      <c r="H487" s="40"/>
      <c r="I487" s="41"/>
      <c r="J487" s="41"/>
      <c r="K487" s="41"/>
      <c r="L487" s="41"/>
      <c r="M487" s="42"/>
      <c r="N487" s="42"/>
      <c r="O487" s="38"/>
      <c r="P487" s="38"/>
      <c r="Q487" s="38"/>
    </row>
    <row r="488" spans="3:17" s="39" customFormat="1" ht="15" x14ac:dyDescent="0.25">
      <c r="C488" s="37"/>
      <c r="D488" s="65"/>
      <c r="E488" s="65"/>
      <c r="F488" s="65"/>
      <c r="H488" s="40"/>
      <c r="I488" s="41"/>
      <c r="J488" s="41"/>
      <c r="K488" s="41"/>
      <c r="L488" s="41"/>
      <c r="M488" s="42"/>
      <c r="N488" s="42"/>
      <c r="O488" s="38"/>
      <c r="P488" s="38"/>
      <c r="Q488" s="38"/>
    </row>
    <row r="489" spans="3:17" s="39" customFormat="1" ht="15" x14ac:dyDescent="0.25">
      <c r="C489" s="37"/>
      <c r="D489" s="65"/>
      <c r="E489" s="65"/>
      <c r="F489" s="65"/>
      <c r="H489" s="40"/>
      <c r="I489" s="41"/>
      <c r="J489" s="41"/>
      <c r="K489" s="41"/>
      <c r="L489" s="41"/>
      <c r="M489" s="42"/>
      <c r="N489" s="42"/>
      <c r="O489" s="38"/>
      <c r="P489" s="38"/>
      <c r="Q489" s="38"/>
    </row>
    <row r="490" spans="3:17" s="39" customFormat="1" ht="15" x14ac:dyDescent="0.25">
      <c r="C490" s="37"/>
      <c r="D490" s="65"/>
      <c r="E490" s="65"/>
      <c r="F490" s="65"/>
      <c r="H490" s="40"/>
      <c r="I490" s="41"/>
      <c r="J490" s="41"/>
      <c r="K490" s="41"/>
      <c r="L490" s="41"/>
      <c r="M490" s="42"/>
      <c r="N490" s="42"/>
      <c r="O490" s="38"/>
      <c r="P490" s="38"/>
      <c r="Q490" s="38"/>
    </row>
    <row r="491" spans="3:17" s="39" customFormat="1" ht="15" x14ac:dyDescent="0.25">
      <c r="C491" s="37"/>
      <c r="D491" s="65"/>
      <c r="E491" s="65"/>
      <c r="F491" s="65"/>
      <c r="H491" s="40"/>
      <c r="I491" s="41"/>
      <c r="J491" s="41"/>
      <c r="K491" s="41"/>
      <c r="L491" s="41"/>
      <c r="M491" s="42"/>
      <c r="N491" s="42"/>
      <c r="O491" s="38"/>
      <c r="P491" s="38"/>
      <c r="Q491" s="38"/>
    </row>
    <row r="492" spans="3:17" s="39" customFormat="1" ht="15" x14ac:dyDescent="0.25">
      <c r="C492" s="37"/>
      <c r="D492" s="65"/>
      <c r="E492" s="65"/>
      <c r="F492" s="65"/>
      <c r="H492" s="40"/>
      <c r="I492" s="41"/>
      <c r="J492" s="41"/>
      <c r="K492" s="41"/>
      <c r="L492" s="41"/>
      <c r="M492" s="42"/>
      <c r="N492" s="42"/>
      <c r="O492" s="38"/>
      <c r="P492" s="38"/>
      <c r="Q492" s="38"/>
    </row>
    <row r="493" spans="3:17" s="39" customFormat="1" ht="15" x14ac:dyDescent="0.25">
      <c r="C493" s="37"/>
      <c r="D493" s="65"/>
      <c r="E493" s="65"/>
      <c r="F493" s="65"/>
      <c r="H493" s="40"/>
      <c r="I493" s="41"/>
      <c r="J493" s="41"/>
      <c r="K493" s="41"/>
      <c r="L493" s="41"/>
      <c r="M493" s="42"/>
      <c r="N493" s="42"/>
      <c r="O493" s="38"/>
      <c r="P493" s="38"/>
      <c r="Q493" s="38"/>
    </row>
    <row r="494" spans="3:17" s="39" customFormat="1" ht="15" x14ac:dyDescent="0.25">
      <c r="C494" s="37"/>
      <c r="D494" s="65"/>
      <c r="E494" s="65"/>
      <c r="F494" s="65"/>
      <c r="H494" s="40"/>
      <c r="I494" s="41"/>
      <c r="J494" s="41"/>
      <c r="K494" s="41"/>
      <c r="L494" s="41"/>
      <c r="M494" s="42"/>
      <c r="N494" s="42"/>
      <c r="O494" s="38"/>
      <c r="P494" s="38"/>
      <c r="Q494" s="38"/>
    </row>
    <row r="495" spans="3:17" s="39" customFormat="1" ht="15" x14ac:dyDescent="0.25">
      <c r="C495" s="37"/>
      <c r="D495" s="65"/>
      <c r="E495" s="65"/>
      <c r="F495" s="65"/>
      <c r="H495" s="40"/>
      <c r="I495" s="41"/>
      <c r="J495" s="41"/>
      <c r="K495" s="41"/>
      <c r="L495" s="41"/>
      <c r="M495" s="42"/>
      <c r="N495" s="42"/>
      <c r="O495" s="38"/>
      <c r="P495" s="38"/>
      <c r="Q495" s="38"/>
    </row>
    <row r="496" spans="3:17" s="39" customFormat="1" ht="15" x14ac:dyDescent="0.25">
      <c r="C496" s="37"/>
      <c r="D496" s="65"/>
      <c r="E496" s="65"/>
      <c r="F496" s="65"/>
      <c r="H496" s="40"/>
      <c r="I496" s="41"/>
      <c r="J496" s="41"/>
      <c r="K496" s="41"/>
      <c r="L496" s="41"/>
      <c r="M496" s="42"/>
      <c r="N496" s="42"/>
      <c r="O496" s="38"/>
      <c r="P496" s="38"/>
      <c r="Q496" s="38"/>
    </row>
    <row r="497" spans="3:18" s="39" customFormat="1" ht="15" x14ac:dyDescent="0.25">
      <c r="C497" s="37"/>
      <c r="D497" s="65"/>
      <c r="E497" s="65"/>
      <c r="F497" s="65"/>
      <c r="H497" s="40"/>
      <c r="I497" s="41"/>
      <c r="J497" s="41"/>
      <c r="K497" s="41"/>
      <c r="L497" s="41"/>
      <c r="M497" s="42"/>
      <c r="N497" s="42"/>
      <c r="O497" s="38"/>
      <c r="P497" s="38"/>
      <c r="Q497" s="38"/>
    </row>
    <row r="498" spans="3:18" s="39" customFormat="1" ht="15" x14ac:dyDescent="0.25">
      <c r="C498" s="37"/>
      <c r="D498" s="65"/>
      <c r="E498" s="65"/>
      <c r="F498" s="65"/>
      <c r="H498" s="40"/>
      <c r="I498" s="41"/>
      <c r="J498" s="41"/>
      <c r="K498" s="41"/>
      <c r="L498" s="41"/>
      <c r="M498" s="42"/>
      <c r="N498" s="42"/>
      <c r="O498" s="38"/>
      <c r="P498" s="38"/>
      <c r="Q498" s="38"/>
    </row>
    <row r="499" spans="3:18" s="39" customFormat="1" ht="15" x14ac:dyDescent="0.25">
      <c r="C499" s="37"/>
      <c r="D499" s="65"/>
      <c r="E499" s="65"/>
      <c r="F499" s="65"/>
      <c r="H499" s="40"/>
      <c r="I499" s="41"/>
      <c r="J499" s="41"/>
      <c r="K499" s="41"/>
      <c r="L499" s="41"/>
      <c r="M499" s="42"/>
      <c r="N499" s="42"/>
      <c r="O499" s="38"/>
      <c r="P499" s="38"/>
      <c r="Q499" s="38"/>
    </row>
    <row r="500" spans="3:18" s="39" customFormat="1" ht="15" x14ac:dyDescent="0.25">
      <c r="C500" s="37"/>
      <c r="D500" s="65"/>
      <c r="E500" s="65"/>
      <c r="F500" s="65"/>
      <c r="H500" s="40"/>
      <c r="I500" s="41"/>
      <c r="J500" s="41"/>
      <c r="K500" s="41"/>
      <c r="L500" s="41"/>
      <c r="M500" s="42"/>
      <c r="N500" s="42"/>
      <c r="O500" s="38"/>
      <c r="P500" s="38"/>
      <c r="Q500" s="38"/>
    </row>
    <row r="501" spans="3:18" s="39" customFormat="1" ht="15" x14ac:dyDescent="0.25">
      <c r="C501" s="37"/>
      <c r="D501" s="65"/>
      <c r="E501" s="65"/>
      <c r="F501" s="65"/>
      <c r="H501" s="40"/>
      <c r="I501" s="41"/>
      <c r="J501" s="41"/>
      <c r="K501" s="41"/>
      <c r="L501" s="41"/>
      <c r="M501" s="42"/>
      <c r="N501" s="42"/>
      <c r="O501" s="38"/>
      <c r="P501" s="38"/>
      <c r="Q501" s="38"/>
    </row>
    <row r="502" spans="3:18" s="39" customFormat="1" ht="15" x14ac:dyDescent="0.25">
      <c r="C502" s="37"/>
      <c r="D502" s="65"/>
      <c r="E502" s="65"/>
      <c r="F502" s="65"/>
      <c r="H502" s="40"/>
      <c r="I502" s="41"/>
      <c r="J502" s="41"/>
      <c r="K502" s="41"/>
      <c r="L502" s="41"/>
      <c r="M502" s="42"/>
      <c r="N502" s="42"/>
      <c r="O502" s="38"/>
      <c r="P502" s="38"/>
      <c r="Q502" s="38"/>
    </row>
    <row r="503" spans="3:18" s="39" customFormat="1" ht="15" x14ac:dyDescent="0.25">
      <c r="C503" s="37"/>
      <c r="D503" s="65"/>
      <c r="E503" s="65"/>
      <c r="F503" s="65"/>
      <c r="H503" s="40"/>
      <c r="I503" s="41"/>
      <c r="J503" s="41"/>
      <c r="K503" s="41"/>
      <c r="L503" s="41"/>
      <c r="M503" s="42"/>
      <c r="N503" s="42"/>
      <c r="O503" s="38"/>
      <c r="P503" s="38"/>
      <c r="Q503" s="38"/>
    </row>
    <row r="504" spans="3:18" s="39" customFormat="1" ht="15" x14ac:dyDescent="0.25">
      <c r="C504" s="37"/>
      <c r="D504" s="65"/>
      <c r="E504" s="65"/>
      <c r="F504" s="65"/>
      <c r="H504" s="40"/>
      <c r="I504" s="41"/>
      <c r="J504" s="41"/>
      <c r="K504" s="41"/>
      <c r="L504" s="41"/>
      <c r="M504" s="42"/>
      <c r="N504" s="42"/>
      <c r="O504" s="38"/>
      <c r="P504" s="38"/>
      <c r="Q504" s="38"/>
    </row>
    <row r="505" spans="3:18" s="39" customFormat="1" ht="15" x14ac:dyDescent="0.25">
      <c r="C505" s="37"/>
      <c r="D505" s="65"/>
      <c r="E505" s="65"/>
      <c r="F505" s="65"/>
      <c r="H505" s="40"/>
      <c r="I505" s="41"/>
      <c r="J505" s="41"/>
      <c r="K505" s="41"/>
      <c r="L505" s="41"/>
      <c r="M505" s="42"/>
      <c r="N505" s="42"/>
      <c r="O505" s="38"/>
      <c r="P505" s="38"/>
      <c r="Q505" s="38"/>
    </row>
    <row r="506" spans="3:18" s="39" customFormat="1" ht="15" x14ac:dyDescent="0.25">
      <c r="C506" s="37"/>
      <c r="D506" s="65"/>
      <c r="E506" s="65"/>
      <c r="F506" s="65"/>
      <c r="H506" s="40"/>
      <c r="I506" s="41"/>
      <c r="J506" s="41"/>
      <c r="K506" s="41"/>
      <c r="L506" s="41"/>
      <c r="M506" s="42"/>
      <c r="N506" s="42"/>
      <c r="O506" s="38"/>
      <c r="P506" s="38"/>
      <c r="Q506" s="38"/>
    </row>
    <row r="507" spans="3:18" s="39" customFormat="1" ht="15" x14ac:dyDescent="0.25">
      <c r="C507" s="37"/>
      <c r="D507" s="65"/>
      <c r="E507" s="65"/>
      <c r="F507" s="65"/>
      <c r="H507" s="40"/>
      <c r="I507" s="41"/>
      <c r="J507" s="41"/>
      <c r="K507" s="41"/>
      <c r="L507" s="41"/>
      <c r="M507" s="42"/>
      <c r="N507" s="42"/>
      <c r="O507" s="38"/>
      <c r="P507" s="38"/>
      <c r="Q507" s="38"/>
    </row>
    <row r="508" spans="3:18" x14ac:dyDescent="0.25">
      <c r="R508" s="39"/>
    </row>
    <row r="509" spans="3:18" x14ac:dyDescent="0.25">
      <c r="R509" s="39"/>
    </row>
    <row r="510" spans="3:18" x14ac:dyDescent="0.25">
      <c r="R510" s="39"/>
    </row>
    <row r="511" spans="3:18" x14ac:dyDescent="0.25">
      <c r="R511" s="39"/>
    </row>
    <row r="512" spans="3:18" x14ac:dyDescent="0.25">
      <c r="R512" s="39"/>
    </row>
    <row r="513" spans="18:18" x14ac:dyDescent="0.25">
      <c r="R513" s="39"/>
    </row>
    <row r="514" spans="18:18" x14ac:dyDescent="0.25">
      <c r="R514" s="39"/>
    </row>
    <row r="515" spans="18:18" x14ac:dyDescent="0.25">
      <c r="R515" s="39"/>
    </row>
    <row r="516" spans="18:18" x14ac:dyDescent="0.25">
      <c r="R516" s="39"/>
    </row>
    <row r="517" spans="18:18" x14ac:dyDescent="0.25">
      <c r="R517" s="39"/>
    </row>
    <row r="518" spans="18:18" x14ac:dyDescent="0.25">
      <c r="R518" s="39"/>
    </row>
    <row r="519" spans="18:18" x14ac:dyDescent="0.25">
      <c r="R519" s="39"/>
    </row>
    <row r="520" spans="18:18" x14ac:dyDescent="0.25">
      <c r="R520" s="39"/>
    </row>
    <row r="521" spans="18:18" x14ac:dyDescent="0.25">
      <c r="R521" s="39"/>
    </row>
    <row r="522" spans="18:18" x14ac:dyDescent="0.25">
      <c r="R522" s="39"/>
    </row>
    <row r="523" spans="18:18" x14ac:dyDescent="0.25">
      <c r="R523" s="39"/>
    </row>
    <row r="524" spans="18:18" x14ac:dyDescent="0.25">
      <c r="R524" s="39"/>
    </row>
    <row r="525" spans="18:18" x14ac:dyDescent="0.25">
      <c r="R525" s="39"/>
    </row>
    <row r="526" spans="18:18" x14ac:dyDescent="0.25">
      <c r="R526" s="39"/>
    </row>
    <row r="527" spans="18:18" x14ac:dyDescent="0.25">
      <c r="R527" s="39"/>
    </row>
  </sheetData>
  <pageMargins left="0.7" right="0.7" top="0.75" bottom="0.75" header="0.3" footer="0.3"/>
  <pageSetup paperSize="9" scale="1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C2:AY527"/>
  <sheetViews>
    <sheetView showGridLines="0" showRowColHeaders="0" view="pageBreakPreview" zoomScale="80" zoomScaleNormal="91" zoomScaleSheetLayoutView="80" workbookViewId="0">
      <selection activeCell="D6" sqref="D6"/>
    </sheetView>
  </sheetViews>
  <sheetFormatPr baseColWidth="10" defaultColWidth="10.5" defaultRowHeight="14.25" outlineLevelCol="1" x14ac:dyDescent="0.25"/>
  <cols>
    <col min="1" max="2" width="2.625" style="38" customWidth="1"/>
    <col min="3" max="3" width="5.75" style="38" customWidth="1"/>
    <col min="4" max="4" width="15.75" style="38" customWidth="1"/>
    <col min="5" max="5" width="11.25" style="38" customWidth="1"/>
    <col min="6" max="6" width="9.25" style="38" customWidth="1"/>
    <col min="7" max="7" width="13.5" style="39" customWidth="1"/>
    <col min="8" max="8" width="14.25" style="40" customWidth="1"/>
    <col min="9" max="9" width="11.5" style="41" customWidth="1"/>
    <col min="10" max="10" width="14" style="41" customWidth="1"/>
    <col min="11" max="11" width="10.75" style="41" customWidth="1"/>
    <col min="12" max="12" width="10.125" style="41" bestFit="1" customWidth="1"/>
    <col min="13" max="13" width="11" style="42" customWidth="1"/>
    <col min="14" max="14" width="10.125" style="42" customWidth="1" outlineLevel="1"/>
    <col min="15" max="15" width="10.125" style="38" customWidth="1" outlineLevel="1"/>
    <col min="16" max="16" width="11.75" style="38" customWidth="1" outlineLevel="1"/>
    <col min="17" max="17" width="9.25" style="38" customWidth="1" outlineLevel="1"/>
    <col min="18" max="18" width="12.75" style="38" customWidth="1" outlineLevel="1"/>
    <col min="19" max="19" width="8.25" style="38" customWidth="1" outlineLevel="1"/>
    <col min="20" max="21" width="10.5" style="38" customWidth="1" outlineLevel="1"/>
    <col min="22" max="22" width="1.625" style="38" customWidth="1"/>
    <col min="23" max="23" width="10.5" style="38"/>
    <col min="24" max="31" width="10.5" style="38" customWidth="1" outlineLevel="1"/>
    <col min="32" max="32" width="1.625" style="38" customWidth="1"/>
    <col min="33" max="33" width="10.5" style="38"/>
    <col min="34" max="41" width="10.5" style="38" customWidth="1" outlineLevel="1"/>
    <col min="42" max="42" width="1.625" style="38" customWidth="1"/>
    <col min="43" max="43" width="10.5" style="38"/>
    <col min="44" max="51" width="10.5" style="38" customWidth="1" outlineLevel="1"/>
    <col min="52" max="52" width="3" style="38" customWidth="1"/>
    <col min="53" max="16384" width="10.5" style="38"/>
  </cols>
  <sheetData>
    <row r="2" spans="3:51" ht="18.75" x14ac:dyDescent="0.25">
      <c r="D2" s="384" t="s">
        <v>103</v>
      </c>
      <c r="G2" s="88"/>
      <c r="H2" s="67"/>
    </row>
    <row r="3" spans="3:51" ht="30" customHeight="1" x14ac:dyDescent="0.25">
      <c r="H3" s="41"/>
    </row>
    <row r="4" spans="3:51" x14ac:dyDescent="0.25">
      <c r="D4" s="43" t="s">
        <v>42</v>
      </c>
      <c r="H4" s="41"/>
    </row>
    <row r="5" spans="3:51" ht="15" thickBot="1" x14ac:dyDescent="0.3">
      <c r="D5" s="43"/>
      <c r="H5" s="41"/>
    </row>
    <row r="6" spans="3:51" ht="17.25" thickTop="1" thickBot="1" x14ac:dyDescent="0.3">
      <c r="C6" s="37"/>
      <c r="D6" s="310" t="s">
        <v>66</v>
      </c>
      <c r="E6" s="135"/>
      <c r="F6" s="135"/>
      <c r="H6" s="294"/>
      <c r="I6" s="294"/>
      <c r="J6" s="294"/>
      <c r="K6" s="294"/>
      <c r="L6" s="294"/>
      <c r="M6" s="45" t="s">
        <v>108</v>
      </c>
      <c r="N6" s="46"/>
      <c r="O6" s="46"/>
      <c r="P6" s="46"/>
      <c r="Q6" s="46"/>
      <c r="R6" s="46"/>
      <c r="S6" s="46"/>
      <c r="T6" s="46"/>
      <c r="U6" s="47"/>
      <c r="V6" s="295"/>
      <c r="W6" s="45" t="s">
        <v>109</v>
      </c>
      <c r="X6" s="46"/>
      <c r="Y6" s="46"/>
      <c r="Z6" s="46"/>
      <c r="AA6" s="46"/>
      <c r="AB6" s="46"/>
      <c r="AC6" s="46"/>
      <c r="AD6" s="46"/>
      <c r="AE6" s="47"/>
      <c r="AF6" s="295"/>
      <c r="AG6" s="45" t="s">
        <v>116</v>
      </c>
      <c r="AH6" s="46"/>
      <c r="AI6" s="46"/>
      <c r="AJ6" s="46"/>
      <c r="AK6" s="46"/>
      <c r="AL6" s="46"/>
      <c r="AM6" s="46"/>
      <c r="AN6" s="46"/>
      <c r="AO6" s="47"/>
      <c r="AP6" s="295"/>
      <c r="AQ6" s="45" t="s">
        <v>110</v>
      </c>
      <c r="AR6" s="46"/>
      <c r="AS6" s="46"/>
      <c r="AT6" s="46"/>
      <c r="AU6" s="46"/>
      <c r="AV6" s="46"/>
      <c r="AW6" s="46"/>
      <c r="AX6" s="46"/>
      <c r="AY6" s="47"/>
    </row>
    <row r="7" spans="3:51" s="49" customFormat="1" ht="28.5" customHeight="1" thickTop="1" thickBot="1" x14ac:dyDescent="0.3">
      <c r="C7" s="48"/>
      <c r="G7" s="50"/>
      <c r="H7" s="281" t="s">
        <v>43</v>
      </c>
      <c r="I7" s="276" t="s">
        <v>104</v>
      </c>
      <c r="J7" s="276" t="s">
        <v>105</v>
      </c>
      <c r="K7" s="276" t="s">
        <v>106</v>
      </c>
      <c r="L7" s="282" t="s">
        <v>107</v>
      </c>
      <c r="M7" s="280">
        <v>45961</v>
      </c>
      <c r="N7" s="51">
        <v>45991</v>
      </c>
      <c r="O7" s="51">
        <v>46022</v>
      </c>
      <c r="P7" s="51">
        <v>46053</v>
      </c>
      <c r="Q7" s="51">
        <v>46081</v>
      </c>
      <c r="R7" s="51">
        <v>46112</v>
      </c>
      <c r="S7" s="51">
        <v>46142</v>
      </c>
      <c r="T7" s="51">
        <v>46173</v>
      </c>
      <c r="U7" s="287">
        <v>46203</v>
      </c>
      <c r="V7" s="207"/>
      <c r="W7" s="280">
        <v>45961</v>
      </c>
      <c r="X7" s="51">
        <v>45991</v>
      </c>
      <c r="Y7" s="51">
        <v>46022</v>
      </c>
      <c r="Z7" s="51">
        <v>46053</v>
      </c>
      <c r="AA7" s="51">
        <v>46081</v>
      </c>
      <c r="AB7" s="51">
        <v>46112</v>
      </c>
      <c r="AC7" s="51">
        <v>46142</v>
      </c>
      <c r="AD7" s="51">
        <v>46173</v>
      </c>
      <c r="AE7" s="287">
        <v>46203</v>
      </c>
      <c r="AF7" s="207"/>
      <c r="AG7" s="280">
        <v>45961</v>
      </c>
      <c r="AH7" s="51">
        <v>45991</v>
      </c>
      <c r="AI7" s="51">
        <v>46022</v>
      </c>
      <c r="AJ7" s="51">
        <v>46053</v>
      </c>
      <c r="AK7" s="51">
        <v>46081</v>
      </c>
      <c r="AL7" s="51">
        <v>46112</v>
      </c>
      <c r="AM7" s="51">
        <v>46142</v>
      </c>
      <c r="AN7" s="51">
        <v>46173</v>
      </c>
      <c r="AO7" s="287">
        <v>46203</v>
      </c>
      <c r="AP7" s="207"/>
      <c r="AQ7" s="280">
        <v>45961</v>
      </c>
      <c r="AR7" s="51">
        <v>45991</v>
      </c>
      <c r="AS7" s="51">
        <v>46022</v>
      </c>
      <c r="AT7" s="51">
        <v>46053</v>
      </c>
      <c r="AU7" s="51">
        <v>46081</v>
      </c>
      <c r="AV7" s="51">
        <v>46112</v>
      </c>
      <c r="AW7" s="51">
        <v>46142</v>
      </c>
      <c r="AX7" s="51">
        <v>46173</v>
      </c>
      <c r="AY7" s="287">
        <v>46203</v>
      </c>
    </row>
    <row r="8" spans="3:51" s="52" customFormat="1" ht="33.75" customHeight="1" thickTop="1" thickBot="1" x14ac:dyDescent="0.3">
      <c r="C8" s="349" t="s">
        <v>138</v>
      </c>
      <c r="D8" s="350" t="s">
        <v>40</v>
      </c>
      <c r="E8" s="350" t="s">
        <v>21</v>
      </c>
      <c r="F8" s="350" t="s">
        <v>44</v>
      </c>
      <c r="G8" s="277" t="s">
        <v>41</v>
      </c>
      <c r="H8" s="359">
        <f>+SUM(H9:H41)</f>
        <v>0</v>
      </c>
      <c r="I8" s="360">
        <f t="shared" ref="I8:L8" si="0">+SUM(I9:I41)</f>
        <v>0</v>
      </c>
      <c r="J8" s="360">
        <f t="shared" si="0"/>
        <v>0</v>
      </c>
      <c r="K8" s="360">
        <f t="shared" si="0"/>
        <v>0</v>
      </c>
      <c r="L8" s="361">
        <f t="shared" si="0"/>
        <v>0</v>
      </c>
      <c r="M8" s="362">
        <f>+SUM(M9:M29)</f>
        <v>0</v>
      </c>
      <c r="N8" s="363">
        <f t="shared" ref="N8:T8" si="1">+SUM(N9:N29)</f>
        <v>0</v>
      </c>
      <c r="O8" s="363">
        <f t="shared" si="1"/>
        <v>0</v>
      </c>
      <c r="P8" s="363">
        <f t="shared" si="1"/>
        <v>0</v>
      </c>
      <c r="Q8" s="363">
        <f t="shared" si="1"/>
        <v>0</v>
      </c>
      <c r="R8" s="363">
        <f>+SUM(R9:R29)</f>
        <v>0</v>
      </c>
      <c r="S8" s="363">
        <f t="shared" si="1"/>
        <v>0</v>
      </c>
      <c r="T8" s="363">
        <f t="shared" si="1"/>
        <v>0</v>
      </c>
      <c r="U8" s="364">
        <f>+SUM(U9:U29)</f>
        <v>0</v>
      </c>
      <c r="V8" s="365"/>
      <c r="W8" s="362">
        <f>+SUM(W9:W29)</f>
        <v>0</v>
      </c>
      <c r="X8" s="363">
        <f t="shared" ref="X8:AA8" si="2">+SUM(X9:X29)</f>
        <v>0</v>
      </c>
      <c r="Y8" s="363">
        <f t="shared" si="2"/>
        <v>0</v>
      </c>
      <c r="Z8" s="363">
        <f t="shared" si="2"/>
        <v>0</v>
      </c>
      <c r="AA8" s="363">
        <f t="shared" si="2"/>
        <v>0</v>
      </c>
      <c r="AB8" s="363">
        <f>+SUM(AB9:AB29)</f>
        <v>0</v>
      </c>
      <c r="AC8" s="363">
        <f t="shared" ref="AC8:AD8" si="3">+SUM(AC9:AC29)</f>
        <v>0</v>
      </c>
      <c r="AD8" s="363">
        <f t="shared" si="3"/>
        <v>0</v>
      </c>
      <c r="AE8" s="364">
        <f>+SUM(AE9:AE29)</f>
        <v>0</v>
      </c>
      <c r="AF8" s="365"/>
      <c r="AG8" s="362">
        <f>+SUM(AG9:AG29)</f>
        <v>0</v>
      </c>
      <c r="AH8" s="363">
        <f t="shared" ref="AH8:AK8" si="4">+SUM(AH9:AH29)</f>
        <v>0</v>
      </c>
      <c r="AI8" s="363">
        <f t="shared" si="4"/>
        <v>0</v>
      </c>
      <c r="AJ8" s="363">
        <f t="shared" si="4"/>
        <v>0</v>
      </c>
      <c r="AK8" s="363">
        <f t="shared" si="4"/>
        <v>0</v>
      </c>
      <c r="AL8" s="363">
        <f>+SUM(AL9:AL29)</f>
        <v>0</v>
      </c>
      <c r="AM8" s="363">
        <f t="shared" ref="AM8:AN8" si="5">+SUM(AM9:AM29)</f>
        <v>0</v>
      </c>
      <c r="AN8" s="363">
        <f t="shared" si="5"/>
        <v>0</v>
      </c>
      <c r="AO8" s="364">
        <f>+SUM(AO9:AO29)</f>
        <v>0</v>
      </c>
      <c r="AP8" s="365"/>
      <c r="AQ8" s="362">
        <f>+SUM(AQ9:AQ29)</f>
        <v>0</v>
      </c>
      <c r="AR8" s="363">
        <f t="shared" ref="AR8:AU8" si="6">+SUM(AR9:AR29)</f>
        <v>0</v>
      </c>
      <c r="AS8" s="363">
        <f t="shared" si="6"/>
        <v>0</v>
      </c>
      <c r="AT8" s="363">
        <f t="shared" si="6"/>
        <v>0</v>
      </c>
      <c r="AU8" s="363">
        <f t="shared" si="6"/>
        <v>0</v>
      </c>
      <c r="AV8" s="363">
        <f>+SUM(AV9:AV29)</f>
        <v>0</v>
      </c>
      <c r="AW8" s="363">
        <f t="shared" ref="AW8:AX8" si="7">+SUM(AW9:AW29)</f>
        <v>0</v>
      </c>
      <c r="AX8" s="363">
        <f t="shared" si="7"/>
        <v>0</v>
      </c>
      <c r="AY8" s="364">
        <f>+SUM(AY9:AY29)</f>
        <v>0</v>
      </c>
    </row>
    <row r="9" spans="3:51" s="49" customFormat="1" ht="18" customHeight="1" thickTop="1" x14ac:dyDescent="0.25">
      <c r="C9" s="53">
        <v>1</v>
      </c>
      <c r="D9" s="84"/>
      <c r="E9" s="84"/>
      <c r="F9" s="54"/>
      <c r="G9" s="278"/>
      <c r="H9" s="283"/>
      <c r="I9" s="55"/>
      <c r="J9" s="55"/>
      <c r="K9" s="55"/>
      <c r="L9" s="284"/>
      <c r="M9" s="288"/>
      <c r="N9" s="289"/>
      <c r="O9" s="289"/>
      <c r="P9" s="289"/>
      <c r="Q9" s="289"/>
      <c r="R9" s="289"/>
      <c r="S9" s="289"/>
      <c r="T9" s="289"/>
      <c r="U9" s="290"/>
      <c r="V9" s="207"/>
      <c r="W9" s="288"/>
      <c r="X9" s="289"/>
      <c r="Y9" s="289"/>
      <c r="Z9" s="289"/>
      <c r="AA9" s="289"/>
      <c r="AB9" s="289"/>
      <c r="AC9" s="289"/>
      <c r="AD9" s="289"/>
      <c r="AE9" s="290"/>
      <c r="AF9" s="207"/>
      <c r="AG9" s="288"/>
      <c r="AH9" s="289"/>
      <c r="AI9" s="289"/>
      <c r="AJ9" s="289"/>
      <c r="AK9" s="289"/>
      <c r="AL9" s="289"/>
      <c r="AM9" s="289"/>
      <c r="AN9" s="289"/>
      <c r="AO9" s="290"/>
      <c r="AP9" s="207"/>
      <c r="AQ9" s="288"/>
      <c r="AR9" s="289"/>
      <c r="AS9" s="289"/>
      <c r="AT9" s="289"/>
      <c r="AU9" s="289"/>
      <c r="AV9" s="289"/>
      <c r="AW9" s="289"/>
      <c r="AX9" s="289"/>
      <c r="AY9" s="290"/>
    </row>
    <row r="10" spans="3:51" s="49" customFormat="1" ht="18" customHeight="1" x14ac:dyDescent="0.25">
      <c r="C10" s="56">
        <f>+C9+1</f>
        <v>2</v>
      </c>
      <c r="D10" s="84"/>
      <c r="E10" s="84"/>
      <c r="F10" s="57"/>
      <c r="G10" s="279"/>
      <c r="H10" s="285"/>
      <c r="I10" s="58"/>
      <c r="J10" s="58"/>
      <c r="K10" s="58"/>
      <c r="L10" s="286"/>
      <c r="M10" s="291"/>
      <c r="N10" s="292"/>
      <c r="O10" s="289"/>
      <c r="P10" s="292"/>
      <c r="Q10" s="292"/>
      <c r="R10" s="292"/>
      <c r="S10" s="292"/>
      <c r="T10" s="292"/>
      <c r="U10" s="293"/>
      <c r="V10" s="207"/>
      <c r="W10" s="291"/>
      <c r="X10" s="292"/>
      <c r="Y10" s="289"/>
      <c r="Z10" s="292"/>
      <c r="AA10" s="292"/>
      <c r="AB10" s="292"/>
      <c r="AC10" s="292"/>
      <c r="AD10" s="292"/>
      <c r="AE10" s="293"/>
      <c r="AF10" s="207"/>
      <c r="AG10" s="291"/>
      <c r="AH10" s="292"/>
      <c r="AI10" s="289"/>
      <c r="AJ10" s="292"/>
      <c r="AK10" s="292"/>
      <c r="AL10" s="292"/>
      <c r="AM10" s="292"/>
      <c r="AN10" s="292"/>
      <c r="AO10" s="293"/>
      <c r="AP10" s="207"/>
      <c r="AQ10" s="291"/>
      <c r="AR10" s="292"/>
      <c r="AS10" s="289"/>
      <c r="AT10" s="292"/>
      <c r="AU10" s="292"/>
      <c r="AV10" s="292"/>
      <c r="AW10" s="292"/>
      <c r="AX10" s="292"/>
      <c r="AY10" s="293"/>
    </row>
    <row r="11" spans="3:51" s="49" customFormat="1" ht="18" customHeight="1" x14ac:dyDescent="0.25">
      <c r="C11" s="56">
        <f t="shared" ref="C11:C28" si="8">+C10+1</f>
        <v>3</v>
      </c>
      <c r="D11" s="84"/>
      <c r="E11" s="84"/>
      <c r="F11" s="57"/>
      <c r="G11" s="279"/>
      <c r="H11" s="285"/>
      <c r="I11" s="58"/>
      <c r="J11" s="58"/>
      <c r="K11" s="58"/>
      <c r="L11" s="286"/>
      <c r="M11" s="291"/>
      <c r="N11" s="292"/>
      <c r="O11" s="289"/>
      <c r="P11" s="292"/>
      <c r="Q11" s="292"/>
      <c r="R11" s="292"/>
      <c r="S11" s="292"/>
      <c r="T11" s="292"/>
      <c r="U11" s="293"/>
      <c r="V11" s="207"/>
      <c r="W11" s="291"/>
      <c r="X11" s="292"/>
      <c r="Y11" s="289"/>
      <c r="Z11" s="292"/>
      <c r="AA11" s="292"/>
      <c r="AB11" s="292"/>
      <c r="AC11" s="292"/>
      <c r="AD11" s="292"/>
      <c r="AE11" s="293"/>
      <c r="AF11" s="207"/>
      <c r="AG11" s="291"/>
      <c r="AH11" s="292"/>
      <c r="AI11" s="289"/>
      <c r="AJ11" s="292"/>
      <c r="AK11" s="292"/>
      <c r="AL11" s="292"/>
      <c r="AM11" s="292"/>
      <c r="AN11" s="292"/>
      <c r="AO11" s="293"/>
      <c r="AP11" s="207"/>
      <c r="AQ11" s="291"/>
      <c r="AR11" s="292"/>
      <c r="AS11" s="289"/>
      <c r="AT11" s="292"/>
      <c r="AU11" s="292"/>
      <c r="AV11" s="292"/>
      <c r="AW11" s="292"/>
      <c r="AX11" s="292"/>
      <c r="AY11" s="293"/>
    </row>
    <row r="12" spans="3:51" s="49" customFormat="1" ht="18" customHeight="1" x14ac:dyDescent="0.25">
      <c r="C12" s="56">
        <f t="shared" si="8"/>
        <v>4</v>
      </c>
      <c r="D12" s="84"/>
      <c r="E12" s="84"/>
      <c r="F12" s="57"/>
      <c r="G12" s="279"/>
      <c r="H12" s="285"/>
      <c r="I12" s="58"/>
      <c r="J12" s="58"/>
      <c r="K12" s="58"/>
      <c r="L12" s="286"/>
      <c r="M12" s="291"/>
      <c r="N12" s="292"/>
      <c r="O12" s="289"/>
      <c r="P12" s="292"/>
      <c r="Q12" s="292"/>
      <c r="R12" s="292"/>
      <c r="S12" s="292"/>
      <c r="T12" s="292"/>
      <c r="U12" s="293"/>
      <c r="V12" s="207"/>
      <c r="W12" s="291"/>
      <c r="X12" s="292"/>
      <c r="Y12" s="289"/>
      <c r="Z12" s="292"/>
      <c r="AA12" s="292"/>
      <c r="AB12" s="292"/>
      <c r="AC12" s="292"/>
      <c r="AD12" s="292"/>
      <c r="AE12" s="293"/>
      <c r="AF12" s="207"/>
      <c r="AG12" s="291"/>
      <c r="AH12" s="292"/>
      <c r="AI12" s="289"/>
      <c r="AJ12" s="292"/>
      <c r="AK12" s="292"/>
      <c r="AL12" s="292"/>
      <c r="AM12" s="292"/>
      <c r="AN12" s="292"/>
      <c r="AO12" s="293"/>
      <c r="AP12" s="207"/>
      <c r="AQ12" s="291"/>
      <c r="AR12" s="292"/>
      <c r="AS12" s="289"/>
      <c r="AT12" s="292"/>
      <c r="AU12" s="292"/>
      <c r="AV12" s="292"/>
      <c r="AW12" s="292"/>
      <c r="AX12" s="292"/>
      <c r="AY12" s="293"/>
    </row>
    <row r="13" spans="3:51" s="49" customFormat="1" ht="18" customHeight="1" x14ac:dyDescent="0.25">
      <c r="C13" s="56">
        <f t="shared" si="8"/>
        <v>5</v>
      </c>
      <c r="D13" s="84"/>
      <c r="E13" s="84"/>
      <c r="F13" s="57"/>
      <c r="G13" s="279"/>
      <c r="H13" s="285"/>
      <c r="I13" s="58"/>
      <c r="J13" s="58"/>
      <c r="K13" s="58"/>
      <c r="L13" s="286"/>
      <c r="M13" s="291"/>
      <c r="N13" s="292"/>
      <c r="O13" s="289"/>
      <c r="P13" s="292"/>
      <c r="Q13" s="292"/>
      <c r="R13" s="292"/>
      <c r="S13" s="292"/>
      <c r="T13" s="292"/>
      <c r="U13" s="293"/>
      <c r="V13" s="207"/>
      <c r="W13" s="291"/>
      <c r="X13" s="292"/>
      <c r="Y13" s="289"/>
      <c r="Z13" s="292"/>
      <c r="AA13" s="292"/>
      <c r="AB13" s="292"/>
      <c r="AC13" s="292"/>
      <c r="AD13" s="292"/>
      <c r="AE13" s="293"/>
      <c r="AF13" s="207"/>
      <c r="AG13" s="291"/>
      <c r="AH13" s="292"/>
      <c r="AI13" s="289"/>
      <c r="AJ13" s="292"/>
      <c r="AK13" s="292"/>
      <c r="AL13" s="292"/>
      <c r="AM13" s="292"/>
      <c r="AN13" s="292"/>
      <c r="AO13" s="293"/>
      <c r="AP13" s="207"/>
      <c r="AQ13" s="291"/>
      <c r="AR13" s="292"/>
      <c r="AS13" s="289"/>
      <c r="AT13" s="292"/>
      <c r="AU13" s="292"/>
      <c r="AV13" s="292"/>
      <c r="AW13" s="292"/>
      <c r="AX13" s="292"/>
      <c r="AY13" s="293"/>
    </row>
    <row r="14" spans="3:51" s="49" customFormat="1" ht="18" customHeight="1" x14ac:dyDescent="0.25">
      <c r="C14" s="56">
        <f t="shared" si="8"/>
        <v>6</v>
      </c>
      <c r="D14" s="84"/>
      <c r="E14" s="84"/>
      <c r="F14" s="57"/>
      <c r="G14" s="279"/>
      <c r="H14" s="285"/>
      <c r="I14" s="58"/>
      <c r="J14" s="58"/>
      <c r="K14" s="58"/>
      <c r="L14" s="286"/>
      <c r="M14" s="291"/>
      <c r="N14" s="292"/>
      <c r="O14" s="289"/>
      <c r="P14" s="292"/>
      <c r="Q14" s="292"/>
      <c r="R14" s="292"/>
      <c r="S14" s="292"/>
      <c r="T14" s="292"/>
      <c r="U14" s="293"/>
      <c r="V14" s="207"/>
      <c r="W14" s="291"/>
      <c r="X14" s="292"/>
      <c r="Y14" s="289"/>
      <c r="Z14" s="292"/>
      <c r="AA14" s="292"/>
      <c r="AB14" s="292"/>
      <c r="AC14" s="292"/>
      <c r="AD14" s="292"/>
      <c r="AE14" s="293"/>
      <c r="AF14" s="207"/>
      <c r="AG14" s="291"/>
      <c r="AH14" s="292"/>
      <c r="AI14" s="289"/>
      <c r="AJ14" s="292"/>
      <c r="AK14" s="292"/>
      <c r="AL14" s="292"/>
      <c r="AM14" s="292"/>
      <c r="AN14" s="292"/>
      <c r="AO14" s="293"/>
      <c r="AP14" s="207"/>
      <c r="AQ14" s="291"/>
      <c r="AR14" s="292"/>
      <c r="AS14" s="289"/>
      <c r="AT14" s="292"/>
      <c r="AU14" s="292"/>
      <c r="AV14" s="292"/>
      <c r="AW14" s="292"/>
      <c r="AX14" s="292"/>
      <c r="AY14" s="293"/>
    </row>
    <row r="15" spans="3:51" s="49" customFormat="1" ht="18" customHeight="1" x14ac:dyDescent="0.25">
      <c r="C15" s="56">
        <f t="shared" si="8"/>
        <v>7</v>
      </c>
      <c r="D15" s="59"/>
      <c r="E15" s="59"/>
      <c r="F15" s="57"/>
      <c r="G15" s="279"/>
      <c r="H15" s="285"/>
      <c r="I15" s="58"/>
      <c r="J15" s="58"/>
      <c r="K15" s="58"/>
      <c r="L15" s="286"/>
      <c r="M15" s="291"/>
      <c r="N15" s="292"/>
      <c r="O15" s="289"/>
      <c r="P15" s="292"/>
      <c r="Q15" s="292"/>
      <c r="R15" s="292"/>
      <c r="S15" s="292"/>
      <c r="T15" s="292"/>
      <c r="U15" s="293"/>
      <c r="V15" s="207"/>
      <c r="W15" s="291"/>
      <c r="X15" s="292"/>
      <c r="Y15" s="289"/>
      <c r="Z15" s="292"/>
      <c r="AA15" s="292"/>
      <c r="AB15" s="292"/>
      <c r="AC15" s="292"/>
      <c r="AD15" s="292"/>
      <c r="AE15" s="293"/>
      <c r="AF15" s="207"/>
      <c r="AG15" s="291"/>
      <c r="AH15" s="292"/>
      <c r="AI15" s="289"/>
      <c r="AJ15" s="292"/>
      <c r="AK15" s="292"/>
      <c r="AL15" s="292"/>
      <c r="AM15" s="292"/>
      <c r="AN15" s="292"/>
      <c r="AO15" s="293"/>
      <c r="AP15" s="207"/>
      <c r="AQ15" s="291"/>
      <c r="AR15" s="292"/>
      <c r="AS15" s="289"/>
      <c r="AT15" s="292"/>
      <c r="AU15" s="292"/>
      <c r="AV15" s="292"/>
      <c r="AW15" s="292"/>
      <c r="AX15" s="292"/>
      <c r="AY15" s="293"/>
    </row>
    <row r="16" spans="3:51" s="49" customFormat="1" ht="18" customHeight="1" x14ac:dyDescent="0.25">
      <c r="C16" s="56">
        <f t="shared" si="8"/>
        <v>8</v>
      </c>
      <c r="D16" s="59"/>
      <c r="E16" s="59"/>
      <c r="F16" s="57"/>
      <c r="G16" s="279"/>
      <c r="H16" s="285"/>
      <c r="I16" s="58"/>
      <c r="J16" s="58"/>
      <c r="K16" s="58"/>
      <c r="L16" s="286"/>
      <c r="M16" s="291"/>
      <c r="N16" s="292"/>
      <c r="O16" s="289"/>
      <c r="P16" s="292"/>
      <c r="Q16" s="292"/>
      <c r="R16" s="292"/>
      <c r="S16" s="292"/>
      <c r="T16" s="292"/>
      <c r="U16" s="293"/>
      <c r="V16" s="207"/>
      <c r="W16" s="291"/>
      <c r="X16" s="292"/>
      <c r="Y16" s="289"/>
      <c r="Z16" s="292"/>
      <c r="AA16" s="292"/>
      <c r="AB16" s="292"/>
      <c r="AC16" s="292"/>
      <c r="AD16" s="292"/>
      <c r="AE16" s="293"/>
      <c r="AF16" s="207"/>
      <c r="AG16" s="291"/>
      <c r="AH16" s="292"/>
      <c r="AI16" s="289"/>
      <c r="AJ16" s="292"/>
      <c r="AK16" s="292"/>
      <c r="AL16" s="292"/>
      <c r="AM16" s="292"/>
      <c r="AN16" s="292"/>
      <c r="AO16" s="293"/>
      <c r="AP16" s="207"/>
      <c r="AQ16" s="291"/>
      <c r="AR16" s="292"/>
      <c r="AS16" s="289"/>
      <c r="AT16" s="292"/>
      <c r="AU16" s="292"/>
      <c r="AV16" s="292"/>
      <c r="AW16" s="292"/>
      <c r="AX16" s="292"/>
      <c r="AY16" s="293"/>
    </row>
    <row r="17" spans="3:51" s="49" customFormat="1" ht="18" customHeight="1" x14ac:dyDescent="0.25">
      <c r="C17" s="56">
        <f t="shared" si="8"/>
        <v>9</v>
      </c>
      <c r="D17" s="59"/>
      <c r="E17" s="59"/>
      <c r="F17" s="57"/>
      <c r="G17" s="279"/>
      <c r="H17" s="285"/>
      <c r="I17" s="58"/>
      <c r="J17" s="58"/>
      <c r="K17" s="58"/>
      <c r="L17" s="286"/>
      <c r="M17" s="291"/>
      <c r="N17" s="292"/>
      <c r="O17" s="289"/>
      <c r="P17" s="292"/>
      <c r="Q17" s="292"/>
      <c r="R17" s="292"/>
      <c r="S17" s="292"/>
      <c r="T17" s="292"/>
      <c r="U17" s="293"/>
      <c r="V17" s="207"/>
      <c r="W17" s="291"/>
      <c r="X17" s="292"/>
      <c r="Y17" s="289"/>
      <c r="Z17" s="292"/>
      <c r="AA17" s="292"/>
      <c r="AB17" s="292"/>
      <c r="AC17" s="292"/>
      <c r="AD17" s="292"/>
      <c r="AE17" s="293"/>
      <c r="AF17" s="207"/>
      <c r="AG17" s="291"/>
      <c r="AH17" s="292"/>
      <c r="AI17" s="289"/>
      <c r="AJ17" s="292"/>
      <c r="AK17" s="292"/>
      <c r="AL17" s="292"/>
      <c r="AM17" s="292"/>
      <c r="AN17" s="292"/>
      <c r="AO17" s="293"/>
      <c r="AP17" s="207"/>
      <c r="AQ17" s="291"/>
      <c r="AR17" s="292"/>
      <c r="AS17" s="289"/>
      <c r="AT17" s="292"/>
      <c r="AU17" s="292"/>
      <c r="AV17" s="292"/>
      <c r="AW17" s="292"/>
      <c r="AX17" s="292"/>
      <c r="AY17" s="293"/>
    </row>
    <row r="18" spans="3:51" s="49" customFormat="1" ht="18" customHeight="1" x14ac:dyDescent="0.25">
      <c r="C18" s="56">
        <f t="shared" si="8"/>
        <v>10</v>
      </c>
      <c r="D18" s="59"/>
      <c r="E18" s="59"/>
      <c r="F18" s="57"/>
      <c r="G18" s="279"/>
      <c r="H18" s="285"/>
      <c r="I18" s="58"/>
      <c r="J18" s="58"/>
      <c r="K18" s="58"/>
      <c r="L18" s="286"/>
      <c r="M18" s="291"/>
      <c r="N18" s="292"/>
      <c r="O18" s="289"/>
      <c r="P18" s="292"/>
      <c r="Q18" s="292"/>
      <c r="R18" s="292"/>
      <c r="S18" s="292"/>
      <c r="T18" s="292"/>
      <c r="U18" s="293"/>
      <c r="V18" s="207"/>
      <c r="W18" s="291"/>
      <c r="X18" s="292"/>
      <c r="Y18" s="289"/>
      <c r="Z18" s="292"/>
      <c r="AA18" s="292"/>
      <c r="AB18" s="292"/>
      <c r="AC18" s="292"/>
      <c r="AD18" s="292"/>
      <c r="AE18" s="293"/>
      <c r="AF18" s="207"/>
      <c r="AG18" s="291"/>
      <c r="AH18" s="292"/>
      <c r="AI18" s="289"/>
      <c r="AJ18" s="292"/>
      <c r="AK18" s="292"/>
      <c r="AL18" s="292"/>
      <c r="AM18" s="292"/>
      <c r="AN18" s="292"/>
      <c r="AO18" s="293"/>
      <c r="AP18" s="207"/>
      <c r="AQ18" s="291"/>
      <c r="AR18" s="292"/>
      <c r="AS18" s="289"/>
      <c r="AT18" s="292"/>
      <c r="AU18" s="292"/>
      <c r="AV18" s="292"/>
      <c r="AW18" s="292"/>
      <c r="AX18" s="292"/>
      <c r="AY18" s="293"/>
    </row>
    <row r="19" spans="3:51" s="49" customFormat="1" ht="18" customHeight="1" x14ac:dyDescent="0.25">
      <c r="C19" s="56">
        <f t="shared" si="8"/>
        <v>11</v>
      </c>
      <c r="D19" s="59"/>
      <c r="E19" s="59"/>
      <c r="F19" s="57"/>
      <c r="G19" s="279"/>
      <c r="H19" s="285"/>
      <c r="I19" s="58"/>
      <c r="J19" s="58"/>
      <c r="K19" s="58"/>
      <c r="L19" s="286"/>
      <c r="M19" s="291"/>
      <c r="N19" s="292"/>
      <c r="O19" s="289"/>
      <c r="P19" s="292"/>
      <c r="Q19" s="292"/>
      <c r="R19" s="292"/>
      <c r="S19" s="292"/>
      <c r="T19" s="292"/>
      <c r="U19" s="293"/>
      <c r="V19" s="207"/>
      <c r="W19" s="291"/>
      <c r="X19" s="292"/>
      <c r="Y19" s="289"/>
      <c r="Z19" s="292"/>
      <c r="AA19" s="292"/>
      <c r="AB19" s="292"/>
      <c r="AC19" s="292"/>
      <c r="AD19" s="292"/>
      <c r="AE19" s="293"/>
      <c r="AF19" s="207"/>
      <c r="AG19" s="291"/>
      <c r="AH19" s="292"/>
      <c r="AI19" s="289"/>
      <c r="AJ19" s="292"/>
      <c r="AK19" s="292"/>
      <c r="AL19" s="292"/>
      <c r="AM19" s="292"/>
      <c r="AN19" s="292"/>
      <c r="AO19" s="293"/>
      <c r="AP19" s="207"/>
      <c r="AQ19" s="291"/>
      <c r="AR19" s="292"/>
      <c r="AS19" s="289"/>
      <c r="AT19" s="292"/>
      <c r="AU19" s="292"/>
      <c r="AV19" s="292"/>
      <c r="AW19" s="292"/>
      <c r="AX19" s="292"/>
      <c r="AY19" s="293"/>
    </row>
    <row r="20" spans="3:51" s="49" customFormat="1" ht="18" customHeight="1" x14ac:dyDescent="0.25">
      <c r="C20" s="56">
        <f t="shared" si="8"/>
        <v>12</v>
      </c>
      <c r="D20" s="59"/>
      <c r="E20" s="59"/>
      <c r="F20" s="57"/>
      <c r="G20" s="279"/>
      <c r="H20" s="285"/>
      <c r="I20" s="58"/>
      <c r="J20" s="58"/>
      <c r="K20" s="58"/>
      <c r="L20" s="286"/>
      <c r="M20" s="291"/>
      <c r="N20" s="292"/>
      <c r="O20" s="289"/>
      <c r="P20" s="292"/>
      <c r="Q20" s="292"/>
      <c r="R20" s="292"/>
      <c r="S20" s="292"/>
      <c r="T20" s="292"/>
      <c r="U20" s="293"/>
      <c r="V20" s="207"/>
      <c r="W20" s="291"/>
      <c r="X20" s="292"/>
      <c r="Y20" s="289"/>
      <c r="Z20" s="292"/>
      <c r="AA20" s="292"/>
      <c r="AB20" s="292"/>
      <c r="AC20" s="292"/>
      <c r="AD20" s="292"/>
      <c r="AE20" s="293"/>
      <c r="AF20" s="207"/>
      <c r="AG20" s="291"/>
      <c r="AH20" s="292"/>
      <c r="AI20" s="289"/>
      <c r="AJ20" s="292"/>
      <c r="AK20" s="292"/>
      <c r="AL20" s="292"/>
      <c r="AM20" s="292"/>
      <c r="AN20" s="292"/>
      <c r="AO20" s="293"/>
      <c r="AP20" s="207"/>
      <c r="AQ20" s="291"/>
      <c r="AR20" s="292"/>
      <c r="AS20" s="289"/>
      <c r="AT20" s="292"/>
      <c r="AU20" s="292"/>
      <c r="AV20" s="292"/>
      <c r="AW20" s="292"/>
      <c r="AX20" s="292"/>
      <c r="AY20" s="293"/>
    </row>
    <row r="21" spans="3:51" s="49" customFormat="1" ht="18" customHeight="1" x14ac:dyDescent="0.25">
      <c r="C21" s="56">
        <f t="shared" si="8"/>
        <v>13</v>
      </c>
      <c r="D21" s="59"/>
      <c r="E21" s="59"/>
      <c r="F21" s="57"/>
      <c r="G21" s="279"/>
      <c r="H21" s="285"/>
      <c r="I21" s="58"/>
      <c r="J21" s="58"/>
      <c r="K21" s="58"/>
      <c r="L21" s="286"/>
      <c r="M21" s="291"/>
      <c r="N21" s="292"/>
      <c r="O21" s="289"/>
      <c r="P21" s="292"/>
      <c r="Q21" s="292"/>
      <c r="R21" s="292"/>
      <c r="S21" s="292"/>
      <c r="T21" s="292"/>
      <c r="U21" s="293"/>
      <c r="V21" s="207"/>
      <c r="W21" s="291"/>
      <c r="X21" s="292"/>
      <c r="Y21" s="289"/>
      <c r="Z21" s="292"/>
      <c r="AA21" s="292"/>
      <c r="AB21" s="292"/>
      <c r="AC21" s="292"/>
      <c r="AD21" s="292"/>
      <c r="AE21" s="293"/>
      <c r="AF21" s="207"/>
      <c r="AG21" s="291"/>
      <c r="AH21" s="292"/>
      <c r="AI21" s="289"/>
      <c r="AJ21" s="292"/>
      <c r="AK21" s="292"/>
      <c r="AL21" s="292"/>
      <c r="AM21" s="292"/>
      <c r="AN21" s="292"/>
      <c r="AO21" s="293"/>
      <c r="AP21" s="207"/>
      <c r="AQ21" s="291"/>
      <c r="AR21" s="292"/>
      <c r="AS21" s="289"/>
      <c r="AT21" s="292"/>
      <c r="AU21" s="292"/>
      <c r="AV21" s="292"/>
      <c r="AW21" s="292"/>
      <c r="AX21" s="292"/>
      <c r="AY21" s="293"/>
    </row>
    <row r="22" spans="3:51" s="49" customFormat="1" ht="18" customHeight="1" x14ac:dyDescent="0.25">
      <c r="C22" s="56">
        <f t="shared" si="8"/>
        <v>14</v>
      </c>
      <c r="D22" s="59"/>
      <c r="E22" s="59"/>
      <c r="F22" s="57"/>
      <c r="G22" s="279"/>
      <c r="H22" s="285"/>
      <c r="I22" s="58"/>
      <c r="J22" s="58"/>
      <c r="K22" s="58"/>
      <c r="L22" s="286"/>
      <c r="M22" s="291"/>
      <c r="N22" s="292"/>
      <c r="O22" s="289"/>
      <c r="P22" s="292"/>
      <c r="Q22" s="292"/>
      <c r="R22" s="292"/>
      <c r="S22" s="292"/>
      <c r="T22" s="292"/>
      <c r="U22" s="293"/>
      <c r="V22" s="207"/>
      <c r="W22" s="291"/>
      <c r="X22" s="292"/>
      <c r="Y22" s="289"/>
      <c r="Z22" s="292"/>
      <c r="AA22" s="292"/>
      <c r="AB22" s="292"/>
      <c r="AC22" s="292"/>
      <c r="AD22" s="292"/>
      <c r="AE22" s="293"/>
      <c r="AF22" s="207"/>
      <c r="AG22" s="291"/>
      <c r="AH22" s="292"/>
      <c r="AI22" s="289"/>
      <c r="AJ22" s="292"/>
      <c r="AK22" s="292"/>
      <c r="AL22" s="292"/>
      <c r="AM22" s="292"/>
      <c r="AN22" s="292"/>
      <c r="AO22" s="293"/>
      <c r="AP22" s="207"/>
      <c r="AQ22" s="291"/>
      <c r="AR22" s="292"/>
      <c r="AS22" s="289"/>
      <c r="AT22" s="292"/>
      <c r="AU22" s="292"/>
      <c r="AV22" s="292"/>
      <c r="AW22" s="292"/>
      <c r="AX22" s="292"/>
      <c r="AY22" s="293"/>
    </row>
    <row r="23" spans="3:51" s="49" customFormat="1" ht="18" customHeight="1" x14ac:dyDescent="0.25">
      <c r="C23" s="56">
        <f t="shared" si="8"/>
        <v>15</v>
      </c>
      <c r="D23" s="59"/>
      <c r="E23" s="59"/>
      <c r="F23" s="57"/>
      <c r="G23" s="279"/>
      <c r="H23" s="285"/>
      <c r="I23" s="58"/>
      <c r="J23" s="58"/>
      <c r="K23" s="58"/>
      <c r="L23" s="286"/>
      <c r="M23" s="291"/>
      <c r="N23" s="292"/>
      <c r="O23" s="289"/>
      <c r="P23" s="292"/>
      <c r="Q23" s="292"/>
      <c r="R23" s="292"/>
      <c r="S23" s="292"/>
      <c r="T23" s="292"/>
      <c r="U23" s="293"/>
      <c r="V23" s="207"/>
      <c r="W23" s="291"/>
      <c r="X23" s="292"/>
      <c r="Y23" s="289"/>
      <c r="Z23" s="292"/>
      <c r="AA23" s="292"/>
      <c r="AB23" s="292"/>
      <c r="AC23" s="292"/>
      <c r="AD23" s="292"/>
      <c r="AE23" s="293"/>
      <c r="AF23" s="207"/>
      <c r="AG23" s="291"/>
      <c r="AH23" s="292"/>
      <c r="AI23" s="289"/>
      <c r="AJ23" s="292"/>
      <c r="AK23" s="292"/>
      <c r="AL23" s="292"/>
      <c r="AM23" s="292"/>
      <c r="AN23" s="292"/>
      <c r="AO23" s="293"/>
      <c r="AP23" s="207"/>
      <c r="AQ23" s="291"/>
      <c r="AR23" s="292"/>
      <c r="AS23" s="289"/>
      <c r="AT23" s="292"/>
      <c r="AU23" s="292"/>
      <c r="AV23" s="292"/>
      <c r="AW23" s="292"/>
      <c r="AX23" s="292"/>
      <c r="AY23" s="293"/>
    </row>
    <row r="24" spans="3:51" s="49" customFormat="1" ht="15" x14ac:dyDescent="0.25">
      <c r="C24" s="56">
        <f t="shared" si="8"/>
        <v>16</v>
      </c>
      <c r="D24" s="59"/>
      <c r="E24" s="59"/>
      <c r="F24" s="57"/>
      <c r="G24" s="279"/>
      <c r="H24" s="285"/>
      <c r="I24" s="58"/>
      <c r="J24" s="58"/>
      <c r="K24" s="58"/>
      <c r="L24" s="286"/>
      <c r="M24" s="291"/>
      <c r="N24" s="292"/>
      <c r="O24" s="289"/>
      <c r="P24" s="292"/>
      <c r="Q24" s="292"/>
      <c r="R24" s="292"/>
      <c r="S24" s="292"/>
      <c r="T24" s="292"/>
      <c r="U24" s="293"/>
      <c r="V24" s="207"/>
      <c r="W24" s="291"/>
      <c r="X24" s="292"/>
      <c r="Y24" s="289"/>
      <c r="Z24" s="292"/>
      <c r="AA24" s="292"/>
      <c r="AB24" s="292"/>
      <c r="AC24" s="292"/>
      <c r="AD24" s="292"/>
      <c r="AE24" s="293"/>
      <c r="AF24" s="207"/>
      <c r="AG24" s="291"/>
      <c r="AH24" s="292"/>
      <c r="AI24" s="289"/>
      <c r="AJ24" s="292"/>
      <c r="AK24" s="292"/>
      <c r="AL24" s="292"/>
      <c r="AM24" s="292"/>
      <c r="AN24" s="292"/>
      <c r="AO24" s="293"/>
      <c r="AP24" s="207"/>
      <c r="AQ24" s="291"/>
      <c r="AR24" s="292"/>
      <c r="AS24" s="289"/>
      <c r="AT24" s="292"/>
      <c r="AU24" s="292"/>
      <c r="AV24" s="292"/>
      <c r="AW24" s="292"/>
      <c r="AX24" s="292"/>
      <c r="AY24" s="293"/>
    </row>
    <row r="25" spans="3:51" s="49" customFormat="1" ht="15" x14ac:dyDescent="0.25">
      <c r="C25" s="56">
        <f t="shared" si="8"/>
        <v>17</v>
      </c>
      <c r="D25" s="59"/>
      <c r="E25" s="59"/>
      <c r="F25" s="57"/>
      <c r="G25" s="279"/>
      <c r="H25" s="285"/>
      <c r="I25" s="58"/>
      <c r="J25" s="58"/>
      <c r="K25" s="58"/>
      <c r="L25" s="286"/>
      <c r="M25" s="291"/>
      <c r="N25" s="292"/>
      <c r="O25" s="289"/>
      <c r="P25" s="292"/>
      <c r="Q25" s="292"/>
      <c r="R25" s="292"/>
      <c r="S25" s="292"/>
      <c r="T25" s="292"/>
      <c r="U25" s="293"/>
      <c r="V25" s="207"/>
      <c r="W25" s="291"/>
      <c r="X25" s="292"/>
      <c r="Y25" s="289"/>
      <c r="Z25" s="292"/>
      <c r="AA25" s="292"/>
      <c r="AB25" s="292"/>
      <c r="AC25" s="292"/>
      <c r="AD25" s="292"/>
      <c r="AE25" s="293"/>
      <c r="AF25" s="207"/>
      <c r="AG25" s="291"/>
      <c r="AH25" s="292"/>
      <c r="AI25" s="289"/>
      <c r="AJ25" s="292"/>
      <c r="AK25" s="292"/>
      <c r="AL25" s="292"/>
      <c r="AM25" s="292"/>
      <c r="AN25" s="292"/>
      <c r="AO25" s="293"/>
      <c r="AP25" s="207"/>
      <c r="AQ25" s="291"/>
      <c r="AR25" s="292"/>
      <c r="AS25" s="289"/>
      <c r="AT25" s="292"/>
      <c r="AU25" s="292"/>
      <c r="AV25" s="292"/>
      <c r="AW25" s="292"/>
      <c r="AX25" s="292"/>
      <c r="AY25" s="293"/>
    </row>
    <row r="26" spans="3:51" s="49" customFormat="1" ht="15" x14ac:dyDescent="0.25">
      <c r="C26" s="56">
        <f t="shared" si="8"/>
        <v>18</v>
      </c>
      <c r="D26" s="59"/>
      <c r="E26" s="59"/>
      <c r="F26" s="57"/>
      <c r="G26" s="279"/>
      <c r="H26" s="285"/>
      <c r="I26" s="58"/>
      <c r="J26" s="58"/>
      <c r="K26" s="58"/>
      <c r="L26" s="286"/>
      <c r="M26" s="291"/>
      <c r="N26" s="292"/>
      <c r="O26" s="292"/>
      <c r="P26" s="292"/>
      <c r="Q26" s="292"/>
      <c r="R26" s="292"/>
      <c r="S26" s="292"/>
      <c r="T26" s="292"/>
      <c r="U26" s="293"/>
      <c r="V26" s="207"/>
      <c r="W26" s="291"/>
      <c r="X26" s="292"/>
      <c r="Y26" s="292"/>
      <c r="Z26" s="292"/>
      <c r="AA26" s="292"/>
      <c r="AB26" s="292"/>
      <c r="AC26" s="292"/>
      <c r="AD26" s="292"/>
      <c r="AE26" s="293"/>
      <c r="AF26" s="207"/>
      <c r="AG26" s="291"/>
      <c r="AH26" s="292"/>
      <c r="AI26" s="292"/>
      <c r="AJ26" s="292"/>
      <c r="AK26" s="292"/>
      <c r="AL26" s="292"/>
      <c r="AM26" s="292"/>
      <c r="AN26" s="292"/>
      <c r="AO26" s="293"/>
      <c r="AP26" s="207"/>
      <c r="AQ26" s="291"/>
      <c r="AR26" s="292"/>
      <c r="AS26" s="292"/>
      <c r="AT26" s="292"/>
      <c r="AU26" s="292"/>
      <c r="AV26" s="292"/>
      <c r="AW26" s="292"/>
      <c r="AX26" s="292"/>
      <c r="AY26" s="293"/>
    </row>
    <row r="27" spans="3:51" s="49" customFormat="1" ht="15" x14ac:dyDescent="0.25">
      <c r="C27" s="56">
        <f t="shared" si="8"/>
        <v>19</v>
      </c>
      <c r="D27" s="59"/>
      <c r="E27" s="59"/>
      <c r="F27" s="57"/>
      <c r="G27" s="279"/>
      <c r="H27" s="285"/>
      <c r="I27" s="58"/>
      <c r="J27" s="58"/>
      <c r="K27" s="58"/>
      <c r="L27" s="286"/>
      <c r="M27" s="291"/>
      <c r="N27" s="292"/>
      <c r="O27" s="292"/>
      <c r="P27" s="292"/>
      <c r="Q27" s="292"/>
      <c r="R27" s="292"/>
      <c r="S27" s="292"/>
      <c r="T27" s="292"/>
      <c r="U27" s="293"/>
      <c r="V27" s="207"/>
      <c r="W27" s="291"/>
      <c r="X27" s="292"/>
      <c r="Y27" s="292"/>
      <c r="Z27" s="292"/>
      <c r="AA27" s="292"/>
      <c r="AB27" s="292"/>
      <c r="AC27" s="292"/>
      <c r="AD27" s="292"/>
      <c r="AE27" s="293"/>
      <c r="AF27" s="207"/>
      <c r="AG27" s="291"/>
      <c r="AH27" s="292"/>
      <c r="AI27" s="292"/>
      <c r="AJ27" s="292"/>
      <c r="AK27" s="292"/>
      <c r="AL27" s="292"/>
      <c r="AM27" s="292"/>
      <c r="AN27" s="292"/>
      <c r="AO27" s="293"/>
      <c r="AP27" s="207"/>
      <c r="AQ27" s="291"/>
      <c r="AR27" s="292"/>
      <c r="AS27" s="292"/>
      <c r="AT27" s="292"/>
      <c r="AU27" s="292"/>
      <c r="AV27" s="292"/>
      <c r="AW27" s="292"/>
      <c r="AX27" s="292"/>
      <c r="AY27" s="293"/>
    </row>
    <row r="28" spans="3:51" s="49" customFormat="1" ht="15" x14ac:dyDescent="0.25">
      <c r="C28" s="56">
        <f t="shared" si="8"/>
        <v>20</v>
      </c>
      <c r="D28" s="59"/>
      <c r="E28" s="59"/>
      <c r="F28" s="57"/>
      <c r="G28" s="279"/>
      <c r="H28" s="285"/>
      <c r="I28" s="58"/>
      <c r="J28" s="58"/>
      <c r="K28" s="58"/>
      <c r="L28" s="286"/>
      <c r="M28" s="291"/>
      <c r="N28" s="292"/>
      <c r="O28" s="292"/>
      <c r="P28" s="292"/>
      <c r="Q28" s="292"/>
      <c r="R28" s="292"/>
      <c r="S28" s="292"/>
      <c r="T28" s="292"/>
      <c r="U28" s="293"/>
      <c r="V28" s="207"/>
      <c r="W28" s="291"/>
      <c r="X28" s="292"/>
      <c r="Y28" s="292"/>
      <c r="Z28" s="292"/>
      <c r="AA28" s="292"/>
      <c r="AB28" s="292"/>
      <c r="AC28" s="292"/>
      <c r="AD28" s="292"/>
      <c r="AE28" s="293"/>
      <c r="AF28" s="207"/>
      <c r="AG28" s="291"/>
      <c r="AH28" s="292"/>
      <c r="AI28" s="292"/>
      <c r="AJ28" s="292"/>
      <c r="AK28" s="292"/>
      <c r="AL28" s="292"/>
      <c r="AM28" s="292"/>
      <c r="AN28" s="292"/>
      <c r="AO28" s="293"/>
      <c r="AP28" s="207"/>
      <c r="AQ28" s="291"/>
      <c r="AR28" s="292"/>
      <c r="AS28" s="292"/>
      <c r="AT28" s="292"/>
      <c r="AU28" s="292"/>
      <c r="AV28" s="292"/>
      <c r="AW28" s="292"/>
      <c r="AX28" s="292"/>
      <c r="AY28" s="293"/>
    </row>
    <row r="29" spans="3:51" s="49" customFormat="1" ht="15.75" x14ac:dyDescent="0.25">
      <c r="D29" s="60"/>
      <c r="E29" s="60"/>
      <c r="F29" s="60"/>
      <c r="G29" s="50"/>
      <c r="H29" s="61"/>
      <c r="I29" s="62"/>
      <c r="J29" s="62"/>
      <c r="K29" s="62"/>
      <c r="L29" s="62"/>
      <c r="M29" s="63"/>
      <c r="N29" s="63"/>
      <c r="O29" s="63"/>
      <c r="P29" s="63"/>
      <c r="Q29" s="63"/>
    </row>
    <row r="30" spans="3:51" s="49" customFormat="1" ht="15.75" x14ac:dyDescent="0.25">
      <c r="D30" s="60"/>
      <c r="E30" s="60"/>
      <c r="F30" s="60"/>
      <c r="G30" s="50"/>
      <c r="H30" s="61"/>
      <c r="I30" s="62"/>
      <c r="J30" s="62"/>
      <c r="K30" s="62"/>
      <c r="L30" s="62"/>
      <c r="M30" s="63"/>
      <c r="N30" s="63"/>
      <c r="O30" s="63"/>
      <c r="P30" s="63"/>
      <c r="Q30" s="63"/>
    </row>
    <row r="31" spans="3:51" s="49" customFormat="1" ht="15.75" x14ac:dyDescent="0.25">
      <c r="D31" s="60"/>
      <c r="E31" s="60"/>
      <c r="F31" s="60"/>
      <c r="G31" s="50"/>
      <c r="H31" s="61"/>
      <c r="I31" s="62"/>
      <c r="J31" s="62"/>
      <c r="K31" s="62"/>
      <c r="L31" s="62"/>
      <c r="M31" s="63"/>
      <c r="N31" s="63"/>
      <c r="O31" s="63"/>
      <c r="P31" s="63"/>
      <c r="Q31" s="63"/>
    </row>
    <row r="32" spans="3:51" s="49" customFormat="1" ht="15.75" x14ac:dyDescent="0.25">
      <c r="D32" s="60"/>
      <c r="E32" s="60"/>
      <c r="F32" s="60"/>
      <c r="G32" s="50"/>
      <c r="H32" s="61"/>
      <c r="I32" s="62"/>
      <c r="J32" s="62"/>
      <c r="K32" s="62"/>
      <c r="L32" s="62"/>
      <c r="M32" s="63"/>
      <c r="N32" s="63"/>
      <c r="O32" s="63"/>
      <c r="P32" s="63"/>
      <c r="Q32" s="63"/>
    </row>
    <row r="33" spans="4:17" s="49" customFormat="1" ht="15.75" x14ac:dyDescent="0.25">
      <c r="D33" s="60"/>
      <c r="E33" s="60"/>
      <c r="F33" s="60"/>
      <c r="G33" s="50"/>
      <c r="H33" s="61"/>
      <c r="I33" s="62"/>
      <c r="J33" s="62"/>
      <c r="K33" s="62"/>
      <c r="L33" s="62"/>
      <c r="M33" s="63"/>
      <c r="N33" s="63"/>
      <c r="O33" s="63"/>
      <c r="P33" s="63"/>
      <c r="Q33" s="63"/>
    </row>
    <row r="34" spans="4:17" s="49" customFormat="1" ht="15.75" x14ac:dyDescent="0.25">
      <c r="D34" s="60"/>
      <c r="E34" s="60"/>
      <c r="F34" s="60"/>
      <c r="G34" s="50"/>
      <c r="H34" s="61"/>
      <c r="I34" s="62"/>
      <c r="J34" s="62"/>
      <c r="K34" s="62"/>
      <c r="L34" s="62"/>
      <c r="M34" s="63"/>
      <c r="N34" s="63"/>
      <c r="O34" s="63"/>
      <c r="P34" s="63"/>
      <c r="Q34" s="63"/>
    </row>
    <row r="35" spans="4:17" s="49" customFormat="1" ht="15.75" x14ac:dyDescent="0.25">
      <c r="D35" s="60"/>
      <c r="E35" s="60"/>
      <c r="F35" s="60"/>
      <c r="G35" s="50"/>
      <c r="H35" s="61"/>
      <c r="I35" s="62"/>
      <c r="J35" s="62"/>
      <c r="K35" s="62"/>
      <c r="L35" s="62"/>
      <c r="M35" s="63"/>
      <c r="N35" s="63"/>
      <c r="O35" s="63"/>
      <c r="P35" s="63"/>
      <c r="Q35" s="63"/>
    </row>
    <row r="36" spans="4:17" s="49" customFormat="1" ht="15.75" x14ac:dyDescent="0.25">
      <c r="D36" s="60"/>
      <c r="E36" s="60"/>
      <c r="F36" s="60"/>
      <c r="G36" s="50"/>
      <c r="H36" s="61"/>
      <c r="I36" s="62"/>
      <c r="J36" s="62"/>
      <c r="K36" s="62"/>
      <c r="L36" s="62"/>
      <c r="M36" s="63"/>
      <c r="N36" s="63"/>
      <c r="O36" s="63"/>
      <c r="P36" s="63"/>
      <c r="Q36" s="63"/>
    </row>
    <row r="37" spans="4:17" s="49" customFormat="1" ht="15.75" x14ac:dyDescent="0.25">
      <c r="D37" s="60"/>
      <c r="E37" s="60"/>
      <c r="F37" s="60"/>
      <c r="G37" s="50"/>
      <c r="H37" s="61"/>
      <c r="I37" s="62"/>
      <c r="J37" s="62"/>
      <c r="K37" s="62"/>
      <c r="L37" s="62"/>
      <c r="M37" s="63"/>
      <c r="N37" s="63"/>
      <c r="O37" s="63"/>
      <c r="P37" s="63"/>
      <c r="Q37" s="63"/>
    </row>
    <row r="38" spans="4:17" s="49" customFormat="1" ht="15.75" x14ac:dyDescent="0.25">
      <c r="D38" s="60"/>
      <c r="E38" s="60"/>
      <c r="F38" s="60"/>
      <c r="G38" s="50"/>
      <c r="H38" s="61"/>
      <c r="I38" s="62"/>
      <c r="J38" s="62"/>
      <c r="K38" s="62"/>
      <c r="L38" s="62"/>
      <c r="M38" s="63"/>
      <c r="N38" s="63"/>
      <c r="O38" s="63"/>
      <c r="P38" s="63"/>
      <c r="Q38" s="63"/>
    </row>
    <row r="39" spans="4:17" s="49" customFormat="1" ht="15.75" x14ac:dyDescent="0.25">
      <c r="D39" s="60"/>
      <c r="E39" s="60"/>
      <c r="F39" s="60"/>
      <c r="G39" s="50"/>
      <c r="H39" s="61"/>
      <c r="I39" s="62"/>
      <c r="J39" s="62"/>
      <c r="K39" s="62"/>
      <c r="L39" s="62"/>
      <c r="M39" s="63"/>
      <c r="N39" s="63"/>
      <c r="O39" s="63"/>
      <c r="P39" s="63"/>
      <c r="Q39" s="63"/>
    </row>
    <row r="40" spans="4:17" s="49" customFormat="1" ht="15.75" x14ac:dyDescent="0.25">
      <c r="D40" s="60"/>
      <c r="E40" s="60"/>
      <c r="F40" s="60"/>
      <c r="G40" s="50"/>
      <c r="H40" s="61"/>
      <c r="I40" s="62"/>
      <c r="J40" s="62"/>
      <c r="K40" s="62"/>
      <c r="L40" s="62"/>
      <c r="M40" s="63"/>
      <c r="N40" s="63"/>
      <c r="O40" s="63"/>
      <c r="P40" s="63"/>
      <c r="Q40" s="63"/>
    </row>
    <row r="41" spans="4:17" s="49" customFormat="1" ht="15.75" x14ac:dyDescent="0.25">
      <c r="D41" s="60"/>
      <c r="E41" s="60"/>
      <c r="F41" s="60"/>
      <c r="G41" s="50"/>
      <c r="H41" s="61"/>
      <c r="I41" s="62"/>
      <c r="J41" s="62"/>
      <c r="K41" s="62"/>
      <c r="L41" s="62"/>
      <c r="M41" s="63"/>
      <c r="N41" s="63"/>
      <c r="O41" s="63"/>
      <c r="P41" s="63"/>
      <c r="Q41" s="63"/>
    </row>
    <row r="42" spans="4:17" s="49" customFormat="1" ht="15.75" x14ac:dyDescent="0.25">
      <c r="D42" s="60"/>
      <c r="E42" s="60"/>
      <c r="F42" s="60"/>
      <c r="G42" s="50"/>
      <c r="H42" s="61"/>
      <c r="I42" s="62"/>
      <c r="J42" s="62"/>
      <c r="K42" s="62"/>
      <c r="L42" s="62"/>
      <c r="M42" s="63"/>
      <c r="N42" s="63"/>
      <c r="O42" s="63"/>
      <c r="P42" s="63"/>
      <c r="Q42" s="63"/>
    </row>
    <row r="43" spans="4:17" s="49" customFormat="1" ht="15.75" x14ac:dyDescent="0.25">
      <c r="D43" s="60"/>
      <c r="E43" s="60"/>
      <c r="F43" s="60"/>
      <c r="G43" s="50"/>
      <c r="H43" s="61"/>
      <c r="I43" s="62"/>
      <c r="J43" s="62"/>
      <c r="K43" s="62"/>
      <c r="L43" s="62"/>
      <c r="M43" s="63"/>
      <c r="N43" s="63"/>
      <c r="O43" s="63"/>
      <c r="P43" s="63"/>
      <c r="Q43" s="63"/>
    </row>
    <row r="44" spans="4:17" s="49" customFormat="1" ht="15.75" x14ac:dyDescent="0.25">
      <c r="D44" s="60"/>
      <c r="E44" s="60"/>
      <c r="F44" s="60"/>
      <c r="G44" s="50"/>
      <c r="H44" s="61"/>
      <c r="I44" s="62"/>
      <c r="J44" s="62"/>
      <c r="K44" s="62"/>
      <c r="L44" s="62"/>
      <c r="M44" s="63"/>
      <c r="N44" s="63"/>
      <c r="O44" s="63"/>
      <c r="P44" s="63"/>
      <c r="Q44" s="63"/>
    </row>
    <row r="45" spans="4:17" s="49" customFormat="1" ht="15.75" x14ac:dyDescent="0.25">
      <c r="D45" s="60"/>
      <c r="E45" s="60"/>
      <c r="F45" s="60"/>
      <c r="G45" s="50"/>
      <c r="H45" s="61"/>
      <c r="I45" s="62"/>
      <c r="J45" s="62"/>
      <c r="K45" s="62"/>
      <c r="L45" s="62"/>
      <c r="M45" s="63"/>
      <c r="N45" s="63"/>
      <c r="O45" s="63"/>
      <c r="P45" s="63"/>
      <c r="Q45" s="63"/>
    </row>
    <row r="46" spans="4:17" s="49" customFormat="1" ht="15.75" x14ac:dyDescent="0.25">
      <c r="D46" s="60"/>
      <c r="E46" s="60"/>
      <c r="F46" s="60"/>
      <c r="G46" s="50"/>
      <c r="H46" s="61"/>
      <c r="I46" s="62"/>
      <c r="J46" s="62"/>
      <c r="K46" s="62"/>
      <c r="L46" s="62"/>
      <c r="M46" s="63"/>
      <c r="N46" s="63"/>
      <c r="O46" s="63"/>
      <c r="P46" s="63"/>
      <c r="Q46" s="63"/>
    </row>
    <row r="47" spans="4:17" s="49" customFormat="1" ht="15.75" x14ac:dyDescent="0.25">
      <c r="D47" s="60"/>
      <c r="E47" s="60"/>
      <c r="F47" s="60"/>
      <c r="G47" s="50"/>
      <c r="H47" s="61"/>
      <c r="I47" s="62"/>
      <c r="J47" s="62"/>
      <c r="K47" s="62"/>
      <c r="L47" s="62"/>
      <c r="M47" s="63"/>
      <c r="N47" s="63"/>
      <c r="O47" s="63"/>
      <c r="P47" s="63"/>
      <c r="Q47" s="63"/>
    </row>
    <row r="48" spans="4:17" s="49" customFormat="1" ht="15.75" x14ac:dyDescent="0.25">
      <c r="D48" s="60"/>
      <c r="E48" s="60"/>
      <c r="F48" s="60"/>
      <c r="G48" s="50"/>
      <c r="H48" s="61"/>
      <c r="I48" s="62"/>
      <c r="J48" s="62"/>
      <c r="K48" s="62"/>
      <c r="L48" s="62"/>
      <c r="M48" s="63"/>
      <c r="N48" s="63"/>
      <c r="O48" s="63"/>
      <c r="P48" s="63"/>
      <c r="Q48" s="63"/>
    </row>
    <row r="49" spans="4:17" s="49" customFormat="1" ht="15.75" x14ac:dyDescent="0.25">
      <c r="D49" s="60"/>
      <c r="E49" s="60"/>
      <c r="F49" s="60"/>
      <c r="G49" s="50"/>
      <c r="H49" s="61"/>
      <c r="I49" s="62"/>
      <c r="J49" s="62"/>
      <c r="K49" s="62"/>
      <c r="L49" s="62"/>
      <c r="M49" s="63"/>
      <c r="N49" s="63"/>
      <c r="O49" s="63"/>
      <c r="P49" s="63"/>
      <c r="Q49" s="63"/>
    </row>
    <row r="50" spans="4:17" s="49" customFormat="1" ht="15.75" x14ac:dyDescent="0.25">
      <c r="D50" s="60"/>
      <c r="E50" s="60"/>
      <c r="F50" s="60"/>
      <c r="G50" s="50"/>
      <c r="H50" s="61"/>
      <c r="I50" s="62"/>
      <c r="J50" s="62"/>
      <c r="K50" s="62"/>
      <c r="L50" s="62"/>
      <c r="M50" s="63"/>
      <c r="N50" s="63"/>
      <c r="O50" s="63"/>
      <c r="P50" s="63"/>
      <c r="Q50" s="63"/>
    </row>
    <row r="51" spans="4:17" s="49" customFormat="1" ht="15.75" x14ac:dyDescent="0.25">
      <c r="D51" s="60"/>
      <c r="E51" s="60"/>
      <c r="F51" s="60"/>
      <c r="G51" s="50"/>
      <c r="H51" s="61"/>
      <c r="I51" s="62"/>
      <c r="J51" s="62"/>
      <c r="K51" s="62"/>
      <c r="L51" s="62"/>
      <c r="M51" s="63"/>
      <c r="N51" s="63"/>
      <c r="O51" s="63"/>
      <c r="P51" s="63"/>
      <c r="Q51" s="63"/>
    </row>
    <row r="52" spans="4:17" s="49" customFormat="1" ht="15.75" x14ac:dyDescent="0.25">
      <c r="D52" s="60"/>
      <c r="E52" s="60"/>
      <c r="F52" s="60"/>
      <c r="G52" s="50"/>
      <c r="H52" s="61"/>
      <c r="I52" s="62"/>
      <c r="J52" s="62"/>
      <c r="K52" s="62"/>
      <c r="L52" s="62"/>
      <c r="M52" s="63"/>
      <c r="N52" s="63"/>
      <c r="O52" s="63"/>
      <c r="P52" s="63"/>
      <c r="Q52" s="63"/>
    </row>
    <row r="53" spans="4:17" s="49" customFormat="1" ht="15.75" x14ac:dyDescent="0.25">
      <c r="D53" s="60"/>
      <c r="E53" s="60"/>
      <c r="F53" s="60"/>
      <c r="G53" s="50"/>
      <c r="H53" s="61"/>
      <c r="I53" s="62"/>
      <c r="J53" s="62"/>
      <c r="K53" s="62"/>
      <c r="L53" s="62"/>
      <c r="M53" s="63"/>
      <c r="N53" s="63"/>
      <c r="O53" s="63"/>
      <c r="P53" s="63"/>
      <c r="Q53" s="63"/>
    </row>
    <row r="54" spans="4:17" s="49" customFormat="1" ht="15.75" x14ac:dyDescent="0.25">
      <c r="D54" s="60"/>
      <c r="E54" s="60"/>
      <c r="F54" s="60"/>
      <c r="G54" s="50"/>
      <c r="H54" s="61"/>
      <c r="I54" s="62"/>
      <c r="J54" s="62"/>
      <c r="K54" s="62"/>
      <c r="L54" s="62"/>
      <c r="M54" s="63"/>
      <c r="N54" s="63"/>
      <c r="O54" s="63"/>
      <c r="P54" s="63"/>
      <c r="Q54" s="63"/>
    </row>
    <row r="55" spans="4:17" s="49" customFormat="1" ht="15.75" x14ac:dyDescent="0.25">
      <c r="D55" s="60"/>
      <c r="E55" s="60"/>
      <c r="F55" s="60"/>
      <c r="G55" s="50"/>
      <c r="H55" s="61"/>
      <c r="I55" s="62"/>
      <c r="J55" s="62"/>
      <c r="K55" s="62"/>
      <c r="L55" s="62"/>
      <c r="M55" s="63"/>
      <c r="N55" s="63"/>
      <c r="O55" s="63"/>
      <c r="P55" s="63"/>
      <c r="Q55" s="63"/>
    </row>
    <row r="56" spans="4:17" s="49" customFormat="1" ht="15.75" x14ac:dyDescent="0.25">
      <c r="D56" s="60"/>
      <c r="E56" s="60"/>
      <c r="F56" s="60"/>
      <c r="G56" s="50"/>
      <c r="H56" s="61"/>
      <c r="I56" s="62"/>
      <c r="J56" s="62"/>
      <c r="K56" s="62"/>
      <c r="L56" s="62"/>
      <c r="M56" s="63"/>
      <c r="N56" s="63"/>
      <c r="O56" s="63"/>
      <c r="P56" s="63"/>
      <c r="Q56" s="63"/>
    </row>
    <row r="57" spans="4:17" s="49" customFormat="1" ht="15.75" x14ac:dyDescent="0.25">
      <c r="D57" s="60"/>
      <c r="E57" s="60"/>
      <c r="F57" s="60"/>
      <c r="G57" s="50"/>
      <c r="H57" s="61"/>
      <c r="I57" s="62"/>
      <c r="J57" s="62"/>
      <c r="K57" s="62"/>
      <c r="L57" s="62"/>
      <c r="M57" s="63"/>
      <c r="N57" s="63"/>
      <c r="O57" s="63"/>
      <c r="P57" s="63"/>
      <c r="Q57" s="63"/>
    </row>
    <row r="58" spans="4:17" s="49" customFormat="1" ht="15.75" x14ac:dyDescent="0.25">
      <c r="D58" s="60"/>
      <c r="E58" s="60"/>
      <c r="F58" s="60"/>
      <c r="G58" s="50"/>
      <c r="H58" s="61"/>
      <c r="I58" s="62"/>
      <c r="J58" s="62"/>
      <c r="K58" s="62"/>
      <c r="L58" s="62"/>
      <c r="M58" s="63"/>
      <c r="N58" s="63"/>
      <c r="O58" s="63"/>
      <c r="P58" s="63"/>
      <c r="Q58" s="63"/>
    </row>
    <row r="59" spans="4:17" s="49" customFormat="1" ht="15.75" x14ac:dyDescent="0.25">
      <c r="D59" s="60"/>
      <c r="E59" s="60"/>
      <c r="F59" s="60"/>
      <c r="G59" s="50"/>
      <c r="H59" s="61"/>
      <c r="I59" s="62"/>
      <c r="J59" s="62"/>
      <c r="K59" s="62"/>
      <c r="L59" s="62"/>
      <c r="M59" s="63"/>
      <c r="N59" s="63"/>
      <c r="O59" s="63"/>
      <c r="P59" s="63"/>
      <c r="Q59" s="63"/>
    </row>
    <row r="60" spans="4:17" s="49" customFormat="1" ht="15.75" x14ac:dyDescent="0.25">
      <c r="D60" s="60"/>
      <c r="E60" s="60"/>
      <c r="F60" s="60"/>
      <c r="G60" s="50"/>
      <c r="H60" s="61"/>
      <c r="I60" s="62"/>
      <c r="J60" s="62"/>
      <c r="K60" s="62"/>
      <c r="L60" s="62"/>
      <c r="M60" s="63"/>
      <c r="N60" s="63"/>
      <c r="O60" s="63"/>
      <c r="P60" s="63"/>
      <c r="Q60" s="63"/>
    </row>
    <row r="61" spans="4:17" s="49" customFormat="1" ht="15.75" x14ac:dyDescent="0.25">
      <c r="D61" s="60"/>
      <c r="E61" s="60"/>
      <c r="F61" s="60"/>
      <c r="G61" s="50"/>
      <c r="H61" s="61"/>
      <c r="I61" s="62"/>
      <c r="J61" s="62"/>
      <c r="K61" s="62"/>
      <c r="L61" s="62"/>
      <c r="M61" s="63"/>
      <c r="N61" s="63"/>
      <c r="O61" s="63"/>
      <c r="P61" s="63"/>
      <c r="Q61" s="63"/>
    </row>
    <row r="62" spans="4:17" s="49" customFormat="1" ht="15.75" x14ac:dyDescent="0.25">
      <c r="D62" s="60"/>
      <c r="E62" s="60"/>
      <c r="F62" s="60"/>
      <c r="G62" s="50"/>
      <c r="H62" s="61"/>
      <c r="I62" s="62"/>
      <c r="J62" s="62"/>
      <c r="K62" s="62"/>
      <c r="L62" s="62"/>
      <c r="M62" s="63"/>
      <c r="N62" s="63"/>
      <c r="O62" s="63"/>
      <c r="P62" s="63"/>
      <c r="Q62" s="63"/>
    </row>
    <row r="63" spans="4:17" s="49" customFormat="1" ht="15.75" x14ac:dyDescent="0.25">
      <c r="D63" s="60"/>
      <c r="E63" s="60"/>
      <c r="F63" s="60"/>
      <c r="G63" s="50"/>
      <c r="H63" s="61"/>
      <c r="I63" s="62"/>
      <c r="J63" s="62"/>
      <c r="K63" s="62"/>
      <c r="L63" s="62"/>
      <c r="M63" s="63"/>
      <c r="N63" s="63"/>
      <c r="O63" s="63"/>
      <c r="P63" s="63"/>
      <c r="Q63" s="63"/>
    </row>
    <row r="64" spans="4:17" s="49" customFormat="1" ht="15.75" x14ac:dyDescent="0.25">
      <c r="D64" s="60"/>
      <c r="E64" s="60"/>
      <c r="F64" s="60"/>
      <c r="G64" s="50"/>
      <c r="H64" s="61"/>
      <c r="I64" s="62"/>
      <c r="J64" s="62"/>
      <c r="K64" s="62"/>
      <c r="L64" s="62"/>
      <c r="M64" s="63"/>
      <c r="N64" s="63"/>
      <c r="O64" s="63"/>
      <c r="P64" s="63"/>
      <c r="Q64" s="63"/>
    </row>
    <row r="65" spans="4:17" s="49" customFormat="1" ht="15.75" x14ac:dyDescent="0.25">
      <c r="D65" s="60"/>
      <c r="E65" s="60"/>
      <c r="F65" s="60"/>
      <c r="G65" s="50"/>
      <c r="H65" s="61"/>
      <c r="I65" s="62"/>
      <c r="J65" s="62"/>
      <c r="K65" s="62"/>
      <c r="L65" s="62"/>
      <c r="M65" s="63"/>
      <c r="N65" s="63"/>
      <c r="O65" s="63"/>
      <c r="P65" s="63"/>
      <c r="Q65" s="63"/>
    </row>
    <row r="66" spans="4:17" s="49" customFormat="1" ht="15.75" x14ac:dyDescent="0.25">
      <c r="D66" s="60"/>
      <c r="E66" s="60"/>
      <c r="F66" s="60"/>
      <c r="G66" s="50"/>
      <c r="H66" s="61"/>
      <c r="I66" s="62"/>
      <c r="J66" s="62"/>
      <c r="K66" s="62"/>
      <c r="L66" s="62"/>
      <c r="M66" s="63"/>
      <c r="N66" s="63"/>
      <c r="O66" s="63"/>
      <c r="P66" s="63"/>
      <c r="Q66" s="63"/>
    </row>
    <row r="67" spans="4:17" s="49" customFormat="1" ht="15.75" x14ac:dyDescent="0.25">
      <c r="D67" s="60"/>
      <c r="E67" s="60"/>
      <c r="F67" s="60"/>
      <c r="G67" s="50"/>
      <c r="H67" s="61"/>
      <c r="I67" s="62"/>
      <c r="J67" s="62"/>
      <c r="K67" s="62"/>
      <c r="L67" s="62"/>
      <c r="M67" s="63"/>
      <c r="N67" s="63"/>
      <c r="O67" s="63"/>
      <c r="P67" s="63"/>
      <c r="Q67" s="63"/>
    </row>
    <row r="68" spans="4:17" s="49" customFormat="1" ht="15.75" x14ac:dyDescent="0.25">
      <c r="D68" s="60"/>
      <c r="E68" s="60"/>
      <c r="F68" s="60"/>
      <c r="G68" s="50"/>
      <c r="H68" s="61"/>
      <c r="I68" s="62"/>
      <c r="J68" s="62"/>
      <c r="K68" s="62"/>
      <c r="L68" s="62"/>
      <c r="M68" s="63"/>
      <c r="N68" s="63"/>
      <c r="O68" s="63"/>
      <c r="P68" s="63"/>
      <c r="Q68" s="63"/>
    </row>
    <row r="69" spans="4:17" s="49" customFormat="1" ht="15.75" x14ac:dyDescent="0.25">
      <c r="D69" s="60"/>
      <c r="E69" s="60"/>
      <c r="F69" s="60"/>
      <c r="G69" s="50"/>
      <c r="H69" s="61"/>
      <c r="I69" s="62"/>
      <c r="J69" s="62"/>
      <c r="K69" s="62"/>
      <c r="L69" s="62"/>
      <c r="M69" s="63"/>
      <c r="N69" s="63"/>
      <c r="O69" s="63"/>
      <c r="P69" s="63"/>
      <c r="Q69" s="63"/>
    </row>
    <row r="70" spans="4:17" s="49" customFormat="1" ht="15.75" x14ac:dyDescent="0.25">
      <c r="D70" s="60"/>
      <c r="E70" s="60"/>
      <c r="F70" s="60"/>
      <c r="G70" s="50"/>
      <c r="H70" s="61"/>
      <c r="I70" s="62"/>
      <c r="J70" s="62"/>
      <c r="K70" s="62"/>
      <c r="L70" s="62"/>
      <c r="M70" s="63"/>
      <c r="N70" s="63"/>
      <c r="O70" s="63"/>
      <c r="P70" s="63"/>
      <c r="Q70" s="63"/>
    </row>
    <row r="71" spans="4:17" s="49" customFormat="1" ht="15.75" x14ac:dyDescent="0.25">
      <c r="D71" s="60"/>
      <c r="E71" s="60"/>
      <c r="F71" s="60"/>
      <c r="G71" s="50"/>
      <c r="H71" s="61"/>
      <c r="I71" s="62"/>
      <c r="J71" s="62"/>
      <c r="K71" s="62"/>
      <c r="L71" s="62"/>
      <c r="M71" s="63"/>
      <c r="N71" s="63"/>
      <c r="O71" s="63"/>
      <c r="P71" s="63"/>
      <c r="Q71" s="63"/>
    </row>
    <row r="72" spans="4:17" s="49" customFormat="1" ht="15.75" x14ac:dyDescent="0.25">
      <c r="D72" s="60"/>
      <c r="E72" s="60"/>
      <c r="F72" s="60"/>
      <c r="G72" s="50"/>
      <c r="H72" s="61"/>
      <c r="I72" s="62"/>
      <c r="J72" s="62"/>
      <c r="K72" s="62"/>
      <c r="L72" s="62"/>
      <c r="M72" s="63"/>
      <c r="N72" s="63"/>
      <c r="O72" s="63"/>
      <c r="P72" s="63"/>
      <c r="Q72" s="63"/>
    </row>
    <row r="73" spans="4:17" s="49" customFormat="1" ht="15.75" x14ac:dyDescent="0.25">
      <c r="D73" s="60"/>
      <c r="E73" s="60"/>
      <c r="F73" s="60"/>
      <c r="G73" s="50"/>
      <c r="H73" s="61"/>
      <c r="I73" s="62"/>
      <c r="J73" s="62"/>
      <c r="K73" s="62"/>
      <c r="L73" s="62"/>
      <c r="M73" s="63"/>
      <c r="N73" s="63"/>
      <c r="O73" s="63"/>
      <c r="P73" s="63"/>
      <c r="Q73" s="63"/>
    </row>
    <row r="74" spans="4:17" s="49" customFormat="1" ht="15.75" x14ac:dyDescent="0.25">
      <c r="D74" s="60"/>
      <c r="E74" s="60"/>
      <c r="F74" s="60"/>
      <c r="G74" s="50"/>
      <c r="H74" s="61"/>
      <c r="I74" s="62"/>
      <c r="J74" s="62"/>
      <c r="K74" s="62"/>
      <c r="L74" s="62"/>
      <c r="M74" s="63"/>
      <c r="N74" s="63"/>
      <c r="O74" s="63"/>
      <c r="P74" s="63"/>
      <c r="Q74" s="63"/>
    </row>
    <row r="75" spans="4:17" s="49" customFormat="1" ht="15.75" x14ac:dyDescent="0.25">
      <c r="D75" s="60"/>
      <c r="E75" s="60"/>
      <c r="F75" s="60"/>
      <c r="G75" s="50"/>
      <c r="H75" s="61"/>
      <c r="I75" s="62"/>
      <c r="J75" s="62"/>
      <c r="K75" s="62"/>
      <c r="L75" s="62"/>
      <c r="M75" s="63"/>
      <c r="N75" s="63"/>
      <c r="O75" s="63"/>
      <c r="P75" s="63"/>
      <c r="Q75" s="63"/>
    </row>
    <row r="76" spans="4:17" s="49" customFormat="1" ht="15.75" x14ac:dyDescent="0.25">
      <c r="D76" s="60"/>
      <c r="E76" s="60"/>
      <c r="F76" s="60"/>
      <c r="G76" s="50"/>
      <c r="H76" s="61"/>
      <c r="I76" s="62"/>
      <c r="J76" s="62"/>
      <c r="K76" s="62"/>
      <c r="L76" s="62"/>
      <c r="M76" s="63"/>
      <c r="N76" s="63"/>
      <c r="O76" s="63"/>
      <c r="P76" s="63"/>
      <c r="Q76" s="63"/>
    </row>
    <row r="77" spans="4:17" s="49" customFormat="1" ht="15.75" x14ac:dyDescent="0.25">
      <c r="D77" s="60"/>
      <c r="E77" s="60"/>
      <c r="F77" s="60"/>
      <c r="G77" s="50"/>
      <c r="H77" s="61"/>
      <c r="I77" s="62"/>
      <c r="J77" s="62"/>
      <c r="K77" s="62"/>
      <c r="L77" s="62"/>
      <c r="M77" s="63"/>
      <c r="N77" s="63"/>
      <c r="O77" s="63"/>
      <c r="P77" s="63"/>
      <c r="Q77" s="63"/>
    </row>
    <row r="78" spans="4:17" s="49" customFormat="1" ht="15.75" x14ac:dyDescent="0.25">
      <c r="D78" s="60"/>
      <c r="E78" s="60"/>
      <c r="F78" s="60"/>
      <c r="G78" s="50"/>
      <c r="H78" s="61"/>
      <c r="I78" s="62"/>
      <c r="J78" s="62"/>
      <c r="K78" s="62"/>
      <c r="L78" s="62"/>
      <c r="M78" s="63"/>
      <c r="N78" s="63"/>
      <c r="O78" s="63"/>
      <c r="P78" s="63"/>
      <c r="Q78" s="63"/>
    </row>
    <row r="79" spans="4:17" s="49" customFormat="1" ht="15.75" x14ac:dyDescent="0.25">
      <c r="D79" s="60"/>
      <c r="E79" s="60"/>
      <c r="F79" s="60"/>
      <c r="G79" s="50"/>
      <c r="H79" s="61"/>
      <c r="I79" s="62"/>
      <c r="J79" s="62"/>
      <c r="K79" s="62"/>
      <c r="L79" s="62"/>
      <c r="M79" s="63"/>
      <c r="N79" s="63"/>
      <c r="O79" s="63"/>
      <c r="P79" s="63"/>
      <c r="Q79" s="63"/>
    </row>
    <row r="80" spans="4:17" s="49" customFormat="1" ht="15.75" x14ac:dyDescent="0.25">
      <c r="D80" s="60"/>
      <c r="E80" s="60"/>
      <c r="F80" s="60"/>
      <c r="G80" s="50"/>
      <c r="H80" s="61"/>
      <c r="I80" s="62"/>
      <c r="J80" s="62"/>
      <c r="K80" s="62"/>
      <c r="L80" s="62"/>
      <c r="M80" s="63"/>
      <c r="N80" s="63"/>
      <c r="O80" s="63"/>
      <c r="P80" s="63"/>
      <c r="Q80" s="63"/>
    </row>
    <row r="81" spans="4:17" s="49" customFormat="1" ht="15.75" x14ac:dyDescent="0.25">
      <c r="D81" s="60"/>
      <c r="E81" s="60"/>
      <c r="F81" s="60"/>
      <c r="G81" s="50"/>
      <c r="H81" s="61"/>
      <c r="I81" s="62"/>
      <c r="J81" s="62"/>
      <c r="K81" s="62"/>
      <c r="L81" s="62"/>
      <c r="M81" s="63"/>
      <c r="N81" s="63"/>
      <c r="O81" s="63"/>
      <c r="P81" s="63"/>
      <c r="Q81" s="63"/>
    </row>
    <row r="82" spans="4:17" s="49" customFormat="1" ht="15.75" x14ac:dyDescent="0.25">
      <c r="D82" s="60"/>
      <c r="E82" s="60"/>
      <c r="F82" s="60"/>
      <c r="G82" s="50"/>
      <c r="H82" s="61"/>
      <c r="I82" s="62"/>
      <c r="J82" s="62"/>
      <c r="K82" s="62"/>
      <c r="L82" s="62"/>
      <c r="M82" s="63"/>
      <c r="N82" s="63"/>
      <c r="O82" s="63"/>
      <c r="P82" s="63"/>
      <c r="Q82" s="63"/>
    </row>
    <row r="83" spans="4:17" s="49" customFormat="1" ht="15.75" x14ac:dyDescent="0.25">
      <c r="D83" s="60"/>
      <c r="E83" s="60"/>
      <c r="F83" s="60"/>
      <c r="G83" s="50"/>
      <c r="H83" s="61"/>
      <c r="I83" s="62"/>
      <c r="J83" s="62"/>
      <c r="K83" s="62"/>
      <c r="L83" s="62"/>
      <c r="M83" s="63"/>
      <c r="N83" s="63"/>
      <c r="O83" s="63"/>
      <c r="P83" s="63"/>
      <c r="Q83" s="63"/>
    </row>
    <row r="84" spans="4:17" s="49" customFormat="1" ht="15.75" x14ac:dyDescent="0.25">
      <c r="D84" s="60"/>
      <c r="E84" s="60"/>
      <c r="F84" s="60"/>
      <c r="G84" s="50"/>
      <c r="H84" s="61"/>
      <c r="I84" s="62"/>
      <c r="J84" s="62"/>
      <c r="K84" s="62"/>
      <c r="L84" s="62"/>
      <c r="M84" s="63"/>
      <c r="N84" s="63"/>
      <c r="O84" s="63"/>
      <c r="P84" s="63"/>
      <c r="Q84" s="63"/>
    </row>
    <row r="85" spans="4:17" s="49" customFormat="1" ht="15.75" x14ac:dyDescent="0.25">
      <c r="D85" s="60"/>
      <c r="E85" s="60"/>
      <c r="F85" s="60"/>
      <c r="G85" s="50"/>
      <c r="H85" s="61"/>
      <c r="I85" s="62"/>
      <c r="J85" s="62"/>
      <c r="K85" s="62"/>
      <c r="L85" s="62"/>
      <c r="M85" s="63"/>
      <c r="N85" s="63"/>
      <c r="O85" s="63"/>
      <c r="P85" s="63"/>
      <c r="Q85" s="63"/>
    </row>
    <row r="86" spans="4:17" s="49" customFormat="1" ht="15.75" x14ac:dyDescent="0.25">
      <c r="D86" s="60"/>
      <c r="E86" s="60"/>
      <c r="F86" s="60"/>
      <c r="G86" s="50"/>
      <c r="H86" s="61"/>
      <c r="I86" s="62"/>
      <c r="J86" s="62"/>
      <c r="K86" s="62"/>
      <c r="L86" s="62"/>
      <c r="M86" s="63"/>
      <c r="N86" s="63"/>
      <c r="O86" s="63"/>
      <c r="P86" s="63"/>
      <c r="Q86" s="63"/>
    </row>
    <row r="87" spans="4:17" s="49" customFormat="1" ht="15.75" x14ac:dyDescent="0.25">
      <c r="D87" s="60"/>
      <c r="E87" s="60"/>
      <c r="F87" s="60"/>
      <c r="G87" s="50"/>
      <c r="H87" s="61"/>
      <c r="I87" s="62"/>
      <c r="J87" s="62"/>
      <c r="K87" s="62"/>
      <c r="L87" s="62"/>
      <c r="M87" s="63"/>
      <c r="N87" s="63"/>
      <c r="O87" s="63"/>
      <c r="P87" s="63"/>
      <c r="Q87" s="63"/>
    </row>
    <row r="88" spans="4:17" s="49" customFormat="1" ht="15.75" x14ac:dyDescent="0.25">
      <c r="D88" s="60"/>
      <c r="E88" s="60"/>
      <c r="F88" s="60"/>
      <c r="G88" s="50"/>
      <c r="H88" s="61"/>
      <c r="I88" s="62"/>
      <c r="J88" s="62"/>
      <c r="K88" s="62"/>
      <c r="L88" s="62"/>
      <c r="M88" s="63"/>
      <c r="N88" s="63"/>
      <c r="O88" s="63"/>
      <c r="P88" s="63"/>
      <c r="Q88" s="63"/>
    </row>
    <row r="89" spans="4:17" s="49" customFormat="1" ht="15.75" x14ac:dyDescent="0.25">
      <c r="D89" s="60"/>
      <c r="E89" s="60"/>
      <c r="F89" s="60"/>
      <c r="G89" s="50"/>
      <c r="H89" s="61"/>
      <c r="I89" s="62"/>
      <c r="J89" s="62"/>
      <c r="K89" s="62"/>
      <c r="L89" s="62"/>
      <c r="M89" s="63"/>
      <c r="N89" s="63"/>
      <c r="O89" s="63"/>
      <c r="P89" s="63"/>
      <c r="Q89" s="63"/>
    </row>
    <row r="90" spans="4:17" s="49" customFormat="1" ht="15.75" x14ac:dyDescent="0.25">
      <c r="D90" s="60"/>
      <c r="E90" s="60"/>
      <c r="F90" s="60"/>
      <c r="G90" s="50"/>
      <c r="H90" s="61"/>
      <c r="I90" s="62"/>
      <c r="J90" s="62"/>
      <c r="K90" s="62"/>
      <c r="L90" s="62"/>
      <c r="M90" s="63"/>
      <c r="N90" s="63"/>
      <c r="O90" s="63"/>
      <c r="P90" s="63"/>
      <c r="Q90" s="63"/>
    </row>
    <row r="91" spans="4:17" s="49" customFormat="1" ht="15.75" x14ac:dyDescent="0.25">
      <c r="D91" s="60"/>
      <c r="E91" s="60"/>
      <c r="F91" s="60"/>
      <c r="G91" s="50"/>
      <c r="H91" s="61"/>
      <c r="I91" s="62"/>
      <c r="J91" s="62"/>
      <c r="K91" s="62"/>
      <c r="L91" s="62"/>
      <c r="M91" s="63"/>
      <c r="N91" s="63"/>
      <c r="O91" s="63"/>
      <c r="P91" s="63"/>
      <c r="Q91" s="63"/>
    </row>
    <row r="92" spans="4:17" s="49" customFormat="1" ht="15.75" x14ac:dyDescent="0.25">
      <c r="D92" s="60"/>
      <c r="E92" s="60"/>
      <c r="F92" s="60"/>
      <c r="G92" s="50"/>
      <c r="H92" s="61"/>
      <c r="I92" s="62"/>
      <c r="J92" s="62"/>
      <c r="K92" s="62"/>
      <c r="L92" s="62"/>
      <c r="M92" s="63"/>
      <c r="N92" s="63"/>
      <c r="O92" s="63"/>
      <c r="P92" s="63"/>
      <c r="Q92" s="63"/>
    </row>
    <row r="93" spans="4:17" s="49" customFormat="1" ht="15.75" x14ac:dyDescent="0.25">
      <c r="D93" s="60"/>
      <c r="E93" s="60"/>
      <c r="F93" s="60"/>
      <c r="G93" s="50"/>
      <c r="H93" s="61"/>
      <c r="I93" s="62"/>
      <c r="J93" s="62"/>
      <c r="K93" s="62"/>
      <c r="L93" s="62"/>
      <c r="M93" s="63"/>
      <c r="N93" s="63"/>
      <c r="O93" s="63"/>
      <c r="P93" s="63"/>
      <c r="Q93" s="63"/>
    </row>
    <row r="94" spans="4:17" s="49" customFormat="1" ht="15.75" x14ac:dyDescent="0.25">
      <c r="D94" s="60"/>
      <c r="E94" s="60"/>
      <c r="F94" s="60"/>
      <c r="G94" s="50"/>
      <c r="H94" s="61"/>
      <c r="I94" s="62"/>
      <c r="J94" s="62"/>
      <c r="K94" s="62"/>
      <c r="L94" s="62"/>
      <c r="M94" s="63"/>
      <c r="N94" s="63"/>
      <c r="O94" s="63"/>
      <c r="P94" s="63"/>
      <c r="Q94" s="63"/>
    </row>
    <row r="95" spans="4:17" s="49" customFormat="1" ht="15.75" x14ac:dyDescent="0.25">
      <c r="D95" s="60"/>
      <c r="E95" s="60"/>
      <c r="F95" s="60"/>
      <c r="G95" s="50"/>
      <c r="H95" s="61"/>
      <c r="I95" s="62"/>
      <c r="J95" s="62"/>
      <c r="K95" s="62"/>
      <c r="L95" s="62"/>
      <c r="M95" s="63"/>
      <c r="N95" s="63"/>
      <c r="O95" s="63"/>
      <c r="P95" s="63"/>
      <c r="Q95" s="63"/>
    </row>
    <row r="96" spans="4:17" s="49" customFormat="1" ht="15.75" x14ac:dyDescent="0.25">
      <c r="D96" s="60"/>
      <c r="E96" s="60"/>
      <c r="F96" s="60"/>
      <c r="G96" s="50"/>
      <c r="H96" s="61"/>
      <c r="I96" s="62"/>
      <c r="J96" s="62"/>
      <c r="K96" s="62"/>
      <c r="L96" s="62"/>
      <c r="M96" s="63"/>
      <c r="N96" s="63"/>
      <c r="O96" s="63"/>
      <c r="P96" s="63"/>
      <c r="Q96" s="63"/>
    </row>
    <row r="97" spans="4:17" s="49" customFormat="1" ht="15.75" x14ac:dyDescent="0.25">
      <c r="D97" s="60"/>
      <c r="E97" s="60"/>
      <c r="F97" s="60"/>
      <c r="G97" s="50"/>
      <c r="H97" s="61"/>
      <c r="I97" s="62"/>
      <c r="J97" s="62"/>
      <c r="K97" s="62"/>
      <c r="L97" s="62"/>
      <c r="M97" s="63"/>
      <c r="N97" s="63"/>
      <c r="O97" s="63"/>
      <c r="P97" s="63"/>
      <c r="Q97" s="63"/>
    </row>
    <row r="98" spans="4:17" s="49" customFormat="1" ht="15.75" x14ac:dyDescent="0.25">
      <c r="D98" s="60"/>
      <c r="E98" s="60"/>
      <c r="F98" s="60"/>
      <c r="G98" s="50"/>
      <c r="H98" s="61"/>
      <c r="I98" s="62"/>
      <c r="J98" s="62"/>
      <c r="K98" s="62"/>
      <c r="L98" s="62"/>
      <c r="M98" s="63"/>
      <c r="N98" s="63"/>
      <c r="O98" s="63"/>
      <c r="P98" s="63"/>
      <c r="Q98" s="63"/>
    </row>
    <row r="99" spans="4:17" s="49" customFormat="1" ht="15.75" x14ac:dyDescent="0.25">
      <c r="D99" s="60"/>
      <c r="E99" s="60"/>
      <c r="F99" s="60"/>
      <c r="G99" s="50"/>
      <c r="H99" s="61"/>
      <c r="I99" s="62"/>
      <c r="J99" s="62"/>
      <c r="K99" s="62"/>
      <c r="L99" s="62"/>
      <c r="M99" s="63"/>
      <c r="N99" s="63"/>
      <c r="O99" s="63"/>
      <c r="P99" s="63"/>
      <c r="Q99" s="63"/>
    </row>
    <row r="100" spans="4:17" s="49" customFormat="1" ht="15.75" x14ac:dyDescent="0.25">
      <c r="D100" s="60"/>
      <c r="E100" s="60"/>
      <c r="F100" s="60"/>
      <c r="G100" s="50"/>
      <c r="H100" s="61"/>
      <c r="I100" s="62"/>
      <c r="J100" s="62"/>
      <c r="K100" s="62"/>
      <c r="L100" s="62"/>
      <c r="M100" s="63"/>
      <c r="N100" s="63"/>
      <c r="O100" s="63"/>
      <c r="P100" s="63"/>
      <c r="Q100" s="63"/>
    </row>
    <row r="101" spans="4:17" s="49" customFormat="1" ht="15.75" x14ac:dyDescent="0.25">
      <c r="D101" s="60"/>
      <c r="E101" s="60"/>
      <c r="F101" s="60"/>
      <c r="G101" s="50"/>
      <c r="H101" s="61"/>
      <c r="I101" s="62"/>
      <c r="J101" s="62"/>
      <c r="K101" s="62"/>
      <c r="L101" s="62"/>
      <c r="M101" s="63"/>
      <c r="N101" s="63"/>
      <c r="O101" s="63"/>
      <c r="P101" s="63"/>
      <c r="Q101" s="63"/>
    </row>
    <row r="102" spans="4:17" s="49" customFormat="1" ht="15.75" x14ac:dyDescent="0.25">
      <c r="D102" s="60"/>
      <c r="E102" s="60"/>
      <c r="F102" s="60"/>
      <c r="G102" s="50"/>
      <c r="H102" s="61"/>
      <c r="I102" s="62"/>
      <c r="J102" s="62"/>
      <c r="K102" s="62"/>
      <c r="L102" s="62"/>
      <c r="M102" s="63"/>
      <c r="N102" s="63"/>
      <c r="O102" s="63"/>
      <c r="P102" s="63"/>
      <c r="Q102" s="63"/>
    </row>
    <row r="103" spans="4:17" s="49" customFormat="1" ht="15.75" x14ac:dyDescent="0.25">
      <c r="D103" s="60"/>
      <c r="E103" s="60"/>
      <c r="F103" s="60"/>
      <c r="G103" s="50"/>
      <c r="H103" s="61"/>
      <c r="I103" s="62"/>
      <c r="J103" s="62"/>
      <c r="K103" s="62"/>
      <c r="L103" s="62"/>
      <c r="M103" s="63"/>
      <c r="N103" s="63"/>
      <c r="O103" s="63"/>
      <c r="P103" s="63"/>
      <c r="Q103" s="63"/>
    </row>
    <row r="104" spans="4:17" s="49" customFormat="1" ht="15.75" x14ac:dyDescent="0.25">
      <c r="D104" s="60"/>
      <c r="E104" s="60"/>
      <c r="F104" s="60"/>
      <c r="G104" s="50"/>
      <c r="H104" s="61"/>
      <c r="I104" s="62"/>
      <c r="J104" s="62"/>
      <c r="K104" s="62"/>
      <c r="L104" s="62"/>
      <c r="M104" s="63"/>
      <c r="N104" s="63"/>
      <c r="O104" s="63"/>
      <c r="P104" s="63"/>
      <c r="Q104" s="63"/>
    </row>
    <row r="105" spans="4:17" s="49" customFormat="1" ht="15.75" x14ac:dyDescent="0.25">
      <c r="D105" s="60"/>
      <c r="E105" s="60"/>
      <c r="F105" s="60"/>
      <c r="G105" s="50"/>
      <c r="H105" s="61"/>
      <c r="I105" s="62"/>
      <c r="J105" s="62"/>
      <c r="K105" s="62"/>
      <c r="L105" s="62"/>
      <c r="M105" s="63"/>
      <c r="N105" s="63"/>
      <c r="O105" s="63"/>
      <c r="P105" s="63"/>
      <c r="Q105" s="63"/>
    </row>
    <row r="106" spans="4:17" s="49" customFormat="1" ht="15.75" x14ac:dyDescent="0.25">
      <c r="D106" s="60"/>
      <c r="E106" s="60"/>
      <c r="F106" s="60"/>
      <c r="G106" s="50"/>
      <c r="H106" s="61"/>
      <c r="I106" s="62"/>
      <c r="J106" s="62"/>
      <c r="K106" s="62"/>
      <c r="L106" s="62"/>
      <c r="M106" s="63"/>
      <c r="N106" s="63"/>
      <c r="O106" s="63"/>
      <c r="P106" s="63"/>
      <c r="Q106" s="63"/>
    </row>
    <row r="107" spans="4:17" s="49" customFormat="1" ht="15.75" x14ac:dyDescent="0.25">
      <c r="D107" s="60"/>
      <c r="E107" s="60"/>
      <c r="F107" s="60"/>
      <c r="G107" s="50"/>
      <c r="H107" s="61"/>
      <c r="I107" s="44"/>
      <c r="J107" s="44"/>
      <c r="K107" s="44"/>
      <c r="L107" s="44"/>
      <c r="M107" s="64"/>
      <c r="N107" s="64"/>
    </row>
    <row r="108" spans="4:17" s="49" customFormat="1" ht="15.75" x14ac:dyDescent="0.25">
      <c r="D108" s="60"/>
      <c r="E108" s="60"/>
      <c r="F108" s="60"/>
      <c r="G108" s="50"/>
      <c r="H108" s="61"/>
      <c r="I108" s="44"/>
      <c r="J108" s="44"/>
      <c r="K108" s="44"/>
      <c r="L108" s="44"/>
      <c r="M108" s="64"/>
      <c r="N108" s="64"/>
    </row>
    <row r="109" spans="4:17" s="49" customFormat="1" ht="15.75" x14ac:dyDescent="0.25">
      <c r="D109" s="60"/>
      <c r="E109" s="60"/>
      <c r="F109" s="60"/>
      <c r="G109" s="50"/>
      <c r="H109" s="61"/>
      <c r="I109" s="44"/>
      <c r="J109" s="44"/>
      <c r="K109" s="44"/>
      <c r="L109" s="44"/>
      <c r="M109" s="64"/>
      <c r="N109" s="64"/>
    </row>
    <row r="110" spans="4:17" s="49" customFormat="1" ht="15.75" x14ac:dyDescent="0.25">
      <c r="D110" s="60"/>
      <c r="E110" s="60"/>
      <c r="F110" s="60"/>
      <c r="G110" s="50"/>
      <c r="H110" s="61"/>
      <c r="I110" s="44"/>
      <c r="J110" s="44"/>
      <c r="K110" s="44"/>
      <c r="L110" s="44"/>
      <c r="M110" s="64"/>
      <c r="N110" s="64"/>
    </row>
    <row r="111" spans="4:17" s="49" customFormat="1" ht="15.75" x14ac:dyDescent="0.25">
      <c r="D111" s="60"/>
      <c r="E111" s="60"/>
      <c r="F111" s="60"/>
      <c r="G111" s="50"/>
      <c r="H111" s="61"/>
      <c r="I111" s="44"/>
      <c r="J111" s="44"/>
      <c r="K111" s="44"/>
      <c r="L111" s="44"/>
      <c r="M111" s="64"/>
      <c r="N111" s="64"/>
    </row>
    <row r="112" spans="4:17" s="49" customFormat="1" ht="15.75" x14ac:dyDescent="0.25">
      <c r="D112" s="60"/>
      <c r="E112" s="60"/>
      <c r="F112" s="60"/>
      <c r="G112" s="50"/>
      <c r="H112" s="61"/>
      <c r="I112" s="44"/>
      <c r="J112" s="44"/>
      <c r="K112" s="44"/>
      <c r="L112" s="44"/>
      <c r="M112" s="64"/>
      <c r="N112" s="64"/>
    </row>
    <row r="113" spans="4:14" s="49" customFormat="1" ht="15.75" x14ac:dyDescent="0.25">
      <c r="D113" s="60"/>
      <c r="E113" s="60"/>
      <c r="F113" s="60"/>
      <c r="G113" s="50"/>
      <c r="H113" s="61"/>
      <c r="I113" s="44"/>
      <c r="J113" s="44"/>
      <c r="K113" s="44"/>
      <c r="L113" s="44"/>
      <c r="M113" s="64"/>
      <c r="N113" s="64"/>
    </row>
    <row r="114" spans="4:14" s="49" customFormat="1" ht="15.75" x14ac:dyDescent="0.25">
      <c r="D114" s="60"/>
      <c r="E114" s="60"/>
      <c r="F114" s="60"/>
      <c r="G114" s="50"/>
      <c r="H114" s="61"/>
      <c r="I114" s="44"/>
      <c r="J114" s="44"/>
      <c r="K114" s="44"/>
      <c r="L114" s="44"/>
      <c r="M114" s="64"/>
      <c r="N114" s="64"/>
    </row>
    <row r="115" spans="4:14" s="49" customFormat="1" ht="15.75" x14ac:dyDescent="0.25">
      <c r="D115" s="60"/>
      <c r="E115" s="60"/>
      <c r="F115" s="60"/>
      <c r="G115" s="50"/>
      <c r="H115" s="61"/>
      <c r="I115" s="44"/>
      <c r="J115" s="44"/>
      <c r="K115" s="44"/>
      <c r="L115" s="44"/>
      <c r="M115" s="64"/>
      <c r="N115" s="64"/>
    </row>
    <row r="116" spans="4:14" s="49" customFormat="1" ht="15.75" x14ac:dyDescent="0.25">
      <c r="D116" s="60"/>
      <c r="E116" s="60"/>
      <c r="F116" s="60"/>
      <c r="G116" s="50"/>
      <c r="H116" s="61"/>
      <c r="I116" s="44"/>
      <c r="J116" s="44"/>
      <c r="K116" s="44"/>
      <c r="L116" s="44"/>
      <c r="M116" s="64"/>
      <c r="N116" s="64"/>
    </row>
    <row r="117" spans="4:14" s="49" customFormat="1" ht="15.75" x14ac:dyDescent="0.25">
      <c r="D117" s="60"/>
      <c r="E117" s="60"/>
      <c r="F117" s="60"/>
      <c r="G117" s="50"/>
      <c r="H117" s="61"/>
      <c r="I117" s="44"/>
      <c r="J117" s="44"/>
      <c r="K117" s="44"/>
      <c r="L117" s="44"/>
      <c r="M117" s="64"/>
      <c r="N117" s="64"/>
    </row>
    <row r="118" spans="4:14" s="49" customFormat="1" ht="15.75" x14ac:dyDescent="0.25">
      <c r="D118" s="60"/>
      <c r="E118" s="60"/>
      <c r="F118" s="60"/>
      <c r="G118" s="50"/>
      <c r="H118" s="61"/>
      <c r="I118" s="44"/>
      <c r="J118" s="44"/>
      <c r="K118" s="44"/>
      <c r="L118" s="44"/>
      <c r="M118" s="64"/>
      <c r="N118" s="64"/>
    </row>
    <row r="119" spans="4:14" s="49" customFormat="1" ht="15.75" x14ac:dyDescent="0.25">
      <c r="D119" s="60"/>
      <c r="E119" s="60"/>
      <c r="F119" s="60"/>
      <c r="G119" s="50"/>
      <c r="H119" s="61"/>
      <c r="I119" s="44"/>
      <c r="J119" s="44"/>
      <c r="K119" s="44"/>
      <c r="L119" s="44"/>
      <c r="M119" s="64"/>
      <c r="N119" s="64"/>
    </row>
    <row r="120" spans="4:14" s="49" customFormat="1" ht="15.75" x14ac:dyDescent="0.25">
      <c r="D120" s="60"/>
      <c r="E120" s="60"/>
      <c r="F120" s="60"/>
      <c r="G120" s="50"/>
      <c r="H120" s="61"/>
      <c r="I120" s="44"/>
      <c r="J120" s="44"/>
      <c r="K120" s="44"/>
      <c r="L120" s="44"/>
      <c r="M120" s="64"/>
      <c r="N120" s="64"/>
    </row>
    <row r="121" spans="4:14" s="49" customFormat="1" ht="15.75" x14ac:dyDescent="0.25">
      <c r="D121" s="60"/>
      <c r="E121" s="60"/>
      <c r="F121" s="60"/>
      <c r="G121" s="50"/>
      <c r="H121" s="61"/>
      <c r="I121" s="44"/>
      <c r="J121" s="44"/>
      <c r="K121" s="44"/>
      <c r="L121" s="44"/>
      <c r="M121" s="64"/>
      <c r="N121" s="64"/>
    </row>
    <row r="122" spans="4:14" s="49" customFormat="1" ht="15.75" x14ac:dyDescent="0.25">
      <c r="D122" s="60"/>
      <c r="E122" s="60"/>
      <c r="F122" s="60"/>
      <c r="G122" s="50"/>
      <c r="H122" s="61"/>
      <c r="I122" s="44"/>
      <c r="J122" s="44"/>
      <c r="K122" s="44"/>
      <c r="L122" s="44"/>
      <c r="M122" s="64"/>
      <c r="N122" s="64"/>
    </row>
    <row r="123" spans="4:14" s="49" customFormat="1" ht="15.75" x14ac:dyDescent="0.25">
      <c r="D123" s="60"/>
      <c r="E123" s="60"/>
      <c r="F123" s="60"/>
      <c r="G123" s="50"/>
      <c r="H123" s="61"/>
      <c r="I123" s="44"/>
      <c r="J123" s="44"/>
      <c r="K123" s="44"/>
      <c r="L123" s="44"/>
      <c r="M123" s="64"/>
      <c r="N123" s="64"/>
    </row>
    <row r="124" spans="4:14" s="49" customFormat="1" ht="15.75" x14ac:dyDescent="0.25">
      <c r="D124" s="60"/>
      <c r="E124" s="60"/>
      <c r="F124" s="60"/>
      <c r="G124" s="50"/>
      <c r="H124" s="61"/>
      <c r="I124" s="44"/>
      <c r="J124" s="44"/>
      <c r="K124" s="44"/>
      <c r="L124" s="44"/>
      <c r="M124" s="64"/>
      <c r="N124" s="64"/>
    </row>
    <row r="125" spans="4:14" s="49" customFormat="1" ht="15.75" x14ac:dyDescent="0.25">
      <c r="D125" s="60"/>
      <c r="E125" s="60"/>
      <c r="F125" s="60"/>
      <c r="G125" s="50"/>
      <c r="H125" s="61"/>
      <c r="I125" s="44"/>
      <c r="J125" s="44"/>
      <c r="K125" s="44"/>
      <c r="L125" s="44"/>
      <c r="M125" s="64"/>
      <c r="N125" s="64"/>
    </row>
    <row r="126" spans="4:14" s="49" customFormat="1" ht="15.75" x14ac:dyDescent="0.25">
      <c r="D126" s="60"/>
      <c r="E126" s="60"/>
      <c r="F126" s="60"/>
      <c r="G126" s="50"/>
      <c r="H126" s="61"/>
      <c r="I126" s="44"/>
      <c r="J126" s="44"/>
      <c r="K126" s="44"/>
      <c r="L126" s="44"/>
      <c r="M126" s="64"/>
      <c r="N126" s="64"/>
    </row>
    <row r="127" spans="4:14" s="49" customFormat="1" ht="15.75" x14ac:dyDescent="0.25">
      <c r="D127" s="60"/>
      <c r="E127" s="60"/>
      <c r="F127" s="60"/>
      <c r="G127" s="50"/>
      <c r="H127" s="61"/>
      <c r="I127" s="44"/>
      <c r="J127" s="44"/>
      <c r="K127" s="44"/>
      <c r="L127" s="44"/>
      <c r="M127" s="64"/>
      <c r="N127" s="64"/>
    </row>
    <row r="128" spans="4:14" s="49" customFormat="1" ht="15.75" x14ac:dyDescent="0.25">
      <c r="D128" s="60"/>
      <c r="E128" s="60"/>
      <c r="F128" s="60"/>
      <c r="G128" s="50"/>
      <c r="H128" s="61"/>
      <c r="I128" s="44"/>
      <c r="J128" s="44"/>
      <c r="K128" s="44"/>
      <c r="L128" s="44"/>
      <c r="M128" s="64"/>
      <c r="N128" s="64"/>
    </row>
    <row r="129" spans="4:14" s="49" customFormat="1" ht="15.75" x14ac:dyDescent="0.25">
      <c r="D129" s="60"/>
      <c r="E129" s="60"/>
      <c r="F129" s="60"/>
      <c r="G129" s="50"/>
      <c r="H129" s="61"/>
      <c r="I129" s="44"/>
      <c r="J129" s="44"/>
      <c r="K129" s="44"/>
      <c r="L129" s="44"/>
      <c r="M129" s="64"/>
      <c r="N129" s="64"/>
    </row>
    <row r="130" spans="4:14" s="49" customFormat="1" ht="15.75" x14ac:dyDescent="0.25">
      <c r="D130" s="60"/>
      <c r="E130" s="60"/>
      <c r="F130" s="60"/>
      <c r="G130" s="50"/>
      <c r="H130" s="61"/>
      <c r="I130" s="44"/>
      <c r="J130" s="44"/>
      <c r="K130" s="44"/>
      <c r="L130" s="44"/>
      <c r="M130" s="64"/>
      <c r="N130" s="64"/>
    </row>
    <row r="131" spans="4:14" s="49" customFormat="1" ht="15.75" x14ac:dyDescent="0.25">
      <c r="D131" s="60"/>
      <c r="E131" s="60"/>
      <c r="F131" s="60"/>
      <c r="G131" s="50"/>
      <c r="H131" s="61"/>
      <c r="I131" s="44"/>
      <c r="J131" s="44"/>
      <c r="K131" s="44"/>
      <c r="L131" s="44"/>
      <c r="M131" s="64"/>
      <c r="N131" s="64"/>
    </row>
    <row r="132" spans="4:14" s="49" customFormat="1" ht="15.75" x14ac:dyDescent="0.25">
      <c r="D132" s="60"/>
      <c r="E132" s="60"/>
      <c r="F132" s="60"/>
      <c r="G132" s="50"/>
      <c r="H132" s="61"/>
      <c r="I132" s="44"/>
      <c r="J132" s="44"/>
      <c r="K132" s="44"/>
      <c r="L132" s="44"/>
      <c r="M132" s="64"/>
      <c r="N132" s="64"/>
    </row>
    <row r="133" spans="4:14" s="49" customFormat="1" ht="15.75" x14ac:dyDescent="0.25">
      <c r="D133" s="60"/>
      <c r="E133" s="60"/>
      <c r="F133" s="60"/>
      <c r="G133" s="50"/>
      <c r="H133" s="61"/>
      <c r="I133" s="44"/>
      <c r="J133" s="44"/>
      <c r="K133" s="44"/>
      <c r="L133" s="44"/>
      <c r="M133" s="64"/>
      <c r="N133" s="64"/>
    </row>
    <row r="134" spans="4:14" s="49" customFormat="1" ht="15.75" x14ac:dyDescent="0.25">
      <c r="D134" s="60"/>
      <c r="E134" s="60"/>
      <c r="F134" s="60"/>
      <c r="G134" s="50"/>
      <c r="H134" s="61"/>
      <c r="I134" s="44"/>
      <c r="J134" s="44"/>
      <c r="K134" s="44"/>
      <c r="L134" s="44"/>
      <c r="M134" s="64"/>
      <c r="N134" s="64"/>
    </row>
    <row r="135" spans="4:14" s="49" customFormat="1" ht="15.75" x14ac:dyDescent="0.25">
      <c r="D135" s="60"/>
      <c r="E135" s="60"/>
      <c r="F135" s="60"/>
      <c r="G135" s="50"/>
      <c r="H135" s="61"/>
      <c r="I135" s="44"/>
      <c r="J135" s="44"/>
      <c r="K135" s="44"/>
      <c r="L135" s="44"/>
      <c r="M135" s="64"/>
      <c r="N135" s="64"/>
    </row>
    <row r="136" spans="4:14" s="49" customFormat="1" ht="15.75" x14ac:dyDescent="0.25">
      <c r="D136" s="60"/>
      <c r="E136" s="60"/>
      <c r="F136" s="60"/>
      <c r="G136" s="50"/>
      <c r="H136" s="61"/>
      <c r="I136" s="44"/>
      <c r="J136" s="44"/>
      <c r="K136" s="44"/>
      <c r="L136" s="44"/>
      <c r="M136" s="64"/>
      <c r="N136" s="64"/>
    </row>
    <row r="137" spans="4:14" s="49" customFormat="1" ht="15.75" x14ac:dyDescent="0.25">
      <c r="D137" s="60"/>
      <c r="E137" s="60"/>
      <c r="F137" s="60"/>
      <c r="G137" s="50"/>
      <c r="H137" s="61"/>
      <c r="I137" s="44"/>
      <c r="J137" s="44"/>
      <c r="K137" s="44"/>
      <c r="L137" s="44"/>
      <c r="M137" s="64"/>
      <c r="N137" s="64"/>
    </row>
    <row r="138" spans="4:14" s="49" customFormat="1" ht="15.75" x14ac:dyDescent="0.25">
      <c r="D138" s="60"/>
      <c r="E138" s="60"/>
      <c r="F138" s="60"/>
      <c r="G138" s="50"/>
      <c r="H138" s="61"/>
      <c r="I138" s="44"/>
      <c r="J138" s="44"/>
      <c r="K138" s="44"/>
      <c r="L138" s="44"/>
      <c r="M138" s="64"/>
      <c r="N138" s="64"/>
    </row>
    <row r="139" spans="4:14" s="49" customFormat="1" ht="15.75" x14ac:dyDescent="0.25">
      <c r="D139" s="60"/>
      <c r="E139" s="60"/>
      <c r="F139" s="60"/>
      <c r="G139" s="50"/>
      <c r="H139" s="61"/>
      <c r="I139" s="44"/>
      <c r="J139" s="44"/>
      <c r="K139" s="44"/>
      <c r="L139" s="44"/>
      <c r="M139" s="64"/>
      <c r="N139" s="64"/>
    </row>
    <row r="140" spans="4:14" s="49" customFormat="1" ht="15.75" x14ac:dyDescent="0.25">
      <c r="D140" s="60"/>
      <c r="E140" s="60"/>
      <c r="F140" s="60"/>
      <c r="G140" s="50"/>
      <c r="H140" s="61"/>
      <c r="I140" s="44"/>
      <c r="J140" s="44"/>
      <c r="K140" s="44"/>
      <c r="L140" s="44"/>
      <c r="M140" s="64"/>
      <c r="N140" s="64"/>
    </row>
    <row r="141" spans="4:14" s="49" customFormat="1" ht="15.75" x14ac:dyDescent="0.25">
      <c r="D141" s="60"/>
      <c r="E141" s="60"/>
      <c r="F141" s="60"/>
      <c r="G141" s="50"/>
      <c r="H141" s="61"/>
      <c r="I141" s="44"/>
      <c r="J141" s="44"/>
      <c r="K141" s="44"/>
      <c r="L141" s="44"/>
      <c r="M141" s="64"/>
      <c r="N141" s="64"/>
    </row>
    <row r="142" spans="4:14" s="49" customFormat="1" ht="15.75" x14ac:dyDescent="0.25">
      <c r="D142" s="60"/>
      <c r="E142" s="60"/>
      <c r="F142" s="60"/>
      <c r="G142" s="50"/>
      <c r="H142" s="61"/>
      <c r="I142" s="44"/>
      <c r="J142" s="44"/>
      <c r="K142" s="44"/>
      <c r="L142" s="44"/>
      <c r="M142" s="64"/>
      <c r="N142" s="64"/>
    </row>
    <row r="143" spans="4:14" s="49" customFormat="1" ht="15.75" x14ac:dyDescent="0.25">
      <c r="D143" s="60"/>
      <c r="E143" s="60"/>
      <c r="F143" s="60"/>
      <c r="G143" s="50"/>
      <c r="H143" s="61"/>
      <c r="I143" s="44"/>
      <c r="J143" s="44"/>
      <c r="K143" s="44"/>
      <c r="L143" s="44"/>
      <c r="M143" s="64"/>
      <c r="N143" s="64"/>
    </row>
    <row r="144" spans="4:14" s="49" customFormat="1" ht="15.75" x14ac:dyDescent="0.25">
      <c r="D144" s="60"/>
      <c r="E144" s="60"/>
      <c r="F144" s="60"/>
      <c r="G144" s="50"/>
      <c r="H144" s="61"/>
      <c r="I144" s="44"/>
      <c r="J144" s="44"/>
      <c r="K144" s="44"/>
      <c r="L144" s="44"/>
      <c r="M144" s="64"/>
      <c r="N144" s="64"/>
    </row>
    <row r="145" spans="3:17" s="49" customFormat="1" ht="15.75" x14ac:dyDescent="0.25">
      <c r="D145" s="60"/>
      <c r="E145" s="60"/>
      <c r="F145" s="60"/>
      <c r="G145" s="50"/>
      <c r="H145" s="61"/>
      <c r="I145" s="44"/>
      <c r="J145" s="44"/>
      <c r="K145" s="44"/>
      <c r="L145" s="44"/>
      <c r="M145" s="64"/>
      <c r="N145" s="64"/>
    </row>
    <row r="146" spans="3:17" s="49" customFormat="1" ht="15.75" x14ac:dyDescent="0.25">
      <c r="D146" s="60"/>
      <c r="E146" s="60"/>
      <c r="F146" s="60"/>
      <c r="G146" s="50"/>
      <c r="H146" s="61"/>
      <c r="I146" s="44"/>
      <c r="J146" s="44"/>
      <c r="K146" s="44"/>
      <c r="L146" s="44"/>
      <c r="M146" s="64"/>
      <c r="N146" s="64"/>
    </row>
    <row r="147" spans="3:17" s="49" customFormat="1" ht="15.75" x14ac:dyDescent="0.25">
      <c r="D147" s="60"/>
      <c r="E147" s="60"/>
      <c r="F147" s="60"/>
      <c r="G147" s="50"/>
      <c r="H147" s="61"/>
      <c r="I147" s="44"/>
      <c r="J147" s="44"/>
      <c r="K147" s="44"/>
      <c r="L147" s="44"/>
      <c r="M147" s="64"/>
      <c r="N147" s="64"/>
    </row>
    <row r="148" spans="3:17" s="49" customFormat="1" ht="15.75" x14ac:dyDescent="0.25">
      <c r="D148" s="60"/>
      <c r="E148" s="60"/>
      <c r="F148" s="60"/>
      <c r="G148" s="50"/>
      <c r="H148" s="61"/>
      <c r="I148" s="44"/>
      <c r="J148" s="44"/>
      <c r="K148" s="44"/>
      <c r="L148" s="44"/>
      <c r="M148" s="64"/>
      <c r="N148" s="64"/>
    </row>
    <row r="149" spans="3:17" s="49" customFormat="1" ht="15.75" x14ac:dyDescent="0.25">
      <c r="D149" s="60"/>
      <c r="E149" s="60"/>
      <c r="F149" s="60"/>
      <c r="G149" s="50"/>
      <c r="H149" s="61"/>
      <c r="I149" s="44"/>
      <c r="J149" s="44"/>
      <c r="K149" s="44"/>
      <c r="L149" s="44"/>
      <c r="M149" s="64"/>
      <c r="N149" s="64"/>
    </row>
    <row r="150" spans="3:17" s="49" customFormat="1" ht="15.75" x14ac:dyDescent="0.25">
      <c r="D150" s="60"/>
      <c r="E150" s="60"/>
      <c r="F150" s="60"/>
      <c r="G150" s="50"/>
      <c r="H150" s="61"/>
      <c r="I150" s="44"/>
      <c r="J150" s="44"/>
      <c r="K150" s="44"/>
      <c r="L150" s="44"/>
      <c r="M150" s="64"/>
      <c r="N150" s="64"/>
    </row>
    <row r="151" spans="3:17" ht="15" x14ac:dyDescent="0.25">
      <c r="D151" s="65"/>
      <c r="E151" s="65"/>
      <c r="F151" s="65"/>
    </row>
    <row r="152" spans="3:17" ht="15" x14ac:dyDescent="0.25">
      <c r="D152" s="65"/>
      <c r="E152" s="65"/>
      <c r="F152" s="65"/>
    </row>
    <row r="153" spans="3:17" ht="15" x14ac:dyDescent="0.25">
      <c r="D153" s="65"/>
      <c r="E153" s="65"/>
      <c r="F153" s="65"/>
    </row>
    <row r="154" spans="3:17" ht="15" x14ac:dyDescent="0.25">
      <c r="D154" s="65"/>
      <c r="E154" s="65"/>
      <c r="F154" s="65"/>
    </row>
    <row r="155" spans="3:17" ht="15" x14ac:dyDescent="0.25">
      <c r="D155" s="65"/>
      <c r="E155" s="65"/>
      <c r="F155" s="65"/>
    </row>
    <row r="156" spans="3:17" ht="15" x14ac:dyDescent="0.25">
      <c r="D156" s="65"/>
      <c r="E156" s="65"/>
      <c r="F156" s="65"/>
    </row>
    <row r="157" spans="3:17" ht="15" x14ac:dyDescent="0.25">
      <c r="D157" s="65"/>
      <c r="E157" s="65"/>
      <c r="F157" s="65"/>
    </row>
    <row r="158" spans="3:17" ht="15" x14ac:dyDescent="0.25">
      <c r="D158" s="65"/>
      <c r="E158" s="65"/>
      <c r="F158" s="65"/>
    </row>
    <row r="159" spans="3:17" ht="15" x14ac:dyDescent="0.25">
      <c r="D159" s="65"/>
      <c r="E159" s="65"/>
      <c r="F159" s="65"/>
    </row>
    <row r="160" spans="3:17" s="39" customFormat="1" ht="15" x14ac:dyDescent="0.25">
      <c r="C160" s="38"/>
      <c r="D160" s="65"/>
      <c r="E160" s="65"/>
      <c r="F160" s="65"/>
      <c r="H160" s="40"/>
      <c r="I160" s="41"/>
      <c r="J160" s="41"/>
      <c r="K160" s="41"/>
      <c r="L160" s="41"/>
      <c r="M160" s="42"/>
      <c r="N160" s="42"/>
      <c r="O160" s="38"/>
      <c r="P160" s="38"/>
      <c r="Q160" s="38"/>
    </row>
    <row r="161" spans="3:17" s="39" customFormat="1" ht="15" x14ac:dyDescent="0.25">
      <c r="C161" s="38"/>
      <c r="D161" s="65"/>
      <c r="E161" s="65"/>
      <c r="F161" s="65"/>
      <c r="H161" s="40"/>
      <c r="I161" s="41"/>
      <c r="J161" s="41"/>
      <c r="K161" s="41"/>
      <c r="L161" s="41"/>
      <c r="M161" s="42"/>
      <c r="N161" s="42"/>
      <c r="O161" s="38"/>
      <c r="P161" s="38"/>
      <c r="Q161" s="38"/>
    </row>
    <row r="162" spans="3:17" s="39" customFormat="1" ht="15" x14ac:dyDescent="0.25">
      <c r="C162" s="38"/>
      <c r="D162" s="65"/>
      <c r="E162" s="65"/>
      <c r="F162" s="65"/>
      <c r="H162" s="40"/>
      <c r="I162" s="41"/>
      <c r="J162" s="41"/>
      <c r="K162" s="41"/>
      <c r="L162" s="41"/>
      <c r="M162" s="42"/>
      <c r="N162" s="42"/>
      <c r="O162" s="38"/>
      <c r="P162" s="38"/>
      <c r="Q162" s="38"/>
    </row>
    <row r="163" spans="3:17" s="39" customFormat="1" ht="15" x14ac:dyDescent="0.25">
      <c r="C163" s="38"/>
      <c r="D163" s="65"/>
      <c r="E163" s="65"/>
      <c r="F163" s="65"/>
      <c r="H163" s="40"/>
      <c r="I163" s="41"/>
      <c r="J163" s="41"/>
      <c r="K163" s="41"/>
      <c r="L163" s="41"/>
      <c r="M163" s="42"/>
      <c r="N163" s="42"/>
      <c r="O163" s="38"/>
      <c r="P163" s="38"/>
      <c r="Q163" s="38"/>
    </row>
    <row r="164" spans="3:17" s="39" customFormat="1" ht="15" x14ac:dyDescent="0.25">
      <c r="C164" s="38"/>
      <c r="D164" s="65"/>
      <c r="E164" s="65"/>
      <c r="F164" s="65"/>
      <c r="H164" s="40"/>
      <c r="I164" s="41"/>
      <c r="J164" s="41"/>
      <c r="K164" s="41"/>
      <c r="L164" s="41"/>
      <c r="M164" s="42"/>
      <c r="N164" s="42"/>
      <c r="O164" s="38"/>
      <c r="P164" s="38"/>
      <c r="Q164" s="38"/>
    </row>
    <row r="165" spans="3:17" s="39" customFormat="1" ht="15" x14ac:dyDescent="0.25">
      <c r="C165" s="38"/>
      <c r="D165" s="65"/>
      <c r="E165" s="65"/>
      <c r="F165" s="65"/>
      <c r="H165" s="40"/>
      <c r="I165" s="41"/>
      <c r="J165" s="41"/>
      <c r="K165" s="41"/>
      <c r="L165" s="41"/>
      <c r="M165" s="42"/>
      <c r="N165" s="42"/>
      <c r="O165" s="38"/>
      <c r="P165" s="38"/>
      <c r="Q165" s="38"/>
    </row>
    <row r="166" spans="3:17" s="39" customFormat="1" ht="15" x14ac:dyDescent="0.25">
      <c r="C166" s="38"/>
      <c r="D166" s="65"/>
      <c r="E166" s="65"/>
      <c r="F166" s="65"/>
      <c r="H166" s="40"/>
      <c r="I166" s="41"/>
      <c r="J166" s="41"/>
      <c r="K166" s="41"/>
      <c r="L166" s="41"/>
      <c r="M166" s="42"/>
      <c r="N166" s="42"/>
      <c r="O166" s="38"/>
      <c r="P166" s="38"/>
      <c r="Q166" s="38"/>
    </row>
    <row r="167" spans="3:17" s="39" customFormat="1" ht="15" x14ac:dyDescent="0.25">
      <c r="C167" s="38"/>
      <c r="D167" s="65"/>
      <c r="E167" s="65"/>
      <c r="F167" s="65"/>
      <c r="H167" s="40"/>
      <c r="I167" s="41"/>
      <c r="J167" s="41"/>
      <c r="K167" s="41"/>
      <c r="L167" s="41"/>
      <c r="M167" s="42"/>
      <c r="N167" s="42"/>
      <c r="O167" s="38"/>
      <c r="P167" s="38"/>
      <c r="Q167" s="38"/>
    </row>
    <row r="168" spans="3:17" s="39" customFormat="1" ht="15" x14ac:dyDescent="0.25">
      <c r="C168" s="38"/>
      <c r="D168" s="65"/>
      <c r="E168" s="65"/>
      <c r="F168" s="65"/>
      <c r="H168" s="40"/>
      <c r="I168" s="41"/>
      <c r="J168" s="41"/>
      <c r="K168" s="41"/>
      <c r="L168" s="41"/>
      <c r="M168" s="42"/>
      <c r="N168" s="42"/>
      <c r="O168" s="38"/>
      <c r="P168" s="38"/>
      <c r="Q168" s="38"/>
    </row>
    <row r="169" spans="3:17" s="39" customFormat="1" ht="15" x14ac:dyDescent="0.25">
      <c r="C169" s="38"/>
      <c r="D169" s="65"/>
      <c r="E169" s="65"/>
      <c r="F169" s="65"/>
      <c r="H169" s="40"/>
      <c r="I169" s="41"/>
      <c r="J169" s="41"/>
      <c r="K169" s="41"/>
      <c r="L169" s="41"/>
      <c r="M169" s="42"/>
      <c r="N169" s="42"/>
      <c r="O169" s="38"/>
      <c r="P169" s="38"/>
      <c r="Q169" s="38"/>
    </row>
    <row r="170" spans="3:17" s="39" customFormat="1" ht="15" x14ac:dyDescent="0.25">
      <c r="C170" s="38"/>
      <c r="D170" s="65"/>
      <c r="E170" s="65"/>
      <c r="F170" s="65"/>
      <c r="H170" s="40"/>
      <c r="I170" s="41"/>
      <c r="J170" s="41"/>
      <c r="K170" s="41"/>
      <c r="L170" s="41"/>
      <c r="M170" s="42"/>
      <c r="N170" s="42"/>
      <c r="O170" s="38"/>
      <c r="P170" s="38"/>
      <c r="Q170" s="38"/>
    </row>
    <row r="171" spans="3:17" s="39" customFormat="1" ht="15" x14ac:dyDescent="0.25">
      <c r="C171" s="38"/>
      <c r="D171" s="65"/>
      <c r="E171" s="65"/>
      <c r="F171" s="65"/>
      <c r="H171" s="40"/>
      <c r="I171" s="41"/>
      <c r="J171" s="41"/>
      <c r="K171" s="41"/>
      <c r="L171" s="41"/>
      <c r="M171" s="42"/>
      <c r="N171" s="42"/>
      <c r="O171" s="38"/>
      <c r="P171" s="38"/>
      <c r="Q171" s="38"/>
    </row>
    <row r="172" spans="3:17" s="39" customFormat="1" ht="15" x14ac:dyDescent="0.25">
      <c r="C172" s="38"/>
      <c r="D172" s="65"/>
      <c r="E172" s="65"/>
      <c r="F172" s="65"/>
      <c r="H172" s="40"/>
      <c r="I172" s="41"/>
      <c r="J172" s="41"/>
      <c r="K172" s="41"/>
      <c r="L172" s="41"/>
      <c r="M172" s="42"/>
      <c r="N172" s="42"/>
      <c r="O172" s="38"/>
      <c r="P172" s="38"/>
      <c r="Q172" s="38"/>
    </row>
    <row r="173" spans="3:17" s="39" customFormat="1" ht="15" x14ac:dyDescent="0.25">
      <c r="C173" s="38"/>
      <c r="D173" s="65"/>
      <c r="E173" s="65"/>
      <c r="F173" s="65"/>
      <c r="H173" s="40"/>
      <c r="I173" s="41"/>
      <c r="J173" s="41"/>
      <c r="K173" s="41"/>
      <c r="L173" s="41"/>
      <c r="M173" s="42"/>
      <c r="N173" s="42"/>
      <c r="O173" s="38"/>
      <c r="P173" s="38"/>
      <c r="Q173" s="38"/>
    </row>
    <row r="174" spans="3:17" s="39" customFormat="1" ht="15" x14ac:dyDescent="0.25">
      <c r="C174" s="38"/>
      <c r="D174" s="65"/>
      <c r="E174" s="65"/>
      <c r="F174" s="65"/>
      <c r="H174" s="40"/>
      <c r="I174" s="41"/>
      <c r="J174" s="41"/>
      <c r="K174" s="41"/>
      <c r="L174" s="41"/>
      <c r="M174" s="42"/>
      <c r="N174" s="42"/>
      <c r="O174" s="38"/>
      <c r="P174" s="38"/>
      <c r="Q174" s="38"/>
    </row>
    <row r="175" spans="3:17" s="39" customFormat="1" ht="15" x14ac:dyDescent="0.25">
      <c r="C175" s="38"/>
      <c r="D175" s="65"/>
      <c r="E175" s="65"/>
      <c r="F175" s="65"/>
      <c r="H175" s="40"/>
      <c r="I175" s="41"/>
      <c r="J175" s="41"/>
      <c r="K175" s="41"/>
      <c r="L175" s="41"/>
      <c r="M175" s="42"/>
      <c r="N175" s="42"/>
      <c r="O175" s="38"/>
      <c r="P175" s="38"/>
      <c r="Q175" s="38"/>
    </row>
    <row r="176" spans="3:17" s="39" customFormat="1" ht="15" x14ac:dyDescent="0.25">
      <c r="C176" s="38"/>
      <c r="D176" s="65"/>
      <c r="E176" s="65"/>
      <c r="F176" s="65"/>
      <c r="H176" s="40"/>
      <c r="I176" s="41"/>
      <c r="J176" s="41"/>
      <c r="K176" s="41"/>
      <c r="L176" s="41"/>
      <c r="M176" s="42"/>
      <c r="N176" s="42"/>
      <c r="O176" s="38"/>
      <c r="P176" s="38"/>
      <c r="Q176" s="38"/>
    </row>
    <row r="177" spans="3:17" s="39" customFormat="1" ht="15" x14ac:dyDescent="0.25">
      <c r="C177" s="38"/>
      <c r="D177" s="65"/>
      <c r="E177" s="65"/>
      <c r="F177" s="65"/>
      <c r="H177" s="40"/>
      <c r="I177" s="41"/>
      <c r="J177" s="41"/>
      <c r="K177" s="41"/>
      <c r="L177" s="41"/>
      <c r="M177" s="42"/>
      <c r="N177" s="42"/>
      <c r="O177" s="38"/>
      <c r="P177" s="38"/>
      <c r="Q177" s="38"/>
    </row>
    <row r="178" spans="3:17" s="39" customFormat="1" ht="15" x14ac:dyDescent="0.25">
      <c r="C178" s="38"/>
      <c r="D178" s="65"/>
      <c r="E178" s="65"/>
      <c r="F178" s="65"/>
      <c r="H178" s="40"/>
      <c r="I178" s="41"/>
      <c r="J178" s="41"/>
      <c r="K178" s="41"/>
      <c r="L178" s="41"/>
      <c r="M178" s="42"/>
      <c r="N178" s="42"/>
      <c r="O178" s="38"/>
      <c r="P178" s="38"/>
      <c r="Q178" s="38"/>
    </row>
    <row r="179" spans="3:17" s="39" customFormat="1" ht="15" x14ac:dyDescent="0.25">
      <c r="C179" s="38"/>
      <c r="D179" s="65"/>
      <c r="E179" s="65"/>
      <c r="F179" s="65"/>
      <c r="H179" s="40"/>
      <c r="I179" s="41"/>
      <c r="J179" s="41"/>
      <c r="K179" s="41"/>
      <c r="L179" s="41"/>
      <c r="M179" s="42"/>
      <c r="N179" s="42"/>
      <c r="O179" s="38"/>
      <c r="P179" s="38"/>
      <c r="Q179" s="38"/>
    </row>
    <row r="180" spans="3:17" s="39" customFormat="1" ht="15" x14ac:dyDescent="0.25">
      <c r="C180" s="38"/>
      <c r="D180" s="65"/>
      <c r="E180" s="65"/>
      <c r="F180" s="65"/>
      <c r="H180" s="40"/>
      <c r="I180" s="41"/>
      <c r="J180" s="41"/>
      <c r="K180" s="41"/>
      <c r="L180" s="41"/>
      <c r="M180" s="42"/>
      <c r="N180" s="42"/>
      <c r="O180" s="38"/>
      <c r="P180" s="38"/>
      <c r="Q180" s="38"/>
    </row>
    <row r="181" spans="3:17" s="39" customFormat="1" ht="15" x14ac:dyDescent="0.25">
      <c r="C181" s="38"/>
      <c r="D181" s="65"/>
      <c r="E181" s="65"/>
      <c r="F181" s="65"/>
      <c r="H181" s="40"/>
      <c r="I181" s="41"/>
      <c r="J181" s="41"/>
      <c r="K181" s="41"/>
      <c r="L181" s="41"/>
      <c r="M181" s="42"/>
      <c r="N181" s="42"/>
      <c r="O181" s="38"/>
      <c r="P181" s="38"/>
      <c r="Q181" s="38"/>
    </row>
    <row r="182" spans="3:17" s="39" customFormat="1" ht="15" x14ac:dyDescent="0.25">
      <c r="C182" s="38"/>
      <c r="D182" s="65"/>
      <c r="E182" s="65"/>
      <c r="F182" s="65"/>
      <c r="H182" s="40"/>
      <c r="I182" s="41"/>
      <c r="J182" s="41"/>
      <c r="K182" s="41"/>
      <c r="L182" s="41"/>
      <c r="M182" s="42"/>
      <c r="N182" s="42"/>
      <c r="O182" s="38"/>
      <c r="P182" s="38"/>
      <c r="Q182" s="38"/>
    </row>
    <row r="183" spans="3:17" s="39" customFormat="1" ht="15" x14ac:dyDescent="0.25">
      <c r="C183" s="38"/>
      <c r="D183" s="65"/>
      <c r="E183" s="65"/>
      <c r="F183" s="65"/>
      <c r="H183" s="40"/>
      <c r="I183" s="41"/>
      <c r="J183" s="41"/>
      <c r="K183" s="41"/>
      <c r="L183" s="41"/>
      <c r="M183" s="42"/>
      <c r="N183" s="42"/>
      <c r="O183" s="38"/>
      <c r="P183" s="38"/>
      <c r="Q183" s="38"/>
    </row>
    <row r="184" spans="3:17" s="39" customFormat="1" ht="15" x14ac:dyDescent="0.25">
      <c r="C184" s="38"/>
      <c r="D184" s="65"/>
      <c r="E184" s="65"/>
      <c r="F184" s="65"/>
      <c r="H184" s="40"/>
      <c r="I184" s="41"/>
      <c r="J184" s="41"/>
      <c r="K184" s="41"/>
      <c r="L184" s="41"/>
      <c r="M184" s="42"/>
      <c r="N184" s="42"/>
      <c r="O184" s="38"/>
      <c r="P184" s="38"/>
      <c r="Q184" s="38"/>
    </row>
    <row r="185" spans="3:17" s="39" customFormat="1" ht="15" x14ac:dyDescent="0.25">
      <c r="C185" s="38"/>
      <c r="D185" s="65"/>
      <c r="E185" s="65"/>
      <c r="F185" s="65"/>
      <c r="H185" s="40"/>
      <c r="I185" s="41"/>
      <c r="J185" s="41"/>
      <c r="K185" s="41"/>
      <c r="L185" s="41"/>
      <c r="M185" s="42"/>
      <c r="N185" s="42"/>
      <c r="O185" s="38"/>
      <c r="P185" s="38"/>
      <c r="Q185" s="38"/>
    </row>
    <row r="186" spans="3:17" s="39" customFormat="1" ht="15" x14ac:dyDescent="0.25">
      <c r="C186" s="38"/>
      <c r="D186" s="65"/>
      <c r="E186" s="65"/>
      <c r="F186" s="65"/>
      <c r="H186" s="40"/>
      <c r="I186" s="41"/>
      <c r="J186" s="41"/>
      <c r="K186" s="41"/>
      <c r="L186" s="41"/>
      <c r="M186" s="42"/>
      <c r="N186" s="42"/>
      <c r="O186" s="38"/>
      <c r="P186" s="38"/>
      <c r="Q186" s="38"/>
    </row>
    <row r="187" spans="3:17" s="39" customFormat="1" ht="15" x14ac:dyDescent="0.25">
      <c r="C187" s="38"/>
      <c r="D187" s="65"/>
      <c r="E187" s="65"/>
      <c r="F187" s="65"/>
      <c r="H187" s="40"/>
      <c r="I187" s="41"/>
      <c r="J187" s="41"/>
      <c r="K187" s="41"/>
      <c r="L187" s="41"/>
      <c r="M187" s="42"/>
      <c r="N187" s="42"/>
      <c r="O187" s="38"/>
      <c r="P187" s="38"/>
      <c r="Q187" s="38"/>
    </row>
    <row r="188" spans="3:17" s="39" customFormat="1" ht="15" x14ac:dyDescent="0.25">
      <c r="C188" s="38"/>
      <c r="D188" s="65"/>
      <c r="E188" s="65"/>
      <c r="F188" s="65"/>
      <c r="H188" s="40"/>
      <c r="I188" s="41"/>
      <c r="J188" s="41"/>
      <c r="K188" s="41"/>
      <c r="L188" s="41"/>
      <c r="M188" s="42"/>
      <c r="N188" s="42"/>
      <c r="O188" s="38"/>
      <c r="P188" s="38"/>
      <c r="Q188" s="38"/>
    </row>
    <row r="189" spans="3:17" s="39" customFormat="1" ht="15" x14ac:dyDescent="0.25">
      <c r="C189" s="38"/>
      <c r="D189" s="65"/>
      <c r="E189" s="65"/>
      <c r="F189" s="65"/>
      <c r="H189" s="40"/>
      <c r="I189" s="41"/>
      <c r="J189" s="41"/>
      <c r="K189" s="41"/>
      <c r="L189" s="41"/>
      <c r="M189" s="42"/>
      <c r="N189" s="42"/>
      <c r="O189" s="38"/>
      <c r="P189" s="38"/>
      <c r="Q189" s="38"/>
    </row>
    <row r="190" spans="3:17" s="39" customFormat="1" ht="15" x14ac:dyDescent="0.25">
      <c r="C190" s="38"/>
      <c r="D190" s="65"/>
      <c r="E190" s="65"/>
      <c r="F190" s="65"/>
      <c r="H190" s="40"/>
      <c r="I190" s="41"/>
      <c r="J190" s="41"/>
      <c r="K190" s="41"/>
      <c r="L190" s="41"/>
      <c r="M190" s="42"/>
      <c r="N190" s="42"/>
      <c r="O190" s="38"/>
      <c r="P190" s="38"/>
      <c r="Q190" s="38"/>
    </row>
    <row r="191" spans="3:17" s="39" customFormat="1" ht="15" x14ac:dyDescent="0.25">
      <c r="C191" s="38"/>
      <c r="D191" s="65"/>
      <c r="E191" s="65"/>
      <c r="F191" s="65"/>
      <c r="H191" s="40"/>
      <c r="I191" s="41"/>
      <c r="J191" s="41"/>
      <c r="K191" s="41"/>
      <c r="L191" s="41"/>
      <c r="M191" s="42"/>
      <c r="N191" s="42"/>
      <c r="O191" s="38"/>
      <c r="P191" s="38"/>
      <c r="Q191" s="38"/>
    </row>
    <row r="192" spans="3:17" s="39" customFormat="1" ht="15" x14ac:dyDescent="0.25">
      <c r="C192" s="38"/>
      <c r="D192" s="65"/>
      <c r="E192" s="65"/>
      <c r="F192" s="65"/>
      <c r="H192" s="40"/>
      <c r="I192" s="41"/>
      <c r="J192" s="41"/>
      <c r="K192" s="41"/>
      <c r="L192" s="41"/>
      <c r="M192" s="42"/>
      <c r="N192" s="42"/>
      <c r="O192" s="38"/>
      <c r="P192" s="38"/>
      <c r="Q192" s="38"/>
    </row>
    <row r="193" spans="3:17" s="39" customFormat="1" ht="15" x14ac:dyDescent="0.25">
      <c r="C193" s="38"/>
      <c r="D193" s="65"/>
      <c r="E193" s="65"/>
      <c r="F193" s="65"/>
      <c r="H193" s="40"/>
      <c r="I193" s="41"/>
      <c r="J193" s="41"/>
      <c r="K193" s="41"/>
      <c r="L193" s="41"/>
      <c r="M193" s="42"/>
      <c r="N193" s="42"/>
      <c r="O193" s="38"/>
      <c r="P193" s="38"/>
      <c r="Q193" s="38"/>
    </row>
    <row r="194" spans="3:17" s="39" customFormat="1" ht="15" x14ac:dyDescent="0.25">
      <c r="C194" s="38"/>
      <c r="D194" s="65"/>
      <c r="E194" s="65"/>
      <c r="F194" s="65"/>
      <c r="H194" s="40"/>
      <c r="I194" s="41"/>
      <c r="J194" s="41"/>
      <c r="K194" s="41"/>
      <c r="L194" s="41"/>
      <c r="M194" s="42"/>
      <c r="N194" s="42"/>
      <c r="O194" s="38"/>
      <c r="P194" s="38"/>
      <c r="Q194" s="38"/>
    </row>
    <row r="195" spans="3:17" s="39" customFormat="1" ht="15" x14ac:dyDescent="0.25">
      <c r="C195" s="38"/>
      <c r="D195" s="65"/>
      <c r="E195" s="65"/>
      <c r="F195" s="65"/>
      <c r="H195" s="40"/>
      <c r="I195" s="41"/>
      <c r="J195" s="41"/>
      <c r="K195" s="41"/>
      <c r="L195" s="41"/>
      <c r="M195" s="42"/>
      <c r="N195" s="42"/>
      <c r="O195" s="38"/>
      <c r="P195" s="38"/>
      <c r="Q195" s="38"/>
    </row>
    <row r="196" spans="3:17" s="39" customFormat="1" ht="15" x14ac:dyDescent="0.25">
      <c r="C196" s="38"/>
      <c r="D196" s="65"/>
      <c r="E196" s="65"/>
      <c r="F196" s="65"/>
      <c r="H196" s="40"/>
      <c r="I196" s="41"/>
      <c r="J196" s="41"/>
      <c r="K196" s="41"/>
      <c r="L196" s="41"/>
      <c r="M196" s="42"/>
      <c r="N196" s="42"/>
      <c r="O196" s="38"/>
      <c r="P196" s="38"/>
      <c r="Q196" s="38"/>
    </row>
    <row r="197" spans="3:17" s="39" customFormat="1" ht="15" x14ac:dyDescent="0.25">
      <c r="C197" s="38"/>
      <c r="D197" s="65"/>
      <c r="E197" s="65"/>
      <c r="F197" s="65"/>
      <c r="H197" s="40"/>
      <c r="I197" s="41"/>
      <c r="J197" s="41"/>
      <c r="K197" s="41"/>
      <c r="L197" s="41"/>
      <c r="M197" s="42"/>
      <c r="N197" s="42"/>
      <c r="O197" s="38"/>
      <c r="P197" s="38"/>
      <c r="Q197" s="38"/>
    </row>
    <row r="198" spans="3:17" s="39" customFormat="1" ht="15" x14ac:dyDescent="0.25">
      <c r="C198" s="38"/>
      <c r="D198" s="65"/>
      <c r="E198" s="65"/>
      <c r="F198" s="65"/>
      <c r="H198" s="40"/>
      <c r="I198" s="41"/>
      <c r="J198" s="41"/>
      <c r="K198" s="41"/>
      <c r="L198" s="41"/>
      <c r="M198" s="42"/>
      <c r="N198" s="42"/>
      <c r="O198" s="38"/>
      <c r="P198" s="38"/>
      <c r="Q198" s="38"/>
    </row>
    <row r="199" spans="3:17" s="39" customFormat="1" ht="15" x14ac:dyDescent="0.25">
      <c r="C199" s="38"/>
      <c r="D199" s="65"/>
      <c r="E199" s="65"/>
      <c r="F199" s="65"/>
      <c r="H199" s="40"/>
      <c r="I199" s="41"/>
      <c r="J199" s="41"/>
      <c r="K199" s="41"/>
      <c r="L199" s="41"/>
      <c r="M199" s="42"/>
      <c r="N199" s="42"/>
      <c r="O199" s="38"/>
      <c r="P199" s="38"/>
      <c r="Q199" s="38"/>
    </row>
    <row r="200" spans="3:17" s="39" customFormat="1" ht="15" x14ac:dyDescent="0.25">
      <c r="C200" s="38"/>
      <c r="D200" s="65"/>
      <c r="E200" s="65"/>
      <c r="F200" s="65"/>
      <c r="H200" s="40"/>
      <c r="I200" s="41"/>
      <c r="J200" s="41"/>
      <c r="K200" s="41"/>
      <c r="L200" s="41"/>
      <c r="M200" s="42"/>
      <c r="N200" s="42"/>
      <c r="O200" s="38"/>
      <c r="P200" s="38"/>
      <c r="Q200" s="38"/>
    </row>
    <row r="201" spans="3:17" s="39" customFormat="1" ht="15" x14ac:dyDescent="0.25">
      <c r="C201" s="38"/>
      <c r="D201" s="65"/>
      <c r="E201" s="65"/>
      <c r="F201" s="65"/>
      <c r="H201" s="40"/>
      <c r="I201" s="41"/>
      <c r="J201" s="41"/>
      <c r="K201" s="41"/>
      <c r="L201" s="41"/>
      <c r="M201" s="42"/>
      <c r="N201" s="42"/>
      <c r="O201" s="38"/>
      <c r="P201" s="38"/>
      <c r="Q201" s="38"/>
    </row>
    <row r="202" spans="3:17" s="39" customFormat="1" ht="15" x14ac:dyDescent="0.25">
      <c r="C202" s="38"/>
      <c r="D202" s="65"/>
      <c r="E202" s="65"/>
      <c r="F202" s="65"/>
      <c r="H202" s="40"/>
      <c r="I202" s="41"/>
      <c r="J202" s="41"/>
      <c r="K202" s="41"/>
      <c r="L202" s="41"/>
      <c r="M202" s="42"/>
      <c r="N202" s="42"/>
      <c r="O202" s="38"/>
      <c r="P202" s="38"/>
      <c r="Q202" s="38"/>
    </row>
    <row r="203" spans="3:17" s="39" customFormat="1" ht="15" x14ac:dyDescent="0.25">
      <c r="C203" s="38"/>
      <c r="D203" s="65"/>
      <c r="E203" s="65"/>
      <c r="F203" s="65"/>
      <c r="H203" s="40"/>
      <c r="I203" s="41"/>
      <c r="J203" s="41"/>
      <c r="K203" s="41"/>
      <c r="L203" s="41"/>
      <c r="M203" s="42"/>
      <c r="N203" s="42"/>
      <c r="O203" s="38"/>
      <c r="P203" s="38"/>
      <c r="Q203" s="38"/>
    </row>
    <row r="204" spans="3:17" s="39" customFormat="1" ht="15" x14ac:dyDescent="0.25">
      <c r="C204" s="38"/>
      <c r="D204" s="65"/>
      <c r="E204" s="65"/>
      <c r="F204" s="65"/>
      <c r="H204" s="40"/>
      <c r="I204" s="41"/>
      <c r="J204" s="41"/>
      <c r="K204" s="41"/>
      <c r="L204" s="41"/>
      <c r="M204" s="42"/>
      <c r="N204" s="42"/>
      <c r="O204" s="38"/>
      <c r="P204" s="38"/>
      <c r="Q204" s="38"/>
    </row>
    <row r="205" spans="3:17" s="39" customFormat="1" ht="15" x14ac:dyDescent="0.25">
      <c r="C205" s="38"/>
      <c r="D205" s="65"/>
      <c r="E205" s="65"/>
      <c r="F205" s="65"/>
      <c r="H205" s="40"/>
      <c r="I205" s="41"/>
      <c r="J205" s="41"/>
      <c r="K205" s="41"/>
      <c r="L205" s="41"/>
      <c r="M205" s="42"/>
      <c r="N205" s="42"/>
      <c r="O205" s="38"/>
      <c r="P205" s="38"/>
      <c r="Q205" s="38"/>
    </row>
    <row r="206" spans="3:17" s="39" customFormat="1" ht="15" x14ac:dyDescent="0.25">
      <c r="C206" s="38"/>
      <c r="D206" s="65"/>
      <c r="E206" s="65"/>
      <c r="F206" s="65"/>
      <c r="H206" s="40"/>
      <c r="I206" s="41"/>
      <c r="J206" s="41"/>
      <c r="K206" s="41"/>
      <c r="L206" s="41"/>
      <c r="M206" s="42"/>
      <c r="N206" s="42"/>
      <c r="O206" s="38"/>
      <c r="P206" s="38"/>
      <c r="Q206" s="38"/>
    </row>
    <row r="207" spans="3:17" s="39" customFormat="1" ht="15" x14ac:dyDescent="0.25">
      <c r="C207" s="38"/>
      <c r="D207" s="65"/>
      <c r="E207" s="65"/>
      <c r="F207" s="65"/>
      <c r="H207" s="40"/>
      <c r="I207" s="41"/>
      <c r="J207" s="41"/>
      <c r="K207" s="41"/>
      <c r="L207" s="41"/>
      <c r="M207" s="42"/>
      <c r="N207" s="42"/>
      <c r="O207" s="38"/>
      <c r="P207" s="38"/>
      <c r="Q207" s="38"/>
    </row>
    <row r="208" spans="3:17" s="39" customFormat="1" ht="15" x14ac:dyDescent="0.25">
      <c r="C208" s="38"/>
      <c r="D208" s="65"/>
      <c r="E208" s="65"/>
      <c r="F208" s="65"/>
      <c r="H208" s="40"/>
      <c r="I208" s="41"/>
      <c r="J208" s="41"/>
      <c r="K208" s="41"/>
      <c r="L208" s="41"/>
      <c r="M208" s="42"/>
      <c r="N208" s="42"/>
      <c r="O208" s="38"/>
      <c r="P208" s="38"/>
      <c r="Q208" s="38"/>
    </row>
    <row r="209" spans="3:17" s="39" customFormat="1" ht="15" x14ac:dyDescent="0.25">
      <c r="C209" s="38"/>
      <c r="D209" s="65"/>
      <c r="E209" s="65"/>
      <c r="F209" s="65"/>
      <c r="H209" s="40"/>
      <c r="I209" s="41"/>
      <c r="J209" s="41"/>
      <c r="K209" s="41"/>
      <c r="L209" s="41"/>
      <c r="M209" s="42"/>
      <c r="N209" s="42"/>
      <c r="O209" s="38"/>
      <c r="P209" s="38"/>
      <c r="Q209" s="38"/>
    </row>
    <row r="210" spans="3:17" s="39" customFormat="1" ht="15" x14ac:dyDescent="0.25">
      <c r="C210" s="38"/>
      <c r="D210" s="65"/>
      <c r="E210" s="65"/>
      <c r="F210" s="65"/>
      <c r="H210" s="40"/>
      <c r="I210" s="41"/>
      <c r="J210" s="41"/>
      <c r="K210" s="41"/>
      <c r="L210" s="41"/>
      <c r="M210" s="42"/>
      <c r="N210" s="42"/>
      <c r="O210" s="38"/>
      <c r="P210" s="38"/>
      <c r="Q210" s="38"/>
    </row>
    <row r="211" spans="3:17" s="39" customFormat="1" ht="15" x14ac:dyDescent="0.25">
      <c r="C211" s="38"/>
      <c r="D211" s="65"/>
      <c r="E211" s="65"/>
      <c r="F211" s="65"/>
      <c r="H211" s="40"/>
      <c r="I211" s="41"/>
      <c r="J211" s="41"/>
      <c r="K211" s="41"/>
      <c r="L211" s="41"/>
      <c r="M211" s="42"/>
      <c r="N211" s="42"/>
      <c r="O211" s="38"/>
      <c r="P211" s="38"/>
      <c r="Q211" s="38"/>
    </row>
    <row r="212" spans="3:17" s="39" customFormat="1" ht="15" x14ac:dyDescent="0.25">
      <c r="C212" s="38"/>
      <c r="D212" s="65"/>
      <c r="E212" s="65"/>
      <c r="F212" s="65"/>
      <c r="H212" s="40"/>
      <c r="I212" s="41"/>
      <c r="J212" s="41"/>
      <c r="K212" s="41"/>
      <c r="L212" s="41"/>
      <c r="M212" s="42"/>
      <c r="N212" s="42"/>
      <c r="O212" s="38"/>
      <c r="P212" s="38"/>
      <c r="Q212" s="38"/>
    </row>
    <row r="213" spans="3:17" s="39" customFormat="1" ht="15" x14ac:dyDescent="0.25">
      <c r="C213" s="38"/>
      <c r="D213" s="65"/>
      <c r="E213" s="65"/>
      <c r="F213" s="65"/>
      <c r="H213" s="40"/>
      <c r="I213" s="41"/>
      <c r="J213" s="41"/>
      <c r="K213" s="41"/>
      <c r="L213" s="41"/>
      <c r="M213" s="42"/>
      <c r="N213" s="42"/>
      <c r="O213" s="38"/>
      <c r="P213" s="38"/>
      <c r="Q213" s="38"/>
    </row>
    <row r="214" spans="3:17" s="39" customFormat="1" ht="15" x14ac:dyDescent="0.25">
      <c r="C214" s="38"/>
      <c r="D214" s="65"/>
      <c r="E214" s="65"/>
      <c r="F214" s="65"/>
      <c r="H214" s="40"/>
      <c r="I214" s="41"/>
      <c r="J214" s="41"/>
      <c r="K214" s="41"/>
      <c r="L214" s="41"/>
      <c r="M214" s="42"/>
      <c r="N214" s="42"/>
      <c r="O214" s="38"/>
      <c r="P214" s="38"/>
      <c r="Q214" s="38"/>
    </row>
    <row r="215" spans="3:17" s="39" customFormat="1" ht="15" x14ac:dyDescent="0.25">
      <c r="C215" s="38"/>
      <c r="D215" s="65"/>
      <c r="E215" s="65"/>
      <c r="F215" s="65"/>
      <c r="H215" s="40"/>
      <c r="I215" s="41"/>
      <c r="J215" s="41"/>
      <c r="K215" s="41"/>
      <c r="L215" s="41"/>
      <c r="M215" s="42"/>
      <c r="N215" s="42"/>
      <c r="O215" s="38"/>
      <c r="P215" s="38"/>
      <c r="Q215" s="38"/>
    </row>
    <row r="216" spans="3:17" s="39" customFormat="1" ht="15" x14ac:dyDescent="0.25">
      <c r="C216" s="38"/>
      <c r="D216" s="65"/>
      <c r="E216" s="65"/>
      <c r="F216" s="65"/>
      <c r="H216" s="40"/>
      <c r="I216" s="41"/>
      <c r="J216" s="41"/>
      <c r="K216" s="41"/>
      <c r="L216" s="41"/>
      <c r="M216" s="42"/>
      <c r="N216" s="42"/>
      <c r="O216" s="38"/>
      <c r="P216" s="38"/>
      <c r="Q216" s="38"/>
    </row>
    <row r="217" spans="3:17" s="39" customFormat="1" ht="15" x14ac:dyDescent="0.25">
      <c r="C217" s="38"/>
      <c r="D217" s="65"/>
      <c r="E217" s="65"/>
      <c r="F217" s="65"/>
      <c r="H217" s="40"/>
      <c r="I217" s="41"/>
      <c r="J217" s="41"/>
      <c r="K217" s="41"/>
      <c r="L217" s="41"/>
      <c r="M217" s="42"/>
      <c r="N217" s="42"/>
      <c r="O217" s="38"/>
      <c r="P217" s="38"/>
      <c r="Q217" s="38"/>
    </row>
    <row r="218" spans="3:17" s="39" customFormat="1" ht="15" x14ac:dyDescent="0.25">
      <c r="C218" s="38"/>
      <c r="D218" s="65"/>
      <c r="E218" s="65"/>
      <c r="F218" s="65"/>
      <c r="H218" s="40"/>
      <c r="I218" s="41"/>
      <c r="J218" s="41"/>
      <c r="K218" s="41"/>
      <c r="L218" s="41"/>
      <c r="M218" s="42"/>
      <c r="N218" s="42"/>
      <c r="O218" s="38"/>
      <c r="P218" s="38"/>
      <c r="Q218" s="38"/>
    </row>
    <row r="219" spans="3:17" s="39" customFormat="1" ht="15" x14ac:dyDescent="0.25">
      <c r="C219" s="38"/>
      <c r="D219" s="65"/>
      <c r="E219" s="65"/>
      <c r="F219" s="65"/>
      <c r="H219" s="40"/>
      <c r="I219" s="41"/>
      <c r="J219" s="41"/>
      <c r="K219" s="41"/>
      <c r="L219" s="41"/>
      <c r="M219" s="42"/>
      <c r="N219" s="42"/>
      <c r="O219" s="38"/>
      <c r="P219" s="38"/>
      <c r="Q219" s="38"/>
    </row>
    <row r="220" spans="3:17" s="39" customFormat="1" ht="15" x14ac:dyDescent="0.25">
      <c r="C220" s="38"/>
      <c r="D220" s="65"/>
      <c r="E220" s="65"/>
      <c r="F220" s="65"/>
      <c r="H220" s="40"/>
      <c r="I220" s="41"/>
      <c r="J220" s="41"/>
      <c r="K220" s="41"/>
      <c r="L220" s="41"/>
      <c r="M220" s="42"/>
      <c r="N220" s="42"/>
      <c r="O220" s="38"/>
      <c r="P220" s="38"/>
      <c r="Q220" s="38"/>
    </row>
    <row r="221" spans="3:17" s="39" customFormat="1" ht="15" x14ac:dyDescent="0.25">
      <c r="C221" s="38"/>
      <c r="D221" s="65"/>
      <c r="E221" s="65"/>
      <c r="F221" s="65"/>
      <c r="H221" s="40"/>
      <c r="I221" s="41"/>
      <c r="J221" s="41"/>
      <c r="K221" s="41"/>
      <c r="L221" s="41"/>
      <c r="M221" s="42"/>
      <c r="N221" s="42"/>
      <c r="O221" s="38"/>
      <c r="P221" s="38"/>
      <c r="Q221" s="38"/>
    </row>
    <row r="222" spans="3:17" s="39" customFormat="1" ht="15" x14ac:dyDescent="0.25">
      <c r="C222" s="38"/>
      <c r="D222" s="65"/>
      <c r="E222" s="65"/>
      <c r="F222" s="65"/>
      <c r="H222" s="40"/>
      <c r="I222" s="41"/>
      <c r="J222" s="41"/>
      <c r="K222" s="41"/>
      <c r="L222" s="41"/>
      <c r="M222" s="42"/>
      <c r="N222" s="42"/>
      <c r="O222" s="38"/>
      <c r="P222" s="38"/>
      <c r="Q222" s="38"/>
    </row>
    <row r="223" spans="3:17" s="39" customFormat="1" ht="15" x14ac:dyDescent="0.25">
      <c r="C223" s="38"/>
      <c r="D223" s="65"/>
      <c r="E223" s="65"/>
      <c r="F223" s="65"/>
      <c r="H223" s="40"/>
      <c r="I223" s="41"/>
      <c r="J223" s="41"/>
      <c r="K223" s="41"/>
      <c r="L223" s="41"/>
      <c r="M223" s="42"/>
      <c r="N223" s="42"/>
      <c r="O223" s="38"/>
      <c r="P223" s="38"/>
      <c r="Q223" s="38"/>
    </row>
    <row r="224" spans="3:17" s="39" customFormat="1" ht="15" x14ac:dyDescent="0.25">
      <c r="C224" s="38"/>
      <c r="D224" s="65"/>
      <c r="E224" s="65"/>
      <c r="F224" s="65"/>
      <c r="H224" s="40"/>
      <c r="I224" s="41"/>
      <c r="J224" s="41"/>
      <c r="K224" s="41"/>
      <c r="L224" s="41"/>
      <c r="M224" s="42"/>
      <c r="N224" s="42"/>
      <c r="O224" s="38"/>
      <c r="P224" s="38"/>
      <c r="Q224" s="38"/>
    </row>
    <row r="225" spans="3:17" s="39" customFormat="1" ht="15" x14ac:dyDescent="0.25">
      <c r="C225" s="38"/>
      <c r="D225" s="65"/>
      <c r="E225" s="65"/>
      <c r="F225" s="65"/>
      <c r="H225" s="40"/>
      <c r="I225" s="41"/>
      <c r="J225" s="41"/>
      <c r="K225" s="41"/>
      <c r="L225" s="41"/>
      <c r="M225" s="42"/>
      <c r="N225" s="42"/>
      <c r="O225" s="38"/>
      <c r="P225" s="38"/>
      <c r="Q225" s="38"/>
    </row>
    <row r="226" spans="3:17" s="39" customFormat="1" ht="15" x14ac:dyDescent="0.25">
      <c r="C226" s="38"/>
      <c r="D226" s="65"/>
      <c r="E226" s="65"/>
      <c r="F226" s="65"/>
      <c r="H226" s="40"/>
      <c r="I226" s="41"/>
      <c r="J226" s="41"/>
      <c r="K226" s="41"/>
      <c r="L226" s="41"/>
      <c r="M226" s="42"/>
      <c r="N226" s="42"/>
      <c r="O226" s="38"/>
      <c r="P226" s="38"/>
      <c r="Q226" s="38"/>
    </row>
    <row r="227" spans="3:17" s="39" customFormat="1" ht="15" x14ac:dyDescent="0.25">
      <c r="C227" s="38"/>
      <c r="D227" s="65"/>
      <c r="E227" s="65"/>
      <c r="F227" s="65"/>
      <c r="H227" s="40"/>
      <c r="I227" s="41"/>
      <c r="J227" s="41"/>
      <c r="K227" s="41"/>
      <c r="L227" s="41"/>
      <c r="M227" s="42"/>
      <c r="N227" s="42"/>
      <c r="O227" s="38"/>
      <c r="P227" s="38"/>
      <c r="Q227" s="38"/>
    </row>
    <row r="228" spans="3:17" s="39" customFormat="1" ht="15" x14ac:dyDescent="0.25">
      <c r="C228" s="38"/>
      <c r="D228" s="65"/>
      <c r="E228" s="65"/>
      <c r="F228" s="65"/>
      <c r="H228" s="40"/>
      <c r="I228" s="41"/>
      <c r="J228" s="41"/>
      <c r="K228" s="41"/>
      <c r="L228" s="41"/>
      <c r="M228" s="42"/>
      <c r="N228" s="42"/>
      <c r="O228" s="38"/>
      <c r="P228" s="38"/>
      <c r="Q228" s="38"/>
    </row>
    <row r="229" spans="3:17" s="39" customFormat="1" ht="15" x14ac:dyDescent="0.25">
      <c r="C229" s="38"/>
      <c r="D229" s="65"/>
      <c r="E229" s="65"/>
      <c r="F229" s="65"/>
      <c r="H229" s="40"/>
      <c r="I229" s="41"/>
      <c r="J229" s="41"/>
      <c r="K229" s="41"/>
      <c r="L229" s="41"/>
      <c r="M229" s="42"/>
      <c r="N229" s="42"/>
      <c r="O229" s="38"/>
      <c r="P229" s="38"/>
      <c r="Q229" s="38"/>
    </row>
    <row r="230" spans="3:17" s="39" customFormat="1" ht="15" x14ac:dyDescent="0.25">
      <c r="C230" s="38"/>
      <c r="D230" s="65"/>
      <c r="E230" s="65"/>
      <c r="F230" s="65"/>
      <c r="H230" s="40"/>
      <c r="I230" s="41"/>
      <c r="J230" s="41"/>
      <c r="K230" s="41"/>
      <c r="L230" s="41"/>
      <c r="M230" s="42"/>
      <c r="N230" s="42"/>
      <c r="O230" s="38"/>
      <c r="P230" s="38"/>
      <c r="Q230" s="38"/>
    </row>
    <row r="231" spans="3:17" s="39" customFormat="1" ht="15" x14ac:dyDescent="0.25">
      <c r="C231" s="38"/>
      <c r="D231" s="65"/>
      <c r="E231" s="65"/>
      <c r="F231" s="65"/>
      <c r="H231" s="40"/>
      <c r="I231" s="41"/>
      <c r="J231" s="41"/>
      <c r="K231" s="41"/>
      <c r="L231" s="41"/>
      <c r="M231" s="42"/>
      <c r="N231" s="42"/>
      <c r="O231" s="38"/>
      <c r="P231" s="38"/>
      <c r="Q231" s="38"/>
    </row>
    <row r="232" spans="3:17" s="39" customFormat="1" ht="15" x14ac:dyDescent="0.25">
      <c r="C232" s="38"/>
      <c r="D232" s="65"/>
      <c r="E232" s="65"/>
      <c r="F232" s="65"/>
      <c r="H232" s="40"/>
      <c r="I232" s="41"/>
      <c r="J232" s="41"/>
      <c r="K232" s="41"/>
      <c r="L232" s="41"/>
      <c r="M232" s="42"/>
      <c r="N232" s="42"/>
      <c r="O232" s="38"/>
      <c r="P232" s="38"/>
      <c r="Q232" s="38"/>
    </row>
    <row r="233" spans="3:17" s="39" customFormat="1" ht="15" x14ac:dyDescent="0.25">
      <c r="C233" s="38"/>
      <c r="D233" s="65"/>
      <c r="E233" s="65"/>
      <c r="F233" s="65"/>
      <c r="H233" s="40"/>
      <c r="I233" s="41"/>
      <c r="J233" s="41"/>
      <c r="K233" s="41"/>
      <c r="L233" s="41"/>
      <c r="M233" s="42"/>
      <c r="N233" s="42"/>
      <c r="O233" s="38"/>
      <c r="P233" s="38"/>
      <c r="Q233" s="38"/>
    </row>
    <row r="234" spans="3:17" s="39" customFormat="1" ht="15" x14ac:dyDescent="0.25">
      <c r="C234" s="38"/>
      <c r="D234" s="65"/>
      <c r="E234" s="65"/>
      <c r="F234" s="65"/>
      <c r="H234" s="40"/>
      <c r="I234" s="41"/>
      <c r="J234" s="41"/>
      <c r="K234" s="41"/>
      <c r="L234" s="41"/>
      <c r="M234" s="42"/>
      <c r="N234" s="42"/>
      <c r="O234" s="38"/>
      <c r="P234" s="38"/>
      <c r="Q234" s="38"/>
    </row>
    <row r="235" spans="3:17" s="39" customFormat="1" ht="15" x14ac:dyDescent="0.25">
      <c r="C235" s="38"/>
      <c r="D235" s="65"/>
      <c r="E235" s="65"/>
      <c r="F235" s="65"/>
      <c r="H235" s="40"/>
      <c r="I235" s="41"/>
      <c r="J235" s="41"/>
      <c r="K235" s="41"/>
      <c r="L235" s="41"/>
      <c r="M235" s="42"/>
      <c r="N235" s="42"/>
      <c r="O235" s="38"/>
      <c r="P235" s="38"/>
      <c r="Q235" s="38"/>
    </row>
    <row r="236" spans="3:17" s="39" customFormat="1" ht="15" x14ac:dyDescent="0.25">
      <c r="C236" s="38"/>
      <c r="D236" s="65"/>
      <c r="E236" s="65"/>
      <c r="F236" s="65"/>
      <c r="H236" s="40"/>
      <c r="I236" s="41"/>
      <c r="J236" s="41"/>
      <c r="K236" s="41"/>
      <c r="L236" s="41"/>
      <c r="M236" s="42"/>
      <c r="N236" s="42"/>
      <c r="O236" s="38"/>
      <c r="P236" s="38"/>
      <c r="Q236" s="38"/>
    </row>
    <row r="237" spans="3:17" s="39" customFormat="1" ht="15" x14ac:dyDescent="0.25">
      <c r="C237" s="38"/>
      <c r="D237" s="65"/>
      <c r="E237" s="65"/>
      <c r="F237" s="65"/>
      <c r="H237" s="40"/>
      <c r="I237" s="41"/>
      <c r="J237" s="41"/>
      <c r="K237" s="41"/>
      <c r="L237" s="41"/>
      <c r="M237" s="42"/>
      <c r="N237" s="42"/>
      <c r="O237" s="38"/>
      <c r="P237" s="38"/>
      <c r="Q237" s="38"/>
    </row>
    <row r="238" spans="3:17" s="39" customFormat="1" ht="15" x14ac:dyDescent="0.25">
      <c r="C238" s="38"/>
      <c r="D238" s="65"/>
      <c r="E238" s="65"/>
      <c r="F238" s="65"/>
      <c r="H238" s="40"/>
      <c r="I238" s="41"/>
      <c r="J238" s="41"/>
      <c r="K238" s="41"/>
      <c r="L238" s="41"/>
      <c r="M238" s="42"/>
      <c r="N238" s="42"/>
      <c r="O238" s="38"/>
      <c r="P238" s="38"/>
      <c r="Q238" s="38"/>
    </row>
    <row r="239" spans="3:17" s="39" customFormat="1" ht="15" x14ac:dyDescent="0.25">
      <c r="C239" s="38"/>
      <c r="D239" s="65"/>
      <c r="E239" s="65"/>
      <c r="F239" s="65"/>
      <c r="H239" s="40"/>
      <c r="I239" s="41"/>
      <c r="J239" s="41"/>
      <c r="K239" s="41"/>
      <c r="L239" s="41"/>
      <c r="M239" s="42"/>
      <c r="N239" s="42"/>
      <c r="O239" s="38"/>
      <c r="P239" s="38"/>
      <c r="Q239" s="38"/>
    </row>
    <row r="240" spans="3:17" s="39" customFormat="1" ht="15" x14ac:dyDescent="0.25">
      <c r="C240" s="38"/>
      <c r="D240" s="65"/>
      <c r="E240" s="65"/>
      <c r="F240" s="65"/>
      <c r="H240" s="40"/>
      <c r="I240" s="41"/>
      <c r="J240" s="41"/>
      <c r="K240" s="41"/>
      <c r="L240" s="41"/>
      <c r="M240" s="42"/>
      <c r="N240" s="42"/>
      <c r="O240" s="38"/>
      <c r="P240" s="38"/>
      <c r="Q240" s="38"/>
    </row>
    <row r="241" spans="3:17" s="39" customFormat="1" ht="15" x14ac:dyDescent="0.25">
      <c r="C241" s="38"/>
      <c r="D241" s="65"/>
      <c r="E241" s="65"/>
      <c r="F241" s="65"/>
      <c r="H241" s="40"/>
      <c r="I241" s="41"/>
      <c r="J241" s="41"/>
      <c r="K241" s="41"/>
      <c r="L241" s="41"/>
      <c r="M241" s="42"/>
      <c r="N241" s="42"/>
      <c r="O241" s="38"/>
      <c r="P241" s="38"/>
      <c r="Q241" s="38"/>
    </row>
    <row r="242" spans="3:17" s="39" customFormat="1" ht="15" x14ac:dyDescent="0.25">
      <c r="C242" s="38"/>
      <c r="D242" s="65"/>
      <c r="E242" s="65"/>
      <c r="F242" s="65"/>
      <c r="H242" s="40"/>
      <c r="I242" s="41"/>
      <c r="J242" s="41"/>
      <c r="K242" s="41"/>
      <c r="L242" s="41"/>
      <c r="M242" s="42"/>
      <c r="N242" s="42"/>
      <c r="O242" s="38"/>
      <c r="P242" s="38"/>
      <c r="Q242" s="38"/>
    </row>
    <row r="243" spans="3:17" s="39" customFormat="1" ht="15" x14ac:dyDescent="0.25">
      <c r="C243" s="38"/>
      <c r="D243" s="65"/>
      <c r="E243" s="65"/>
      <c r="F243" s="65"/>
      <c r="H243" s="40"/>
      <c r="I243" s="41"/>
      <c r="J243" s="41"/>
      <c r="K243" s="41"/>
      <c r="L243" s="41"/>
      <c r="M243" s="42"/>
      <c r="N243" s="42"/>
      <c r="O243" s="38"/>
      <c r="P243" s="38"/>
      <c r="Q243" s="38"/>
    </row>
    <row r="244" spans="3:17" s="39" customFormat="1" ht="15" x14ac:dyDescent="0.25">
      <c r="C244" s="38"/>
      <c r="D244" s="65"/>
      <c r="E244" s="65"/>
      <c r="F244" s="65"/>
      <c r="H244" s="40"/>
      <c r="I244" s="41"/>
      <c r="J244" s="41"/>
      <c r="K244" s="41"/>
      <c r="L244" s="41"/>
      <c r="M244" s="42"/>
      <c r="N244" s="42"/>
      <c r="O244" s="38"/>
      <c r="P244" s="38"/>
      <c r="Q244" s="38"/>
    </row>
    <row r="245" spans="3:17" s="39" customFormat="1" ht="15" x14ac:dyDescent="0.25">
      <c r="C245" s="38"/>
      <c r="D245" s="65"/>
      <c r="E245" s="65"/>
      <c r="F245" s="65"/>
      <c r="H245" s="40"/>
      <c r="I245" s="41"/>
      <c r="J245" s="41"/>
      <c r="K245" s="41"/>
      <c r="L245" s="41"/>
      <c r="M245" s="42"/>
      <c r="N245" s="42"/>
      <c r="O245" s="38"/>
      <c r="P245" s="38"/>
      <c r="Q245" s="38"/>
    </row>
    <row r="246" spans="3:17" s="39" customFormat="1" ht="15" x14ac:dyDescent="0.25">
      <c r="C246" s="38"/>
      <c r="D246" s="65"/>
      <c r="E246" s="65"/>
      <c r="F246" s="65"/>
      <c r="H246" s="40"/>
      <c r="I246" s="41"/>
      <c r="J246" s="41"/>
      <c r="K246" s="41"/>
      <c r="L246" s="41"/>
      <c r="M246" s="42"/>
      <c r="N246" s="42"/>
      <c r="O246" s="38"/>
      <c r="P246" s="38"/>
      <c r="Q246" s="38"/>
    </row>
    <row r="247" spans="3:17" s="39" customFormat="1" ht="15" x14ac:dyDescent="0.25">
      <c r="C247" s="38"/>
      <c r="D247" s="65"/>
      <c r="E247" s="65"/>
      <c r="F247" s="65"/>
      <c r="H247" s="40"/>
      <c r="I247" s="41"/>
      <c r="J247" s="41"/>
      <c r="K247" s="41"/>
      <c r="L247" s="41"/>
      <c r="M247" s="42"/>
      <c r="N247" s="42"/>
      <c r="O247" s="38"/>
      <c r="P247" s="38"/>
      <c r="Q247" s="38"/>
    </row>
    <row r="248" spans="3:17" s="39" customFormat="1" ht="15" x14ac:dyDescent="0.25">
      <c r="C248" s="38"/>
      <c r="D248" s="65"/>
      <c r="E248" s="65"/>
      <c r="F248" s="65"/>
      <c r="H248" s="40"/>
      <c r="I248" s="41"/>
      <c r="J248" s="41"/>
      <c r="K248" s="41"/>
      <c r="L248" s="41"/>
      <c r="M248" s="42"/>
      <c r="N248" s="42"/>
      <c r="O248" s="38"/>
      <c r="P248" s="38"/>
      <c r="Q248" s="38"/>
    </row>
    <row r="249" spans="3:17" s="39" customFormat="1" ht="15" x14ac:dyDescent="0.25">
      <c r="C249" s="38"/>
      <c r="D249" s="65"/>
      <c r="E249" s="65"/>
      <c r="F249" s="65"/>
      <c r="H249" s="40"/>
      <c r="I249" s="41"/>
      <c r="J249" s="41"/>
      <c r="K249" s="41"/>
      <c r="L249" s="41"/>
      <c r="M249" s="42"/>
      <c r="N249" s="42"/>
      <c r="O249" s="38"/>
      <c r="P249" s="38"/>
      <c r="Q249" s="38"/>
    </row>
    <row r="250" spans="3:17" s="39" customFormat="1" ht="15" x14ac:dyDescent="0.25">
      <c r="C250" s="38"/>
      <c r="D250" s="65"/>
      <c r="E250" s="65"/>
      <c r="F250" s="65"/>
      <c r="H250" s="40"/>
      <c r="I250" s="41"/>
      <c r="J250" s="41"/>
      <c r="K250" s="41"/>
      <c r="L250" s="41"/>
      <c r="M250" s="42"/>
      <c r="N250" s="42"/>
      <c r="O250" s="38"/>
      <c r="P250" s="38"/>
      <c r="Q250" s="38"/>
    </row>
    <row r="251" spans="3:17" s="39" customFormat="1" ht="15" x14ac:dyDescent="0.25">
      <c r="C251" s="38"/>
      <c r="D251" s="65"/>
      <c r="E251" s="65"/>
      <c r="F251" s="65"/>
      <c r="H251" s="40"/>
      <c r="I251" s="41"/>
      <c r="J251" s="41"/>
      <c r="K251" s="41"/>
      <c r="L251" s="41"/>
      <c r="M251" s="42"/>
      <c r="N251" s="42"/>
      <c r="O251" s="38"/>
      <c r="P251" s="38"/>
      <c r="Q251" s="38"/>
    </row>
    <row r="252" spans="3:17" s="39" customFormat="1" ht="15" x14ac:dyDescent="0.25">
      <c r="C252" s="38"/>
      <c r="D252" s="65"/>
      <c r="E252" s="65"/>
      <c r="F252" s="65"/>
      <c r="H252" s="40"/>
      <c r="I252" s="41"/>
      <c r="J252" s="41"/>
      <c r="K252" s="41"/>
      <c r="L252" s="41"/>
      <c r="M252" s="42"/>
      <c r="N252" s="42"/>
      <c r="O252" s="38"/>
      <c r="P252" s="38"/>
      <c r="Q252" s="38"/>
    </row>
    <row r="253" spans="3:17" s="39" customFormat="1" ht="15" x14ac:dyDescent="0.25">
      <c r="C253" s="38"/>
      <c r="D253" s="65"/>
      <c r="E253" s="65"/>
      <c r="F253" s="65"/>
      <c r="H253" s="40"/>
      <c r="I253" s="41"/>
      <c r="J253" s="41"/>
      <c r="K253" s="41"/>
      <c r="L253" s="41"/>
      <c r="M253" s="42"/>
      <c r="N253" s="42"/>
      <c r="O253" s="38"/>
      <c r="P253" s="38"/>
      <c r="Q253" s="38"/>
    </row>
    <row r="254" spans="3:17" s="39" customFormat="1" ht="15" x14ac:dyDescent="0.25">
      <c r="C254" s="38"/>
      <c r="D254" s="65"/>
      <c r="E254" s="65"/>
      <c r="F254" s="65"/>
      <c r="H254" s="40"/>
      <c r="I254" s="41"/>
      <c r="J254" s="41"/>
      <c r="K254" s="41"/>
      <c r="L254" s="41"/>
      <c r="M254" s="42"/>
      <c r="N254" s="42"/>
      <c r="O254" s="38"/>
      <c r="P254" s="38"/>
      <c r="Q254" s="38"/>
    </row>
    <row r="255" spans="3:17" s="39" customFormat="1" ht="15" x14ac:dyDescent="0.25">
      <c r="C255" s="38"/>
      <c r="D255" s="65"/>
      <c r="E255" s="65"/>
      <c r="F255" s="65"/>
      <c r="H255" s="40"/>
      <c r="I255" s="41"/>
      <c r="J255" s="41"/>
      <c r="K255" s="41"/>
      <c r="L255" s="41"/>
      <c r="M255" s="42"/>
      <c r="N255" s="42"/>
      <c r="O255" s="38"/>
      <c r="P255" s="38"/>
      <c r="Q255" s="38"/>
    </row>
    <row r="256" spans="3:17" s="39" customFormat="1" ht="15" x14ac:dyDescent="0.25">
      <c r="C256" s="38"/>
      <c r="D256" s="65"/>
      <c r="E256" s="65"/>
      <c r="F256" s="65"/>
      <c r="H256" s="40"/>
      <c r="I256" s="41"/>
      <c r="J256" s="41"/>
      <c r="K256" s="41"/>
      <c r="L256" s="41"/>
      <c r="M256" s="42"/>
      <c r="N256" s="42"/>
      <c r="O256" s="38"/>
      <c r="P256" s="38"/>
      <c r="Q256" s="38"/>
    </row>
    <row r="257" spans="3:17" s="39" customFormat="1" ht="15" x14ac:dyDescent="0.25">
      <c r="C257" s="38"/>
      <c r="D257" s="65"/>
      <c r="E257" s="65"/>
      <c r="F257" s="65"/>
      <c r="H257" s="40"/>
      <c r="I257" s="41"/>
      <c r="J257" s="41"/>
      <c r="K257" s="41"/>
      <c r="L257" s="41"/>
      <c r="M257" s="42"/>
      <c r="N257" s="42"/>
      <c r="O257" s="38"/>
      <c r="P257" s="38"/>
      <c r="Q257" s="38"/>
    </row>
    <row r="258" spans="3:17" s="39" customFormat="1" ht="15" x14ac:dyDescent="0.25">
      <c r="C258" s="38"/>
      <c r="D258" s="65"/>
      <c r="E258" s="65"/>
      <c r="F258" s="65"/>
      <c r="H258" s="40"/>
      <c r="I258" s="41"/>
      <c r="J258" s="41"/>
      <c r="K258" s="41"/>
      <c r="L258" s="41"/>
      <c r="M258" s="42"/>
      <c r="N258" s="42"/>
      <c r="O258" s="38"/>
      <c r="P258" s="38"/>
      <c r="Q258" s="38"/>
    </row>
    <row r="259" spans="3:17" s="39" customFormat="1" ht="15" x14ac:dyDescent="0.25">
      <c r="C259" s="38"/>
      <c r="D259" s="65"/>
      <c r="E259" s="65"/>
      <c r="F259" s="65"/>
      <c r="H259" s="40"/>
      <c r="I259" s="41"/>
      <c r="J259" s="41"/>
      <c r="K259" s="41"/>
      <c r="L259" s="41"/>
      <c r="M259" s="42"/>
      <c r="N259" s="42"/>
      <c r="O259" s="38"/>
      <c r="P259" s="38"/>
      <c r="Q259" s="38"/>
    </row>
    <row r="260" spans="3:17" s="39" customFormat="1" ht="15" x14ac:dyDescent="0.25">
      <c r="C260" s="38"/>
      <c r="D260" s="65"/>
      <c r="E260" s="65"/>
      <c r="F260" s="65"/>
      <c r="H260" s="40"/>
      <c r="I260" s="41"/>
      <c r="J260" s="41"/>
      <c r="K260" s="41"/>
      <c r="L260" s="41"/>
      <c r="M260" s="42"/>
      <c r="N260" s="42"/>
      <c r="O260" s="38"/>
      <c r="P260" s="38"/>
      <c r="Q260" s="38"/>
    </row>
    <row r="261" spans="3:17" s="39" customFormat="1" ht="15" x14ac:dyDescent="0.25">
      <c r="C261" s="38"/>
      <c r="D261" s="65"/>
      <c r="E261" s="65"/>
      <c r="F261" s="65"/>
      <c r="H261" s="40"/>
      <c r="I261" s="41"/>
      <c r="J261" s="41"/>
      <c r="K261" s="41"/>
      <c r="L261" s="41"/>
      <c r="M261" s="42"/>
      <c r="N261" s="42"/>
      <c r="O261" s="38"/>
      <c r="P261" s="38"/>
      <c r="Q261" s="38"/>
    </row>
    <row r="262" spans="3:17" s="39" customFormat="1" ht="15" x14ac:dyDescent="0.25">
      <c r="C262" s="38"/>
      <c r="D262" s="65"/>
      <c r="E262" s="65"/>
      <c r="F262" s="65"/>
      <c r="H262" s="40"/>
      <c r="I262" s="41"/>
      <c r="J262" s="41"/>
      <c r="K262" s="41"/>
      <c r="L262" s="41"/>
      <c r="M262" s="42"/>
      <c r="N262" s="42"/>
      <c r="O262" s="38"/>
      <c r="P262" s="38"/>
      <c r="Q262" s="38"/>
    </row>
    <row r="263" spans="3:17" s="39" customFormat="1" ht="15" x14ac:dyDescent="0.25">
      <c r="C263" s="38"/>
      <c r="D263" s="65"/>
      <c r="E263" s="65"/>
      <c r="F263" s="65"/>
      <c r="H263" s="40"/>
      <c r="I263" s="41"/>
      <c r="J263" s="41"/>
      <c r="K263" s="41"/>
      <c r="L263" s="41"/>
      <c r="M263" s="42"/>
      <c r="N263" s="42"/>
      <c r="O263" s="38"/>
      <c r="P263" s="38"/>
      <c r="Q263" s="38"/>
    </row>
    <row r="264" spans="3:17" s="39" customFormat="1" ht="15" x14ac:dyDescent="0.25">
      <c r="C264" s="38"/>
      <c r="D264" s="65"/>
      <c r="E264" s="65"/>
      <c r="F264" s="65"/>
      <c r="H264" s="40"/>
      <c r="I264" s="41"/>
      <c r="J264" s="41"/>
      <c r="K264" s="41"/>
      <c r="L264" s="41"/>
      <c r="M264" s="42"/>
      <c r="N264" s="42"/>
      <c r="O264" s="38"/>
      <c r="P264" s="38"/>
      <c r="Q264" s="38"/>
    </row>
    <row r="265" spans="3:17" s="39" customFormat="1" ht="15" x14ac:dyDescent="0.25">
      <c r="C265" s="38"/>
      <c r="D265" s="65"/>
      <c r="E265" s="65"/>
      <c r="F265" s="65"/>
      <c r="H265" s="40"/>
      <c r="I265" s="41"/>
      <c r="J265" s="41"/>
      <c r="K265" s="41"/>
      <c r="L265" s="41"/>
      <c r="M265" s="42"/>
      <c r="N265" s="42"/>
      <c r="O265" s="38"/>
      <c r="P265" s="38"/>
      <c r="Q265" s="38"/>
    </row>
    <row r="266" spans="3:17" s="39" customFormat="1" ht="15" x14ac:dyDescent="0.25">
      <c r="C266" s="38"/>
      <c r="D266" s="65"/>
      <c r="E266" s="65"/>
      <c r="F266" s="65"/>
      <c r="H266" s="40"/>
      <c r="I266" s="41"/>
      <c r="J266" s="41"/>
      <c r="K266" s="41"/>
      <c r="L266" s="41"/>
      <c r="M266" s="42"/>
      <c r="N266" s="42"/>
      <c r="O266" s="38"/>
      <c r="P266" s="38"/>
      <c r="Q266" s="38"/>
    </row>
    <row r="267" spans="3:17" s="39" customFormat="1" ht="15" x14ac:dyDescent="0.25">
      <c r="C267" s="38"/>
      <c r="D267" s="65"/>
      <c r="E267" s="65"/>
      <c r="F267" s="65"/>
      <c r="H267" s="40"/>
      <c r="I267" s="41"/>
      <c r="J267" s="41"/>
      <c r="K267" s="41"/>
      <c r="L267" s="41"/>
      <c r="M267" s="42"/>
      <c r="N267" s="42"/>
      <c r="O267" s="38"/>
      <c r="P267" s="38"/>
      <c r="Q267" s="38"/>
    </row>
    <row r="268" spans="3:17" s="39" customFormat="1" ht="15" x14ac:dyDescent="0.25">
      <c r="C268" s="38"/>
      <c r="D268" s="65"/>
      <c r="E268" s="65"/>
      <c r="F268" s="65"/>
      <c r="H268" s="40"/>
      <c r="I268" s="41"/>
      <c r="J268" s="41"/>
      <c r="K268" s="41"/>
      <c r="L268" s="41"/>
      <c r="M268" s="42"/>
      <c r="N268" s="42"/>
      <c r="O268" s="38"/>
      <c r="P268" s="38"/>
      <c r="Q268" s="38"/>
    </row>
    <row r="269" spans="3:17" s="39" customFormat="1" ht="15" x14ac:dyDescent="0.25">
      <c r="C269" s="38"/>
      <c r="D269" s="65"/>
      <c r="E269" s="65"/>
      <c r="F269" s="65"/>
      <c r="H269" s="40"/>
      <c r="I269" s="41"/>
      <c r="J269" s="41"/>
      <c r="K269" s="41"/>
      <c r="L269" s="41"/>
      <c r="M269" s="42"/>
      <c r="N269" s="42"/>
      <c r="O269" s="38"/>
      <c r="P269" s="38"/>
      <c r="Q269" s="38"/>
    </row>
    <row r="270" spans="3:17" s="39" customFormat="1" ht="15" x14ac:dyDescent="0.25">
      <c r="C270" s="38"/>
      <c r="D270" s="65"/>
      <c r="E270" s="65"/>
      <c r="F270" s="65"/>
      <c r="H270" s="40"/>
      <c r="I270" s="41"/>
      <c r="J270" s="41"/>
      <c r="K270" s="41"/>
      <c r="L270" s="41"/>
      <c r="M270" s="42"/>
      <c r="N270" s="42"/>
      <c r="O270" s="38"/>
      <c r="P270" s="38"/>
      <c r="Q270" s="38"/>
    </row>
    <row r="271" spans="3:17" s="39" customFormat="1" ht="15" x14ac:dyDescent="0.25">
      <c r="C271" s="38"/>
      <c r="D271" s="65"/>
      <c r="E271" s="65"/>
      <c r="F271" s="65"/>
      <c r="H271" s="40"/>
      <c r="I271" s="41"/>
      <c r="J271" s="41"/>
      <c r="K271" s="41"/>
      <c r="L271" s="41"/>
      <c r="M271" s="42"/>
      <c r="N271" s="42"/>
      <c r="O271" s="38"/>
      <c r="P271" s="38"/>
      <c r="Q271" s="38"/>
    </row>
    <row r="272" spans="3:17" s="39" customFormat="1" ht="15" x14ac:dyDescent="0.25">
      <c r="C272" s="38"/>
      <c r="D272" s="65"/>
      <c r="E272" s="65"/>
      <c r="F272" s="65"/>
      <c r="H272" s="40"/>
      <c r="I272" s="41"/>
      <c r="J272" s="41"/>
      <c r="K272" s="41"/>
      <c r="L272" s="41"/>
      <c r="M272" s="42"/>
      <c r="N272" s="42"/>
      <c r="O272" s="38"/>
      <c r="P272" s="38"/>
      <c r="Q272" s="38"/>
    </row>
    <row r="273" spans="3:17" s="39" customFormat="1" ht="15" x14ac:dyDescent="0.25">
      <c r="C273" s="38"/>
      <c r="D273" s="65"/>
      <c r="E273" s="65"/>
      <c r="F273" s="65"/>
      <c r="H273" s="40"/>
      <c r="I273" s="41"/>
      <c r="J273" s="41"/>
      <c r="K273" s="41"/>
      <c r="L273" s="41"/>
      <c r="M273" s="42"/>
      <c r="N273" s="42"/>
      <c r="O273" s="38"/>
      <c r="P273" s="38"/>
      <c r="Q273" s="38"/>
    </row>
    <row r="274" spans="3:17" s="39" customFormat="1" ht="15" x14ac:dyDescent="0.25">
      <c r="C274" s="38"/>
      <c r="D274" s="65"/>
      <c r="E274" s="65"/>
      <c r="F274" s="65"/>
      <c r="H274" s="40"/>
      <c r="I274" s="41"/>
      <c r="J274" s="41"/>
      <c r="K274" s="41"/>
      <c r="L274" s="41"/>
      <c r="M274" s="42"/>
      <c r="N274" s="42"/>
      <c r="O274" s="38"/>
      <c r="P274" s="38"/>
      <c r="Q274" s="38"/>
    </row>
    <row r="275" spans="3:17" s="39" customFormat="1" ht="15" x14ac:dyDescent="0.25">
      <c r="C275" s="38"/>
      <c r="D275" s="65"/>
      <c r="E275" s="65"/>
      <c r="F275" s="65"/>
      <c r="H275" s="40"/>
      <c r="I275" s="41"/>
      <c r="J275" s="41"/>
      <c r="K275" s="41"/>
      <c r="L275" s="41"/>
      <c r="M275" s="42"/>
      <c r="N275" s="42"/>
      <c r="O275" s="38"/>
      <c r="P275" s="38"/>
      <c r="Q275" s="38"/>
    </row>
    <row r="276" spans="3:17" s="39" customFormat="1" ht="15" x14ac:dyDescent="0.25">
      <c r="C276" s="38"/>
      <c r="D276" s="65"/>
      <c r="E276" s="65"/>
      <c r="F276" s="65"/>
      <c r="H276" s="40"/>
      <c r="I276" s="41"/>
      <c r="J276" s="41"/>
      <c r="K276" s="41"/>
      <c r="L276" s="41"/>
      <c r="M276" s="42"/>
      <c r="N276" s="42"/>
      <c r="O276" s="38"/>
      <c r="P276" s="38"/>
      <c r="Q276" s="38"/>
    </row>
    <row r="277" spans="3:17" s="39" customFormat="1" ht="15" x14ac:dyDescent="0.25">
      <c r="C277" s="38"/>
      <c r="D277" s="65"/>
      <c r="E277" s="65"/>
      <c r="F277" s="65"/>
      <c r="H277" s="40"/>
      <c r="I277" s="41"/>
      <c r="J277" s="41"/>
      <c r="K277" s="41"/>
      <c r="L277" s="41"/>
      <c r="M277" s="42"/>
      <c r="N277" s="42"/>
      <c r="O277" s="38"/>
      <c r="P277" s="38"/>
      <c r="Q277" s="38"/>
    </row>
    <row r="278" spans="3:17" s="39" customFormat="1" ht="15" x14ac:dyDescent="0.25">
      <c r="C278" s="38"/>
      <c r="D278" s="65"/>
      <c r="E278" s="65"/>
      <c r="F278" s="65"/>
      <c r="H278" s="40"/>
      <c r="I278" s="41"/>
      <c r="J278" s="41"/>
      <c r="K278" s="41"/>
      <c r="L278" s="41"/>
      <c r="M278" s="42"/>
      <c r="N278" s="42"/>
      <c r="O278" s="38"/>
      <c r="P278" s="38"/>
      <c r="Q278" s="38"/>
    </row>
    <row r="279" spans="3:17" s="39" customFormat="1" ht="15" x14ac:dyDescent="0.25">
      <c r="C279" s="38"/>
      <c r="D279" s="65"/>
      <c r="E279" s="65"/>
      <c r="F279" s="65"/>
      <c r="H279" s="40"/>
      <c r="I279" s="41"/>
      <c r="J279" s="41"/>
      <c r="K279" s="41"/>
      <c r="L279" s="41"/>
      <c r="M279" s="42"/>
      <c r="N279" s="42"/>
      <c r="O279" s="38"/>
      <c r="P279" s="38"/>
      <c r="Q279" s="38"/>
    </row>
    <row r="280" spans="3:17" s="39" customFormat="1" ht="15" x14ac:dyDescent="0.25">
      <c r="C280" s="38"/>
      <c r="D280" s="65"/>
      <c r="E280" s="65"/>
      <c r="F280" s="65"/>
      <c r="H280" s="40"/>
      <c r="I280" s="41"/>
      <c r="J280" s="41"/>
      <c r="K280" s="41"/>
      <c r="L280" s="41"/>
      <c r="M280" s="42"/>
      <c r="N280" s="42"/>
      <c r="O280" s="38"/>
      <c r="P280" s="38"/>
      <c r="Q280" s="38"/>
    </row>
    <row r="281" spans="3:17" s="39" customFormat="1" ht="15" x14ac:dyDescent="0.25">
      <c r="C281" s="38"/>
      <c r="D281" s="65"/>
      <c r="E281" s="65"/>
      <c r="F281" s="65"/>
      <c r="H281" s="40"/>
      <c r="I281" s="41"/>
      <c r="J281" s="41"/>
      <c r="K281" s="41"/>
      <c r="L281" s="41"/>
      <c r="M281" s="42"/>
      <c r="N281" s="42"/>
      <c r="O281" s="38"/>
      <c r="P281" s="38"/>
      <c r="Q281" s="38"/>
    </row>
    <row r="282" spans="3:17" s="39" customFormat="1" ht="15" x14ac:dyDescent="0.25">
      <c r="C282" s="38"/>
      <c r="D282" s="65"/>
      <c r="E282" s="65"/>
      <c r="F282" s="65"/>
      <c r="H282" s="40"/>
      <c r="I282" s="41"/>
      <c r="J282" s="41"/>
      <c r="K282" s="41"/>
      <c r="L282" s="41"/>
      <c r="M282" s="42"/>
      <c r="N282" s="42"/>
      <c r="O282" s="38"/>
      <c r="P282" s="38"/>
      <c r="Q282" s="38"/>
    </row>
    <row r="283" spans="3:17" s="39" customFormat="1" ht="15" x14ac:dyDescent="0.25">
      <c r="C283" s="38"/>
      <c r="D283" s="65"/>
      <c r="E283" s="65"/>
      <c r="F283" s="65"/>
      <c r="H283" s="40"/>
      <c r="I283" s="41"/>
      <c r="J283" s="41"/>
      <c r="K283" s="41"/>
      <c r="L283" s="41"/>
      <c r="M283" s="42"/>
      <c r="N283" s="42"/>
      <c r="O283" s="38"/>
      <c r="P283" s="38"/>
      <c r="Q283" s="38"/>
    </row>
    <row r="284" spans="3:17" s="39" customFormat="1" ht="15" x14ac:dyDescent="0.25">
      <c r="C284" s="38"/>
      <c r="D284" s="65"/>
      <c r="E284" s="65"/>
      <c r="F284" s="65"/>
      <c r="H284" s="40"/>
      <c r="I284" s="41"/>
      <c r="J284" s="41"/>
      <c r="K284" s="41"/>
      <c r="L284" s="41"/>
      <c r="M284" s="42"/>
      <c r="N284" s="42"/>
      <c r="O284" s="38"/>
      <c r="P284" s="38"/>
      <c r="Q284" s="38"/>
    </row>
    <row r="285" spans="3:17" s="39" customFormat="1" ht="15" x14ac:dyDescent="0.25">
      <c r="C285" s="38"/>
      <c r="D285" s="65"/>
      <c r="E285" s="65"/>
      <c r="F285" s="65"/>
      <c r="H285" s="40"/>
      <c r="I285" s="41"/>
      <c r="J285" s="41"/>
      <c r="K285" s="41"/>
      <c r="L285" s="41"/>
      <c r="M285" s="42"/>
      <c r="N285" s="42"/>
      <c r="O285" s="38"/>
      <c r="P285" s="38"/>
      <c r="Q285" s="38"/>
    </row>
    <row r="286" spans="3:17" s="39" customFormat="1" ht="15" x14ac:dyDescent="0.25">
      <c r="C286" s="38"/>
      <c r="D286" s="65"/>
      <c r="E286" s="65"/>
      <c r="F286" s="65"/>
      <c r="H286" s="40"/>
      <c r="I286" s="41"/>
      <c r="J286" s="41"/>
      <c r="K286" s="41"/>
      <c r="L286" s="41"/>
      <c r="M286" s="42"/>
      <c r="N286" s="42"/>
      <c r="O286" s="38"/>
      <c r="P286" s="38"/>
      <c r="Q286" s="38"/>
    </row>
    <row r="287" spans="3:17" s="39" customFormat="1" ht="15" x14ac:dyDescent="0.25">
      <c r="C287" s="38"/>
      <c r="D287" s="65"/>
      <c r="E287" s="65"/>
      <c r="F287" s="65"/>
      <c r="H287" s="40"/>
      <c r="I287" s="41"/>
      <c r="J287" s="41"/>
      <c r="K287" s="41"/>
      <c r="L287" s="41"/>
      <c r="M287" s="42"/>
      <c r="N287" s="42"/>
      <c r="O287" s="38"/>
      <c r="P287" s="38"/>
      <c r="Q287" s="38"/>
    </row>
    <row r="288" spans="3:17" s="39" customFormat="1" ht="15" x14ac:dyDescent="0.25">
      <c r="C288" s="38"/>
      <c r="D288" s="65"/>
      <c r="E288" s="65"/>
      <c r="F288" s="65"/>
      <c r="H288" s="40"/>
      <c r="I288" s="41"/>
      <c r="J288" s="41"/>
      <c r="K288" s="41"/>
      <c r="L288" s="41"/>
      <c r="M288" s="42"/>
      <c r="N288" s="42"/>
      <c r="O288" s="38"/>
      <c r="P288" s="38"/>
      <c r="Q288" s="38"/>
    </row>
    <row r="289" spans="3:17" s="39" customFormat="1" ht="15" x14ac:dyDescent="0.25">
      <c r="C289" s="38"/>
      <c r="D289" s="65"/>
      <c r="E289" s="65"/>
      <c r="F289" s="65"/>
      <c r="H289" s="40"/>
      <c r="I289" s="41"/>
      <c r="J289" s="41"/>
      <c r="K289" s="41"/>
      <c r="L289" s="41"/>
      <c r="M289" s="42"/>
      <c r="N289" s="42"/>
      <c r="O289" s="38"/>
      <c r="P289" s="38"/>
      <c r="Q289" s="38"/>
    </row>
    <row r="290" spans="3:17" s="39" customFormat="1" ht="15" x14ac:dyDescent="0.25">
      <c r="C290" s="38"/>
      <c r="D290" s="65"/>
      <c r="E290" s="65"/>
      <c r="F290" s="65"/>
      <c r="H290" s="40"/>
      <c r="I290" s="41"/>
      <c r="J290" s="41"/>
      <c r="K290" s="41"/>
      <c r="L290" s="41"/>
      <c r="M290" s="42"/>
      <c r="N290" s="42"/>
      <c r="O290" s="38"/>
      <c r="P290" s="38"/>
      <c r="Q290" s="38"/>
    </row>
    <row r="291" spans="3:17" s="39" customFormat="1" ht="15" x14ac:dyDescent="0.25">
      <c r="C291" s="38"/>
      <c r="D291" s="65"/>
      <c r="E291" s="65"/>
      <c r="F291" s="65"/>
      <c r="H291" s="40"/>
      <c r="I291" s="41"/>
      <c r="J291" s="41"/>
      <c r="K291" s="41"/>
      <c r="L291" s="41"/>
      <c r="M291" s="42"/>
      <c r="N291" s="42"/>
      <c r="O291" s="38"/>
      <c r="P291" s="38"/>
      <c r="Q291" s="38"/>
    </row>
    <row r="292" spans="3:17" s="39" customFormat="1" ht="15" x14ac:dyDescent="0.25">
      <c r="C292" s="38"/>
      <c r="D292" s="65"/>
      <c r="E292" s="65"/>
      <c r="F292" s="65"/>
      <c r="H292" s="40"/>
      <c r="I292" s="41"/>
      <c r="J292" s="41"/>
      <c r="K292" s="41"/>
      <c r="L292" s="41"/>
      <c r="M292" s="42"/>
      <c r="N292" s="42"/>
      <c r="O292" s="38"/>
      <c r="P292" s="38"/>
      <c r="Q292" s="38"/>
    </row>
    <row r="293" spans="3:17" s="39" customFormat="1" ht="15" x14ac:dyDescent="0.25">
      <c r="C293" s="38"/>
      <c r="D293" s="65"/>
      <c r="E293" s="65"/>
      <c r="F293" s="65"/>
      <c r="H293" s="40"/>
      <c r="I293" s="41"/>
      <c r="J293" s="41"/>
      <c r="K293" s="41"/>
      <c r="L293" s="41"/>
      <c r="M293" s="42"/>
      <c r="N293" s="42"/>
      <c r="O293" s="38"/>
      <c r="P293" s="38"/>
      <c r="Q293" s="38"/>
    </row>
    <row r="294" spans="3:17" s="39" customFormat="1" ht="15" x14ac:dyDescent="0.25">
      <c r="C294" s="38"/>
      <c r="D294" s="65"/>
      <c r="E294" s="65"/>
      <c r="F294" s="65"/>
      <c r="H294" s="40"/>
      <c r="I294" s="41"/>
      <c r="J294" s="41"/>
      <c r="K294" s="41"/>
      <c r="L294" s="41"/>
      <c r="M294" s="42"/>
      <c r="N294" s="42"/>
      <c r="O294" s="38"/>
      <c r="P294" s="38"/>
      <c r="Q294" s="38"/>
    </row>
    <row r="295" spans="3:17" s="39" customFormat="1" ht="15" x14ac:dyDescent="0.25">
      <c r="C295" s="38"/>
      <c r="D295" s="65"/>
      <c r="E295" s="65"/>
      <c r="F295" s="65"/>
      <c r="H295" s="40"/>
      <c r="I295" s="41"/>
      <c r="J295" s="41"/>
      <c r="K295" s="41"/>
      <c r="L295" s="41"/>
      <c r="M295" s="42"/>
      <c r="N295" s="42"/>
      <c r="O295" s="38"/>
      <c r="P295" s="38"/>
      <c r="Q295" s="38"/>
    </row>
    <row r="296" spans="3:17" s="39" customFormat="1" ht="15" x14ac:dyDescent="0.25">
      <c r="C296" s="38"/>
      <c r="D296" s="65"/>
      <c r="E296" s="65"/>
      <c r="F296" s="65"/>
      <c r="H296" s="40"/>
      <c r="I296" s="41"/>
      <c r="J296" s="41"/>
      <c r="K296" s="41"/>
      <c r="L296" s="41"/>
      <c r="M296" s="42"/>
      <c r="N296" s="42"/>
      <c r="O296" s="38"/>
      <c r="P296" s="38"/>
      <c r="Q296" s="38"/>
    </row>
    <row r="297" spans="3:17" s="39" customFormat="1" ht="15" x14ac:dyDescent="0.25">
      <c r="C297" s="38"/>
      <c r="D297" s="65"/>
      <c r="E297" s="65"/>
      <c r="F297" s="65"/>
      <c r="H297" s="40"/>
      <c r="I297" s="41"/>
      <c r="J297" s="41"/>
      <c r="K297" s="41"/>
      <c r="L297" s="41"/>
      <c r="M297" s="42"/>
      <c r="N297" s="42"/>
      <c r="O297" s="38"/>
      <c r="P297" s="38"/>
      <c r="Q297" s="38"/>
    </row>
    <row r="298" spans="3:17" s="39" customFormat="1" ht="15" x14ac:dyDescent="0.25">
      <c r="C298" s="38"/>
      <c r="D298" s="65"/>
      <c r="E298" s="65"/>
      <c r="F298" s="65"/>
      <c r="H298" s="40"/>
      <c r="I298" s="41"/>
      <c r="J298" s="41"/>
      <c r="K298" s="41"/>
      <c r="L298" s="41"/>
      <c r="M298" s="42"/>
      <c r="N298" s="42"/>
      <c r="O298" s="38"/>
      <c r="P298" s="38"/>
      <c r="Q298" s="38"/>
    </row>
    <row r="299" spans="3:17" s="39" customFormat="1" ht="15" x14ac:dyDescent="0.25">
      <c r="C299" s="38"/>
      <c r="D299" s="65"/>
      <c r="E299" s="65"/>
      <c r="F299" s="65"/>
      <c r="H299" s="40"/>
      <c r="I299" s="41"/>
      <c r="J299" s="41"/>
      <c r="K299" s="41"/>
      <c r="L299" s="41"/>
      <c r="M299" s="42"/>
      <c r="N299" s="42"/>
      <c r="O299" s="38"/>
      <c r="P299" s="38"/>
      <c r="Q299" s="38"/>
    </row>
    <row r="300" spans="3:17" s="39" customFormat="1" ht="15" x14ac:dyDescent="0.25">
      <c r="C300" s="38"/>
      <c r="D300" s="65"/>
      <c r="E300" s="65"/>
      <c r="F300" s="65"/>
      <c r="H300" s="40"/>
      <c r="I300" s="41"/>
      <c r="J300" s="41"/>
      <c r="K300" s="41"/>
      <c r="L300" s="41"/>
      <c r="M300" s="42"/>
      <c r="N300" s="42"/>
      <c r="O300" s="38"/>
      <c r="P300" s="38"/>
      <c r="Q300" s="38"/>
    </row>
    <row r="301" spans="3:17" s="39" customFormat="1" ht="15" x14ac:dyDescent="0.25">
      <c r="C301" s="38"/>
      <c r="D301" s="65"/>
      <c r="E301" s="65"/>
      <c r="F301" s="65"/>
      <c r="H301" s="40"/>
      <c r="I301" s="41"/>
      <c r="J301" s="41"/>
      <c r="K301" s="41"/>
      <c r="L301" s="41"/>
      <c r="M301" s="42"/>
      <c r="N301" s="42"/>
      <c r="O301" s="38"/>
      <c r="P301" s="38"/>
      <c r="Q301" s="38"/>
    </row>
    <row r="302" spans="3:17" s="39" customFormat="1" ht="15" x14ac:dyDescent="0.25">
      <c r="C302" s="38"/>
      <c r="D302" s="65"/>
      <c r="E302" s="65"/>
      <c r="F302" s="65"/>
      <c r="H302" s="40"/>
      <c r="I302" s="41"/>
      <c r="J302" s="41"/>
      <c r="K302" s="41"/>
      <c r="L302" s="41"/>
      <c r="M302" s="42"/>
      <c r="N302" s="42"/>
      <c r="O302" s="38"/>
      <c r="P302" s="38"/>
      <c r="Q302" s="38"/>
    </row>
    <row r="303" spans="3:17" s="39" customFormat="1" ht="15" x14ac:dyDescent="0.25">
      <c r="C303" s="38"/>
      <c r="D303" s="65"/>
      <c r="E303" s="65"/>
      <c r="F303" s="65"/>
      <c r="H303" s="40"/>
      <c r="I303" s="41"/>
      <c r="J303" s="41"/>
      <c r="K303" s="41"/>
      <c r="L303" s="41"/>
      <c r="M303" s="42"/>
      <c r="N303" s="42"/>
      <c r="O303" s="38"/>
      <c r="P303" s="38"/>
      <c r="Q303" s="38"/>
    </row>
    <row r="304" spans="3:17" s="39" customFormat="1" ht="15" x14ac:dyDescent="0.25">
      <c r="C304" s="38"/>
      <c r="D304" s="65"/>
      <c r="E304" s="65"/>
      <c r="F304" s="65"/>
      <c r="H304" s="40"/>
      <c r="I304" s="41"/>
      <c r="J304" s="41"/>
      <c r="K304" s="41"/>
      <c r="L304" s="41"/>
      <c r="M304" s="42"/>
      <c r="N304" s="42"/>
      <c r="O304" s="38"/>
      <c r="P304" s="38"/>
      <c r="Q304" s="38"/>
    </row>
    <row r="305" spans="3:17" s="39" customFormat="1" ht="15" x14ac:dyDescent="0.25">
      <c r="C305" s="38"/>
      <c r="D305" s="65"/>
      <c r="E305" s="65"/>
      <c r="F305" s="65"/>
      <c r="H305" s="40"/>
      <c r="I305" s="41"/>
      <c r="J305" s="41"/>
      <c r="K305" s="41"/>
      <c r="L305" s="41"/>
      <c r="M305" s="42"/>
      <c r="N305" s="42"/>
      <c r="O305" s="38"/>
      <c r="P305" s="38"/>
      <c r="Q305" s="38"/>
    </row>
    <row r="306" spans="3:17" s="39" customFormat="1" ht="15" x14ac:dyDescent="0.25">
      <c r="C306" s="38"/>
      <c r="D306" s="65"/>
      <c r="E306" s="65"/>
      <c r="F306" s="65"/>
      <c r="H306" s="40"/>
      <c r="I306" s="41"/>
      <c r="J306" s="41"/>
      <c r="K306" s="41"/>
      <c r="L306" s="41"/>
      <c r="M306" s="42"/>
      <c r="N306" s="42"/>
      <c r="O306" s="38"/>
      <c r="P306" s="38"/>
      <c r="Q306" s="38"/>
    </row>
    <row r="307" spans="3:17" s="39" customFormat="1" ht="15" x14ac:dyDescent="0.25">
      <c r="C307" s="38"/>
      <c r="D307" s="65"/>
      <c r="E307" s="65"/>
      <c r="F307" s="65"/>
      <c r="H307" s="40"/>
      <c r="I307" s="41"/>
      <c r="J307" s="41"/>
      <c r="K307" s="41"/>
      <c r="L307" s="41"/>
      <c r="M307" s="42"/>
      <c r="N307" s="42"/>
      <c r="O307" s="38"/>
      <c r="P307" s="38"/>
      <c r="Q307" s="38"/>
    </row>
    <row r="308" spans="3:17" s="39" customFormat="1" ht="15" x14ac:dyDescent="0.25">
      <c r="C308" s="38"/>
      <c r="D308" s="65"/>
      <c r="E308" s="65"/>
      <c r="F308" s="65"/>
      <c r="H308" s="40"/>
      <c r="I308" s="41"/>
      <c r="J308" s="41"/>
      <c r="K308" s="41"/>
      <c r="L308" s="41"/>
      <c r="M308" s="42"/>
      <c r="N308" s="42"/>
      <c r="O308" s="38"/>
      <c r="P308" s="38"/>
      <c r="Q308" s="38"/>
    </row>
    <row r="309" spans="3:17" s="39" customFormat="1" ht="15" x14ac:dyDescent="0.25">
      <c r="C309" s="38"/>
      <c r="D309" s="65"/>
      <c r="E309" s="65"/>
      <c r="F309" s="65"/>
      <c r="H309" s="40"/>
      <c r="I309" s="41"/>
      <c r="J309" s="41"/>
      <c r="K309" s="41"/>
      <c r="L309" s="41"/>
      <c r="M309" s="42"/>
      <c r="N309" s="42"/>
      <c r="O309" s="38"/>
      <c r="P309" s="38"/>
      <c r="Q309" s="38"/>
    </row>
    <row r="310" spans="3:17" s="39" customFormat="1" ht="15" x14ac:dyDescent="0.25">
      <c r="C310" s="38"/>
      <c r="D310" s="65"/>
      <c r="E310" s="65"/>
      <c r="F310" s="65"/>
      <c r="H310" s="40"/>
      <c r="I310" s="41"/>
      <c r="J310" s="41"/>
      <c r="K310" s="41"/>
      <c r="L310" s="41"/>
      <c r="M310" s="42"/>
      <c r="N310" s="42"/>
      <c r="O310" s="38"/>
      <c r="P310" s="38"/>
      <c r="Q310" s="38"/>
    </row>
    <row r="311" spans="3:17" s="39" customFormat="1" ht="15" x14ac:dyDescent="0.25">
      <c r="C311" s="38"/>
      <c r="D311" s="65"/>
      <c r="E311" s="65"/>
      <c r="F311" s="65"/>
      <c r="H311" s="40"/>
      <c r="I311" s="41"/>
      <c r="J311" s="41"/>
      <c r="K311" s="41"/>
      <c r="L311" s="41"/>
      <c r="M311" s="42"/>
      <c r="N311" s="42"/>
      <c r="O311" s="38"/>
      <c r="P311" s="38"/>
      <c r="Q311" s="38"/>
    </row>
    <row r="312" spans="3:17" s="39" customFormat="1" ht="15" x14ac:dyDescent="0.25">
      <c r="C312" s="38"/>
      <c r="D312" s="65"/>
      <c r="E312" s="65"/>
      <c r="F312" s="65"/>
      <c r="H312" s="40"/>
      <c r="I312" s="41"/>
      <c r="J312" s="41"/>
      <c r="K312" s="41"/>
      <c r="L312" s="41"/>
      <c r="M312" s="42"/>
      <c r="N312" s="42"/>
      <c r="O312" s="38"/>
      <c r="P312" s="38"/>
      <c r="Q312" s="38"/>
    </row>
    <row r="313" spans="3:17" s="39" customFormat="1" ht="15" x14ac:dyDescent="0.25">
      <c r="C313" s="38"/>
      <c r="D313" s="65"/>
      <c r="E313" s="65"/>
      <c r="F313" s="65"/>
      <c r="H313" s="40"/>
      <c r="I313" s="41"/>
      <c r="J313" s="41"/>
      <c r="K313" s="41"/>
      <c r="L313" s="41"/>
      <c r="M313" s="42"/>
      <c r="N313" s="42"/>
      <c r="O313" s="38"/>
      <c r="P313" s="38"/>
      <c r="Q313" s="38"/>
    </row>
    <row r="314" spans="3:17" s="39" customFormat="1" ht="15" x14ac:dyDescent="0.25">
      <c r="C314" s="38"/>
      <c r="D314" s="65"/>
      <c r="E314" s="65"/>
      <c r="F314" s="65"/>
      <c r="H314" s="40"/>
      <c r="I314" s="41"/>
      <c r="J314" s="41"/>
      <c r="K314" s="41"/>
      <c r="L314" s="41"/>
      <c r="M314" s="42"/>
      <c r="N314" s="42"/>
      <c r="O314" s="38"/>
      <c r="P314" s="38"/>
      <c r="Q314" s="38"/>
    </row>
    <row r="315" spans="3:17" s="39" customFormat="1" ht="15" x14ac:dyDescent="0.25">
      <c r="C315" s="38"/>
      <c r="D315" s="65"/>
      <c r="E315" s="65"/>
      <c r="F315" s="65"/>
      <c r="H315" s="40"/>
      <c r="I315" s="41"/>
      <c r="J315" s="41"/>
      <c r="K315" s="41"/>
      <c r="L315" s="41"/>
      <c r="M315" s="42"/>
      <c r="N315" s="42"/>
      <c r="O315" s="38"/>
      <c r="P315" s="38"/>
      <c r="Q315" s="38"/>
    </row>
    <row r="316" spans="3:17" s="39" customFormat="1" ht="15" x14ac:dyDescent="0.25">
      <c r="C316" s="38"/>
      <c r="D316" s="65"/>
      <c r="E316" s="65"/>
      <c r="F316" s="65"/>
      <c r="H316" s="40"/>
      <c r="I316" s="41"/>
      <c r="J316" s="41"/>
      <c r="K316" s="41"/>
      <c r="L316" s="41"/>
      <c r="M316" s="42"/>
      <c r="N316" s="42"/>
      <c r="O316" s="38"/>
      <c r="P316" s="38"/>
      <c r="Q316" s="38"/>
    </row>
    <row r="317" spans="3:17" s="39" customFormat="1" ht="15" x14ac:dyDescent="0.25">
      <c r="C317" s="38"/>
      <c r="D317" s="65"/>
      <c r="E317" s="65"/>
      <c r="F317" s="65"/>
      <c r="H317" s="40"/>
      <c r="I317" s="41"/>
      <c r="J317" s="41"/>
      <c r="K317" s="41"/>
      <c r="L317" s="41"/>
      <c r="M317" s="42"/>
      <c r="N317" s="42"/>
      <c r="O317" s="38"/>
      <c r="P317" s="38"/>
      <c r="Q317" s="38"/>
    </row>
    <row r="318" spans="3:17" s="39" customFormat="1" ht="15" x14ac:dyDescent="0.25">
      <c r="C318" s="38"/>
      <c r="D318" s="65"/>
      <c r="E318" s="65"/>
      <c r="F318" s="65"/>
      <c r="H318" s="40"/>
      <c r="I318" s="41"/>
      <c r="J318" s="41"/>
      <c r="K318" s="41"/>
      <c r="L318" s="41"/>
      <c r="M318" s="42"/>
      <c r="N318" s="42"/>
      <c r="O318" s="38"/>
      <c r="P318" s="38"/>
      <c r="Q318" s="38"/>
    </row>
    <row r="319" spans="3:17" s="39" customFormat="1" ht="15" x14ac:dyDescent="0.25">
      <c r="C319" s="38"/>
      <c r="D319" s="65"/>
      <c r="E319" s="65"/>
      <c r="F319" s="65"/>
      <c r="H319" s="40"/>
      <c r="I319" s="41"/>
      <c r="J319" s="41"/>
      <c r="K319" s="41"/>
      <c r="L319" s="41"/>
      <c r="M319" s="42"/>
      <c r="N319" s="42"/>
      <c r="O319" s="38"/>
      <c r="P319" s="38"/>
      <c r="Q319" s="38"/>
    </row>
    <row r="320" spans="3:17" s="39" customFormat="1" ht="15" x14ac:dyDescent="0.25">
      <c r="C320" s="38"/>
      <c r="D320" s="65"/>
      <c r="E320" s="65"/>
      <c r="F320" s="65"/>
      <c r="H320" s="40"/>
      <c r="I320" s="41"/>
      <c r="J320" s="41"/>
      <c r="K320" s="41"/>
      <c r="L320" s="41"/>
      <c r="M320" s="42"/>
      <c r="N320" s="42"/>
      <c r="O320" s="38"/>
      <c r="P320" s="38"/>
      <c r="Q320" s="38"/>
    </row>
    <row r="321" spans="3:17" s="39" customFormat="1" ht="15" x14ac:dyDescent="0.25">
      <c r="C321" s="38"/>
      <c r="D321" s="65"/>
      <c r="E321" s="65"/>
      <c r="F321" s="65"/>
      <c r="H321" s="40"/>
      <c r="I321" s="41"/>
      <c r="J321" s="41"/>
      <c r="K321" s="41"/>
      <c r="L321" s="41"/>
      <c r="M321" s="42"/>
      <c r="N321" s="42"/>
      <c r="O321" s="38"/>
      <c r="P321" s="38"/>
      <c r="Q321" s="38"/>
    </row>
    <row r="322" spans="3:17" s="39" customFormat="1" ht="15" x14ac:dyDescent="0.25">
      <c r="C322" s="38"/>
      <c r="D322" s="65"/>
      <c r="E322" s="65"/>
      <c r="F322" s="65"/>
      <c r="H322" s="40"/>
      <c r="I322" s="41"/>
      <c r="J322" s="41"/>
      <c r="K322" s="41"/>
      <c r="L322" s="41"/>
      <c r="M322" s="42"/>
      <c r="N322" s="42"/>
      <c r="O322" s="38"/>
      <c r="P322" s="38"/>
      <c r="Q322" s="38"/>
    </row>
    <row r="323" spans="3:17" s="39" customFormat="1" ht="15" x14ac:dyDescent="0.25">
      <c r="C323" s="38"/>
      <c r="D323" s="65"/>
      <c r="E323" s="65"/>
      <c r="F323" s="65"/>
      <c r="H323" s="40"/>
      <c r="I323" s="41"/>
      <c r="J323" s="41"/>
      <c r="K323" s="41"/>
      <c r="L323" s="41"/>
      <c r="M323" s="42"/>
      <c r="N323" s="42"/>
      <c r="O323" s="38"/>
      <c r="P323" s="38"/>
      <c r="Q323" s="38"/>
    </row>
    <row r="324" spans="3:17" s="39" customFormat="1" ht="15" x14ac:dyDescent="0.25">
      <c r="C324" s="38"/>
      <c r="D324" s="65"/>
      <c r="E324" s="65"/>
      <c r="F324" s="65"/>
      <c r="H324" s="40"/>
      <c r="I324" s="41"/>
      <c r="J324" s="41"/>
      <c r="K324" s="41"/>
      <c r="L324" s="41"/>
      <c r="M324" s="42"/>
      <c r="N324" s="42"/>
      <c r="O324" s="38"/>
      <c r="P324" s="38"/>
      <c r="Q324" s="38"/>
    </row>
    <row r="325" spans="3:17" s="39" customFormat="1" ht="15" x14ac:dyDescent="0.25">
      <c r="C325" s="38"/>
      <c r="D325" s="65"/>
      <c r="E325" s="65"/>
      <c r="F325" s="65"/>
      <c r="H325" s="40"/>
      <c r="I325" s="41"/>
      <c r="J325" s="41"/>
      <c r="K325" s="41"/>
      <c r="L325" s="41"/>
      <c r="M325" s="42"/>
      <c r="N325" s="42"/>
      <c r="O325" s="38"/>
      <c r="P325" s="38"/>
      <c r="Q325" s="38"/>
    </row>
    <row r="326" spans="3:17" s="39" customFormat="1" ht="15" x14ac:dyDescent="0.25">
      <c r="C326" s="38"/>
      <c r="D326" s="65"/>
      <c r="E326" s="65"/>
      <c r="F326" s="65"/>
      <c r="H326" s="40"/>
      <c r="I326" s="41"/>
      <c r="J326" s="41"/>
      <c r="K326" s="41"/>
      <c r="L326" s="41"/>
      <c r="M326" s="42"/>
      <c r="N326" s="42"/>
      <c r="O326" s="38"/>
      <c r="P326" s="38"/>
      <c r="Q326" s="38"/>
    </row>
    <row r="327" spans="3:17" s="39" customFormat="1" ht="15" x14ac:dyDescent="0.25">
      <c r="C327" s="38"/>
      <c r="D327" s="65"/>
      <c r="E327" s="65"/>
      <c r="F327" s="65"/>
      <c r="H327" s="40"/>
      <c r="I327" s="41"/>
      <c r="J327" s="41"/>
      <c r="K327" s="41"/>
      <c r="L327" s="41"/>
      <c r="M327" s="42"/>
      <c r="N327" s="42"/>
      <c r="O327" s="38"/>
      <c r="P327" s="38"/>
      <c r="Q327" s="38"/>
    </row>
    <row r="328" spans="3:17" s="39" customFormat="1" ht="15" x14ac:dyDescent="0.25">
      <c r="C328" s="38"/>
      <c r="D328" s="65"/>
      <c r="E328" s="65"/>
      <c r="F328" s="65"/>
      <c r="H328" s="40"/>
      <c r="I328" s="41"/>
      <c r="J328" s="41"/>
      <c r="K328" s="41"/>
      <c r="L328" s="41"/>
      <c r="M328" s="42"/>
      <c r="N328" s="42"/>
      <c r="O328" s="38"/>
      <c r="P328" s="38"/>
      <c r="Q328" s="38"/>
    </row>
    <row r="329" spans="3:17" s="39" customFormat="1" ht="15" x14ac:dyDescent="0.25">
      <c r="C329" s="38"/>
      <c r="D329" s="65"/>
      <c r="E329" s="65"/>
      <c r="F329" s="65"/>
      <c r="H329" s="40"/>
      <c r="I329" s="41"/>
      <c r="J329" s="41"/>
      <c r="K329" s="41"/>
      <c r="L329" s="41"/>
      <c r="M329" s="42"/>
      <c r="N329" s="42"/>
      <c r="O329" s="38"/>
      <c r="P329" s="38"/>
      <c r="Q329" s="38"/>
    </row>
    <row r="330" spans="3:17" s="39" customFormat="1" ht="15" x14ac:dyDescent="0.25">
      <c r="C330" s="38"/>
      <c r="D330" s="65"/>
      <c r="E330" s="65"/>
      <c r="F330" s="65"/>
      <c r="H330" s="40"/>
      <c r="I330" s="41"/>
      <c r="J330" s="41"/>
      <c r="K330" s="41"/>
      <c r="L330" s="41"/>
      <c r="M330" s="42"/>
      <c r="N330" s="42"/>
      <c r="O330" s="38"/>
      <c r="P330" s="38"/>
      <c r="Q330" s="38"/>
    </row>
    <row r="331" spans="3:17" s="39" customFormat="1" ht="15" x14ac:dyDescent="0.25">
      <c r="C331" s="38"/>
      <c r="D331" s="65"/>
      <c r="E331" s="65"/>
      <c r="F331" s="65"/>
      <c r="H331" s="40"/>
      <c r="I331" s="41"/>
      <c r="J331" s="41"/>
      <c r="K331" s="41"/>
      <c r="L331" s="41"/>
      <c r="M331" s="42"/>
      <c r="N331" s="42"/>
      <c r="O331" s="38"/>
      <c r="P331" s="38"/>
      <c r="Q331" s="38"/>
    </row>
    <row r="332" spans="3:17" s="39" customFormat="1" ht="15" x14ac:dyDescent="0.25">
      <c r="C332" s="38"/>
      <c r="D332" s="65"/>
      <c r="E332" s="65"/>
      <c r="F332" s="65"/>
      <c r="H332" s="40"/>
      <c r="I332" s="41"/>
      <c r="J332" s="41"/>
      <c r="K332" s="41"/>
      <c r="L332" s="41"/>
      <c r="M332" s="42"/>
      <c r="N332" s="42"/>
      <c r="O332" s="38"/>
      <c r="P332" s="38"/>
      <c r="Q332" s="38"/>
    </row>
    <row r="333" spans="3:17" s="39" customFormat="1" ht="15" x14ac:dyDescent="0.25">
      <c r="C333" s="38"/>
      <c r="D333" s="65"/>
      <c r="E333" s="65"/>
      <c r="F333" s="65"/>
      <c r="H333" s="40"/>
      <c r="I333" s="41"/>
      <c r="J333" s="41"/>
      <c r="K333" s="41"/>
      <c r="L333" s="41"/>
      <c r="M333" s="42"/>
      <c r="N333" s="42"/>
      <c r="O333" s="38"/>
      <c r="P333" s="38"/>
      <c r="Q333" s="38"/>
    </row>
    <row r="334" spans="3:17" s="39" customFormat="1" ht="15" x14ac:dyDescent="0.25">
      <c r="C334" s="38"/>
      <c r="D334" s="65"/>
      <c r="E334" s="65"/>
      <c r="F334" s="65"/>
      <c r="H334" s="40"/>
      <c r="I334" s="41"/>
      <c r="J334" s="41"/>
      <c r="K334" s="41"/>
      <c r="L334" s="41"/>
      <c r="M334" s="42"/>
      <c r="N334" s="42"/>
      <c r="O334" s="38"/>
      <c r="P334" s="38"/>
      <c r="Q334" s="38"/>
    </row>
    <row r="335" spans="3:17" s="39" customFormat="1" ht="15" x14ac:dyDescent="0.25">
      <c r="C335" s="38"/>
      <c r="D335" s="65"/>
      <c r="E335" s="65"/>
      <c r="F335" s="65"/>
      <c r="H335" s="40"/>
      <c r="I335" s="41"/>
      <c r="J335" s="41"/>
      <c r="K335" s="41"/>
      <c r="L335" s="41"/>
      <c r="M335" s="42"/>
      <c r="N335" s="42"/>
      <c r="O335" s="38"/>
      <c r="P335" s="38"/>
      <c r="Q335" s="38"/>
    </row>
    <row r="336" spans="3:17" s="39" customFormat="1" ht="15" x14ac:dyDescent="0.25">
      <c r="C336" s="38"/>
      <c r="D336" s="65"/>
      <c r="E336" s="65"/>
      <c r="F336" s="65"/>
      <c r="H336" s="40"/>
      <c r="I336" s="41"/>
      <c r="J336" s="41"/>
      <c r="K336" s="41"/>
      <c r="L336" s="41"/>
      <c r="M336" s="42"/>
      <c r="N336" s="42"/>
      <c r="O336" s="38"/>
      <c r="P336" s="38"/>
      <c r="Q336" s="38"/>
    </row>
    <row r="337" spans="3:17" s="39" customFormat="1" ht="15" x14ac:dyDescent="0.25">
      <c r="C337" s="38"/>
      <c r="D337" s="65"/>
      <c r="E337" s="65"/>
      <c r="F337" s="65"/>
      <c r="H337" s="40"/>
      <c r="I337" s="41"/>
      <c r="J337" s="41"/>
      <c r="K337" s="41"/>
      <c r="L337" s="41"/>
      <c r="M337" s="42"/>
      <c r="N337" s="42"/>
      <c r="O337" s="38"/>
      <c r="P337" s="38"/>
      <c r="Q337" s="38"/>
    </row>
    <row r="338" spans="3:17" s="39" customFormat="1" ht="15" x14ac:dyDescent="0.25">
      <c r="C338" s="38"/>
      <c r="D338" s="65"/>
      <c r="E338" s="65"/>
      <c r="F338" s="65"/>
      <c r="H338" s="40"/>
      <c r="I338" s="41"/>
      <c r="J338" s="41"/>
      <c r="K338" s="41"/>
      <c r="L338" s="41"/>
      <c r="M338" s="42"/>
      <c r="N338" s="42"/>
      <c r="O338" s="38"/>
      <c r="P338" s="38"/>
      <c r="Q338" s="38"/>
    </row>
    <row r="339" spans="3:17" s="39" customFormat="1" ht="15" x14ac:dyDescent="0.25">
      <c r="C339" s="38"/>
      <c r="D339" s="65"/>
      <c r="E339" s="65"/>
      <c r="F339" s="65"/>
      <c r="H339" s="40"/>
      <c r="I339" s="41"/>
      <c r="J339" s="41"/>
      <c r="K339" s="41"/>
      <c r="L339" s="41"/>
      <c r="M339" s="42"/>
      <c r="N339" s="42"/>
      <c r="O339" s="38"/>
      <c r="P339" s="38"/>
      <c r="Q339" s="38"/>
    </row>
    <row r="340" spans="3:17" s="39" customFormat="1" ht="15" x14ac:dyDescent="0.25">
      <c r="C340" s="38"/>
      <c r="D340" s="65"/>
      <c r="E340" s="65"/>
      <c r="F340" s="65"/>
      <c r="H340" s="40"/>
      <c r="I340" s="41"/>
      <c r="J340" s="41"/>
      <c r="K340" s="41"/>
      <c r="L340" s="41"/>
      <c r="M340" s="42"/>
      <c r="N340" s="42"/>
      <c r="O340" s="38"/>
      <c r="P340" s="38"/>
      <c r="Q340" s="38"/>
    </row>
    <row r="341" spans="3:17" s="39" customFormat="1" ht="15" x14ac:dyDescent="0.25">
      <c r="C341" s="38"/>
      <c r="D341" s="65"/>
      <c r="E341" s="65"/>
      <c r="F341" s="65"/>
      <c r="H341" s="40"/>
      <c r="I341" s="41"/>
      <c r="J341" s="41"/>
      <c r="K341" s="41"/>
      <c r="L341" s="41"/>
      <c r="M341" s="42"/>
      <c r="N341" s="42"/>
      <c r="O341" s="38"/>
      <c r="P341" s="38"/>
      <c r="Q341" s="38"/>
    </row>
    <row r="342" spans="3:17" s="39" customFormat="1" ht="15" x14ac:dyDescent="0.25">
      <c r="C342" s="38"/>
      <c r="D342" s="65"/>
      <c r="E342" s="65"/>
      <c r="F342" s="65"/>
      <c r="H342" s="40"/>
      <c r="I342" s="41"/>
      <c r="J342" s="41"/>
      <c r="K342" s="41"/>
      <c r="L342" s="41"/>
      <c r="M342" s="42"/>
      <c r="N342" s="42"/>
      <c r="O342" s="38"/>
      <c r="P342" s="38"/>
      <c r="Q342" s="38"/>
    </row>
    <row r="343" spans="3:17" s="39" customFormat="1" ht="15" x14ac:dyDescent="0.25">
      <c r="C343" s="38"/>
      <c r="D343" s="65"/>
      <c r="E343" s="65"/>
      <c r="F343" s="65"/>
      <c r="H343" s="40"/>
      <c r="I343" s="41"/>
      <c r="J343" s="41"/>
      <c r="K343" s="41"/>
      <c r="L343" s="41"/>
      <c r="M343" s="42"/>
      <c r="N343" s="42"/>
      <c r="O343" s="38"/>
      <c r="P343" s="38"/>
      <c r="Q343" s="38"/>
    </row>
    <row r="344" spans="3:17" s="39" customFormat="1" ht="15" x14ac:dyDescent="0.25">
      <c r="C344" s="38"/>
      <c r="D344" s="65"/>
      <c r="E344" s="65"/>
      <c r="F344" s="65"/>
      <c r="H344" s="40"/>
      <c r="I344" s="41"/>
      <c r="J344" s="41"/>
      <c r="K344" s="41"/>
      <c r="L344" s="41"/>
      <c r="M344" s="42"/>
      <c r="N344" s="42"/>
      <c r="O344" s="38"/>
      <c r="P344" s="38"/>
      <c r="Q344" s="38"/>
    </row>
    <row r="345" spans="3:17" s="39" customFormat="1" ht="15" x14ac:dyDescent="0.25">
      <c r="C345" s="38"/>
      <c r="D345" s="65"/>
      <c r="E345" s="65"/>
      <c r="F345" s="65"/>
      <c r="H345" s="40"/>
      <c r="I345" s="41"/>
      <c r="J345" s="41"/>
      <c r="K345" s="41"/>
      <c r="L345" s="41"/>
      <c r="M345" s="42"/>
      <c r="N345" s="42"/>
      <c r="O345" s="38"/>
      <c r="P345" s="38"/>
      <c r="Q345" s="38"/>
    </row>
    <row r="346" spans="3:17" s="39" customFormat="1" ht="15" x14ac:dyDescent="0.25">
      <c r="C346" s="38"/>
      <c r="D346" s="65"/>
      <c r="E346" s="65"/>
      <c r="F346" s="65"/>
      <c r="H346" s="40"/>
      <c r="I346" s="41"/>
      <c r="J346" s="41"/>
      <c r="K346" s="41"/>
      <c r="L346" s="41"/>
      <c r="M346" s="42"/>
      <c r="N346" s="42"/>
      <c r="O346" s="38"/>
      <c r="P346" s="38"/>
      <c r="Q346" s="38"/>
    </row>
    <row r="347" spans="3:17" s="39" customFormat="1" ht="15" x14ac:dyDescent="0.25">
      <c r="C347" s="38"/>
      <c r="D347" s="65"/>
      <c r="E347" s="65"/>
      <c r="F347" s="65"/>
      <c r="H347" s="40"/>
      <c r="I347" s="41"/>
      <c r="J347" s="41"/>
      <c r="K347" s="41"/>
      <c r="L347" s="41"/>
      <c r="M347" s="42"/>
      <c r="N347" s="42"/>
      <c r="O347" s="38"/>
      <c r="P347" s="38"/>
      <c r="Q347" s="38"/>
    </row>
    <row r="348" spans="3:17" s="39" customFormat="1" ht="15" x14ac:dyDescent="0.25">
      <c r="C348" s="38"/>
      <c r="D348" s="65"/>
      <c r="E348" s="65"/>
      <c r="F348" s="65"/>
      <c r="H348" s="40"/>
      <c r="I348" s="41"/>
      <c r="J348" s="41"/>
      <c r="K348" s="41"/>
      <c r="L348" s="41"/>
      <c r="M348" s="42"/>
      <c r="N348" s="42"/>
      <c r="O348" s="38"/>
      <c r="P348" s="38"/>
      <c r="Q348" s="38"/>
    </row>
    <row r="349" spans="3:17" s="39" customFormat="1" ht="15" x14ac:dyDescent="0.25">
      <c r="C349" s="38"/>
      <c r="D349" s="65"/>
      <c r="E349" s="65"/>
      <c r="F349" s="65"/>
      <c r="H349" s="40"/>
      <c r="I349" s="41"/>
      <c r="J349" s="41"/>
      <c r="K349" s="41"/>
      <c r="L349" s="41"/>
      <c r="M349" s="42"/>
      <c r="N349" s="42"/>
      <c r="O349" s="38"/>
      <c r="P349" s="38"/>
      <c r="Q349" s="38"/>
    </row>
    <row r="350" spans="3:17" s="39" customFormat="1" ht="15" x14ac:dyDescent="0.25">
      <c r="C350" s="38"/>
      <c r="D350" s="65"/>
      <c r="E350" s="65"/>
      <c r="F350" s="65"/>
      <c r="H350" s="40"/>
      <c r="I350" s="41"/>
      <c r="J350" s="41"/>
      <c r="K350" s="41"/>
      <c r="L350" s="41"/>
      <c r="M350" s="42"/>
      <c r="N350" s="42"/>
      <c r="O350" s="38"/>
      <c r="P350" s="38"/>
      <c r="Q350" s="38"/>
    </row>
    <row r="351" spans="3:17" s="39" customFormat="1" ht="15" x14ac:dyDescent="0.25">
      <c r="C351" s="38"/>
      <c r="D351" s="65"/>
      <c r="E351" s="65"/>
      <c r="F351" s="65"/>
      <c r="H351" s="40"/>
      <c r="I351" s="41"/>
      <c r="J351" s="41"/>
      <c r="K351" s="41"/>
      <c r="L351" s="41"/>
      <c r="M351" s="42"/>
      <c r="N351" s="42"/>
      <c r="O351" s="38"/>
      <c r="P351" s="38"/>
      <c r="Q351" s="38"/>
    </row>
    <row r="352" spans="3:17" s="39" customFormat="1" ht="15" x14ac:dyDescent="0.25">
      <c r="C352" s="38"/>
      <c r="D352" s="65"/>
      <c r="E352" s="65"/>
      <c r="F352" s="65"/>
      <c r="H352" s="40"/>
      <c r="I352" s="41"/>
      <c r="J352" s="41"/>
      <c r="K352" s="41"/>
      <c r="L352" s="41"/>
      <c r="M352" s="42"/>
      <c r="N352" s="42"/>
      <c r="O352" s="38"/>
      <c r="P352" s="38"/>
      <c r="Q352" s="38"/>
    </row>
    <row r="353" spans="3:17" s="39" customFormat="1" ht="15" x14ac:dyDescent="0.25">
      <c r="C353" s="38"/>
      <c r="D353" s="65"/>
      <c r="E353" s="65"/>
      <c r="F353" s="65"/>
      <c r="H353" s="40"/>
      <c r="I353" s="41"/>
      <c r="J353" s="41"/>
      <c r="K353" s="41"/>
      <c r="L353" s="41"/>
      <c r="M353" s="42"/>
      <c r="N353" s="42"/>
      <c r="O353" s="38"/>
      <c r="P353" s="38"/>
      <c r="Q353" s="38"/>
    </row>
    <row r="354" spans="3:17" s="39" customFormat="1" ht="15" x14ac:dyDescent="0.25">
      <c r="C354" s="38"/>
      <c r="D354" s="65"/>
      <c r="E354" s="65"/>
      <c r="F354" s="65"/>
      <c r="H354" s="40"/>
      <c r="I354" s="41"/>
      <c r="J354" s="41"/>
      <c r="K354" s="41"/>
      <c r="L354" s="41"/>
      <c r="M354" s="42"/>
      <c r="N354" s="42"/>
      <c r="O354" s="38"/>
      <c r="P354" s="38"/>
      <c r="Q354" s="38"/>
    </row>
    <row r="355" spans="3:17" s="39" customFormat="1" ht="15" x14ac:dyDescent="0.25">
      <c r="C355" s="38"/>
      <c r="D355" s="65"/>
      <c r="E355" s="65"/>
      <c r="F355" s="65"/>
      <c r="H355" s="40"/>
      <c r="I355" s="41"/>
      <c r="J355" s="41"/>
      <c r="K355" s="41"/>
      <c r="L355" s="41"/>
      <c r="M355" s="42"/>
      <c r="N355" s="42"/>
      <c r="O355" s="38"/>
      <c r="P355" s="38"/>
      <c r="Q355" s="38"/>
    </row>
    <row r="356" spans="3:17" s="39" customFormat="1" ht="15" x14ac:dyDescent="0.25">
      <c r="C356" s="38"/>
      <c r="D356" s="65"/>
      <c r="E356" s="65"/>
      <c r="F356" s="65"/>
      <c r="H356" s="40"/>
      <c r="I356" s="41"/>
      <c r="J356" s="41"/>
      <c r="K356" s="41"/>
      <c r="L356" s="41"/>
      <c r="M356" s="42"/>
      <c r="N356" s="42"/>
      <c r="O356" s="38"/>
      <c r="P356" s="38"/>
      <c r="Q356" s="38"/>
    </row>
    <row r="357" spans="3:17" s="39" customFormat="1" ht="15" x14ac:dyDescent="0.25">
      <c r="C357" s="38"/>
      <c r="D357" s="65"/>
      <c r="E357" s="65"/>
      <c r="F357" s="65"/>
      <c r="H357" s="40"/>
      <c r="I357" s="41"/>
      <c r="J357" s="41"/>
      <c r="K357" s="41"/>
      <c r="L357" s="41"/>
      <c r="M357" s="42"/>
      <c r="N357" s="42"/>
      <c r="O357" s="38"/>
      <c r="P357" s="38"/>
      <c r="Q357" s="38"/>
    </row>
    <row r="358" spans="3:17" s="39" customFormat="1" ht="15" x14ac:dyDescent="0.25">
      <c r="C358" s="38"/>
      <c r="D358" s="65"/>
      <c r="E358" s="65"/>
      <c r="F358" s="65"/>
      <c r="H358" s="40"/>
      <c r="I358" s="41"/>
      <c r="J358" s="41"/>
      <c r="K358" s="41"/>
      <c r="L358" s="41"/>
      <c r="M358" s="42"/>
      <c r="N358" s="42"/>
      <c r="O358" s="38"/>
      <c r="P358" s="38"/>
      <c r="Q358" s="38"/>
    </row>
    <row r="359" spans="3:17" s="39" customFormat="1" ht="15" x14ac:dyDescent="0.25">
      <c r="C359" s="38"/>
      <c r="D359" s="65"/>
      <c r="E359" s="65"/>
      <c r="F359" s="65"/>
      <c r="H359" s="40"/>
      <c r="I359" s="41"/>
      <c r="J359" s="41"/>
      <c r="K359" s="41"/>
      <c r="L359" s="41"/>
      <c r="M359" s="42"/>
      <c r="N359" s="42"/>
      <c r="O359" s="38"/>
      <c r="P359" s="38"/>
      <c r="Q359" s="38"/>
    </row>
    <row r="360" spans="3:17" s="39" customFormat="1" ht="15" x14ac:dyDescent="0.25">
      <c r="C360" s="38"/>
      <c r="D360" s="65"/>
      <c r="E360" s="65"/>
      <c r="F360" s="65"/>
      <c r="H360" s="40"/>
      <c r="I360" s="41"/>
      <c r="J360" s="41"/>
      <c r="K360" s="41"/>
      <c r="L360" s="41"/>
      <c r="M360" s="42"/>
      <c r="N360" s="42"/>
      <c r="O360" s="38"/>
      <c r="P360" s="38"/>
      <c r="Q360" s="38"/>
    </row>
    <row r="361" spans="3:17" s="39" customFormat="1" ht="15" x14ac:dyDescent="0.25">
      <c r="C361" s="38"/>
      <c r="D361" s="65"/>
      <c r="E361" s="65"/>
      <c r="F361" s="65"/>
      <c r="H361" s="40"/>
      <c r="I361" s="41"/>
      <c r="J361" s="41"/>
      <c r="K361" s="41"/>
      <c r="L361" s="41"/>
      <c r="M361" s="42"/>
      <c r="N361" s="42"/>
      <c r="O361" s="38"/>
      <c r="P361" s="38"/>
      <c r="Q361" s="38"/>
    </row>
    <row r="362" spans="3:17" s="39" customFormat="1" ht="15" x14ac:dyDescent="0.25">
      <c r="C362" s="38"/>
      <c r="D362" s="65"/>
      <c r="E362" s="65"/>
      <c r="F362" s="65"/>
      <c r="H362" s="40"/>
      <c r="I362" s="41"/>
      <c r="J362" s="41"/>
      <c r="K362" s="41"/>
      <c r="L362" s="41"/>
      <c r="M362" s="42"/>
      <c r="N362" s="42"/>
      <c r="O362" s="38"/>
      <c r="P362" s="38"/>
      <c r="Q362" s="38"/>
    </row>
    <row r="363" spans="3:17" s="39" customFormat="1" ht="15" x14ac:dyDescent="0.25">
      <c r="C363" s="38"/>
      <c r="D363" s="65"/>
      <c r="E363" s="65"/>
      <c r="F363" s="65"/>
      <c r="H363" s="40"/>
      <c r="I363" s="41"/>
      <c r="J363" s="41"/>
      <c r="K363" s="41"/>
      <c r="L363" s="41"/>
      <c r="M363" s="42"/>
      <c r="N363" s="42"/>
      <c r="O363" s="38"/>
      <c r="P363" s="38"/>
      <c r="Q363" s="38"/>
    </row>
    <row r="364" spans="3:17" s="39" customFormat="1" ht="15" x14ac:dyDescent="0.25">
      <c r="C364" s="38"/>
      <c r="D364" s="65"/>
      <c r="E364" s="65"/>
      <c r="F364" s="65"/>
      <c r="H364" s="40"/>
      <c r="I364" s="41"/>
      <c r="J364" s="41"/>
      <c r="K364" s="41"/>
      <c r="L364" s="41"/>
      <c r="M364" s="42"/>
      <c r="N364" s="42"/>
      <c r="O364" s="38"/>
      <c r="P364" s="38"/>
      <c r="Q364" s="38"/>
    </row>
    <row r="365" spans="3:17" s="39" customFormat="1" ht="15" x14ac:dyDescent="0.25">
      <c r="C365" s="38"/>
      <c r="D365" s="65"/>
      <c r="E365" s="65"/>
      <c r="F365" s="65"/>
      <c r="H365" s="40"/>
      <c r="I365" s="41"/>
      <c r="J365" s="41"/>
      <c r="K365" s="41"/>
      <c r="L365" s="41"/>
      <c r="M365" s="42"/>
      <c r="N365" s="42"/>
      <c r="O365" s="38"/>
      <c r="P365" s="38"/>
      <c r="Q365" s="38"/>
    </row>
    <row r="366" spans="3:17" s="39" customFormat="1" ht="15" x14ac:dyDescent="0.25">
      <c r="C366" s="38"/>
      <c r="D366" s="65"/>
      <c r="E366" s="65"/>
      <c r="F366" s="65"/>
      <c r="H366" s="40"/>
      <c r="I366" s="41"/>
      <c r="J366" s="41"/>
      <c r="K366" s="41"/>
      <c r="L366" s="41"/>
      <c r="M366" s="42"/>
      <c r="N366" s="42"/>
      <c r="O366" s="38"/>
      <c r="P366" s="38"/>
      <c r="Q366" s="38"/>
    </row>
    <row r="367" spans="3:17" s="39" customFormat="1" ht="15" x14ac:dyDescent="0.25">
      <c r="C367" s="38"/>
      <c r="D367" s="65"/>
      <c r="E367" s="65"/>
      <c r="F367" s="65"/>
      <c r="H367" s="40"/>
      <c r="I367" s="41"/>
      <c r="J367" s="41"/>
      <c r="K367" s="41"/>
      <c r="L367" s="41"/>
      <c r="M367" s="42"/>
      <c r="N367" s="42"/>
      <c r="O367" s="38"/>
      <c r="P367" s="38"/>
      <c r="Q367" s="38"/>
    </row>
    <row r="368" spans="3:17" s="39" customFormat="1" ht="15" x14ac:dyDescent="0.25">
      <c r="C368" s="38"/>
      <c r="D368" s="65"/>
      <c r="E368" s="65"/>
      <c r="F368" s="65"/>
      <c r="H368" s="40"/>
      <c r="I368" s="41"/>
      <c r="J368" s="41"/>
      <c r="K368" s="41"/>
      <c r="L368" s="41"/>
      <c r="M368" s="42"/>
      <c r="N368" s="42"/>
      <c r="O368" s="38"/>
      <c r="P368" s="38"/>
      <c r="Q368" s="38"/>
    </row>
    <row r="369" spans="3:17" s="39" customFormat="1" ht="15" x14ac:dyDescent="0.25">
      <c r="C369" s="38"/>
      <c r="D369" s="65"/>
      <c r="E369" s="65"/>
      <c r="F369" s="65"/>
      <c r="H369" s="40"/>
      <c r="I369" s="41"/>
      <c r="J369" s="41"/>
      <c r="K369" s="41"/>
      <c r="L369" s="41"/>
      <c r="M369" s="42"/>
      <c r="N369" s="42"/>
      <c r="O369" s="38"/>
      <c r="P369" s="38"/>
      <c r="Q369" s="38"/>
    </row>
    <row r="370" spans="3:17" s="39" customFormat="1" ht="15" x14ac:dyDescent="0.25">
      <c r="C370" s="38"/>
      <c r="D370" s="65"/>
      <c r="E370" s="65"/>
      <c r="F370" s="65"/>
      <c r="H370" s="40"/>
      <c r="I370" s="41"/>
      <c r="J370" s="41"/>
      <c r="K370" s="41"/>
      <c r="L370" s="41"/>
      <c r="M370" s="42"/>
      <c r="N370" s="42"/>
      <c r="O370" s="38"/>
      <c r="P370" s="38"/>
      <c r="Q370" s="38"/>
    </row>
    <row r="371" spans="3:17" s="39" customFormat="1" ht="15" x14ac:dyDescent="0.25">
      <c r="C371" s="38"/>
      <c r="D371" s="65"/>
      <c r="E371" s="65"/>
      <c r="F371" s="65"/>
      <c r="H371" s="40"/>
      <c r="I371" s="41"/>
      <c r="J371" s="41"/>
      <c r="K371" s="41"/>
      <c r="L371" s="41"/>
      <c r="M371" s="42"/>
      <c r="N371" s="42"/>
      <c r="O371" s="38"/>
      <c r="P371" s="38"/>
      <c r="Q371" s="38"/>
    </row>
    <row r="372" spans="3:17" s="39" customFormat="1" ht="15" x14ac:dyDescent="0.25">
      <c r="C372" s="38"/>
      <c r="D372" s="65"/>
      <c r="E372" s="65"/>
      <c r="F372" s="65"/>
      <c r="H372" s="40"/>
      <c r="I372" s="41"/>
      <c r="J372" s="41"/>
      <c r="K372" s="41"/>
      <c r="L372" s="41"/>
      <c r="M372" s="42"/>
      <c r="N372" s="42"/>
      <c r="O372" s="38"/>
      <c r="P372" s="38"/>
      <c r="Q372" s="38"/>
    </row>
    <row r="373" spans="3:17" s="39" customFormat="1" ht="15" x14ac:dyDescent="0.25">
      <c r="C373" s="38"/>
      <c r="D373" s="65"/>
      <c r="E373" s="65"/>
      <c r="F373" s="65"/>
      <c r="H373" s="40"/>
      <c r="I373" s="41"/>
      <c r="J373" s="41"/>
      <c r="K373" s="41"/>
      <c r="L373" s="41"/>
      <c r="M373" s="42"/>
      <c r="N373" s="42"/>
      <c r="O373" s="38"/>
      <c r="P373" s="38"/>
      <c r="Q373" s="38"/>
    </row>
    <row r="374" spans="3:17" s="39" customFormat="1" ht="15" x14ac:dyDescent="0.25">
      <c r="C374" s="38"/>
      <c r="D374" s="65"/>
      <c r="E374" s="65"/>
      <c r="F374" s="65"/>
      <c r="H374" s="40"/>
      <c r="I374" s="41"/>
      <c r="J374" s="41"/>
      <c r="K374" s="41"/>
      <c r="L374" s="41"/>
      <c r="M374" s="42"/>
      <c r="N374" s="42"/>
      <c r="O374" s="38"/>
      <c r="P374" s="38"/>
      <c r="Q374" s="38"/>
    </row>
    <row r="375" spans="3:17" s="39" customFormat="1" ht="15" x14ac:dyDescent="0.25">
      <c r="C375" s="38"/>
      <c r="D375" s="65"/>
      <c r="E375" s="65"/>
      <c r="F375" s="65"/>
      <c r="H375" s="40"/>
      <c r="I375" s="41"/>
      <c r="J375" s="41"/>
      <c r="K375" s="41"/>
      <c r="L375" s="41"/>
      <c r="M375" s="42"/>
      <c r="N375" s="42"/>
      <c r="O375" s="38"/>
      <c r="P375" s="38"/>
      <c r="Q375" s="38"/>
    </row>
    <row r="376" spans="3:17" s="39" customFormat="1" ht="15" x14ac:dyDescent="0.25">
      <c r="C376" s="38"/>
      <c r="D376" s="65"/>
      <c r="E376" s="65"/>
      <c r="F376" s="65"/>
      <c r="H376" s="40"/>
      <c r="I376" s="41"/>
      <c r="J376" s="41"/>
      <c r="K376" s="41"/>
      <c r="L376" s="41"/>
      <c r="M376" s="42"/>
      <c r="N376" s="42"/>
      <c r="O376" s="38"/>
      <c r="P376" s="38"/>
      <c r="Q376" s="38"/>
    </row>
    <row r="377" spans="3:17" s="39" customFormat="1" ht="15" x14ac:dyDescent="0.25">
      <c r="C377" s="38"/>
      <c r="D377" s="65"/>
      <c r="E377" s="65"/>
      <c r="F377" s="65"/>
      <c r="H377" s="40"/>
      <c r="I377" s="41"/>
      <c r="J377" s="41"/>
      <c r="K377" s="41"/>
      <c r="L377" s="41"/>
      <c r="M377" s="42"/>
      <c r="N377" s="42"/>
      <c r="O377" s="38"/>
      <c r="P377" s="38"/>
      <c r="Q377" s="38"/>
    </row>
    <row r="378" spans="3:17" s="39" customFormat="1" ht="15" x14ac:dyDescent="0.25">
      <c r="C378" s="38"/>
      <c r="D378" s="65"/>
      <c r="E378" s="65"/>
      <c r="F378" s="65"/>
      <c r="H378" s="40"/>
      <c r="I378" s="41"/>
      <c r="J378" s="41"/>
      <c r="K378" s="41"/>
      <c r="L378" s="41"/>
      <c r="M378" s="42"/>
      <c r="N378" s="42"/>
      <c r="O378" s="38"/>
      <c r="P378" s="38"/>
      <c r="Q378" s="38"/>
    </row>
    <row r="379" spans="3:17" s="39" customFormat="1" ht="15" x14ac:dyDescent="0.25">
      <c r="C379" s="38"/>
      <c r="D379" s="65"/>
      <c r="E379" s="65"/>
      <c r="F379" s="65"/>
      <c r="H379" s="40"/>
      <c r="I379" s="41"/>
      <c r="J379" s="41"/>
      <c r="K379" s="41"/>
      <c r="L379" s="41"/>
      <c r="M379" s="42"/>
      <c r="N379" s="42"/>
      <c r="O379" s="38"/>
      <c r="P379" s="38"/>
      <c r="Q379" s="38"/>
    </row>
    <row r="380" spans="3:17" s="39" customFormat="1" ht="15" x14ac:dyDescent="0.25">
      <c r="C380" s="38"/>
      <c r="D380" s="65"/>
      <c r="E380" s="65"/>
      <c r="F380" s="65"/>
      <c r="H380" s="40"/>
      <c r="I380" s="41"/>
      <c r="J380" s="41"/>
      <c r="K380" s="41"/>
      <c r="L380" s="41"/>
      <c r="M380" s="42"/>
      <c r="N380" s="42"/>
      <c r="O380" s="38"/>
      <c r="P380" s="38"/>
      <c r="Q380" s="38"/>
    </row>
    <row r="381" spans="3:17" s="39" customFormat="1" ht="15" x14ac:dyDescent="0.25">
      <c r="C381" s="38"/>
      <c r="D381" s="65"/>
      <c r="E381" s="65"/>
      <c r="F381" s="65"/>
      <c r="H381" s="40"/>
      <c r="I381" s="41"/>
      <c r="J381" s="41"/>
      <c r="K381" s="41"/>
      <c r="L381" s="41"/>
      <c r="M381" s="42"/>
      <c r="N381" s="42"/>
      <c r="O381" s="38"/>
      <c r="P381" s="38"/>
      <c r="Q381" s="38"/>
    </row>
    <row r="382" spans="3:17" s="39" customFormat="1" ht="15" x14ac:dyDescent="0.25">
      <c r="C382" s="38"/>
      <c r="D382" s="65"/>
      <c r="E382" s="65"/>
      <c r="F382" s="65"/>
      <c r="H382" s="40"/>
      <c r="I382" s="41"/>
      <c r="J382" s="41"/>
      <c r="K382" s="41"/>
      <c r="L382" s="41"/>
      <c r="M382" s="42"/>
      <c r="N382" s="42"/>
      <c r="O382" s="38"/>
      <c r="P382" s="38"/>
      <c r="Q382" s="38"/>
    </row>
    <row r="383" spans="3:17" s="39" customFormat="1" ht="15" x14ac:dyDescent="0.25">
      <c r="C383" s="38"/>
      <c r="D383" s="65"/>
      <c r="E383" s="65"/>
      <c r="F383" s="65"/>
      <c r="H383" s="40"/>
      <c r="I383" s="41"/>
      <c r="J383" s="41"/>
      <c r="K383" s="41"/>
      <c r="L383" s="41"/>
      <c r="M383" s="42"/>
      <c r="N383" s="42"/>
      <c r="O383" s="38"/>
      <c r="P383" s="38"/>
      <c r="Q383" s="38"/>
    </row>
    <row r="384" spans="3:17" s="39" customFormat="1" ht="15" x14ac:dyDescent="0.25">
      <c r="C384" s="38"/>
      <c r="D384" s="65"/>
      <c r="E384" s="65"/>
      <c r="F384" s="65"/>
      <c r="H384" s="40"/>
      <c r="I384" s="41"/>
      <c r="J384" s="41"/>
      <c r="K384" s="41"/>
      <c r="L384" s="41"/>
      <c r="M384" s="42"/>
      <c r="N384" s="42"/>
      <c r="O384" s="38"/>
      <c r="P384" s="38"/>
      <c r="Q384" s="38"/>
    </row>
    <row r="385" spans="3:17" s="39" customFormat="1" ht="15" x14ac:dyDescent="0.25">
      <c r="C385" s="38"/>
      <c r="D385" s="65"/>
      <c r="E385" s="65"/>
      <c r="F385" s="65"/>
      <c r="H385" s="40"/>
      <c r="I385" s="41"/>
      <c r="J385" s="41"/>
      <c r="K385" s="41"/>
      <c r="L385" s="41"/>
      <c r="M385" s="42"/>
      <c r="N385" s="42"/>
      <c r="O385" s="38"/>
      <c r="P385" s="38"/>
      <c r="Q385" s="38"/>
    </row>
    <row r="386" spans="3:17" s="39" customFormat="1" ht="15" x14ac:dyDescent="0.25">
      <c r="C386" s="38"/>
      <c r="D386" s="65"/>
      <c r="E386" s="65"/>
      <c r="F386" s="65"/>
      <c r="H386" s="40"/>
      <c r="I386" s="41"/>
      <c r="J386" s="41"/>
      <c r="K386" s="41"/>
      <c r="L386" s="41"/>
      <c r="M386" s="42"/>
      <c r="N386" s="42"/>
      <c r="O386" s="38"/>
      <c r="P386" s="38"/>
      <c r="Q386" s="38"/>
    </row>
    <row r="387" spans="3:17" s="39" customFormat="1" ht="15" x14ac:dyDescent="0.25">
      <c r="C387" s="38"/>
      <c r="D387" s="65"/>
      <c r="E387" s="65"/>
      <c r="F387" s="65"/>
      <c r="H387" s="40"/>
      <c r="I387" s="41"/>
      <c r="J387" s="41"/>
      <c r="K387" s="41"/>
      <c r="L387" s="41"/>
      <c r="M387" s="42"/>
      <c r="N387" s="42"/>
      <c r="O387" s="38"/>
      <c r="P387" s="38"/>
      <c r="Q387" s="38"/>
    </row>
    <row r="388" spans="3:17" s="39" customFormat="1" ht="15" x14ac:dyDescent="0.25">
      <c r="C388" s="38"/>
      <c r="D388" s="65"/>
      <c r="E388" s="65"/>
      <c r="F388" s="65"/>
      <c r="H388" s="40"/>
      <c r="I388" s="41"/>
      <c r="J388" s="41"/>
      <c r="K388" s="41"/>
      <c r="L388" s="41"/>
      <c r="M388" s="42"/>
      <c r="N388" s="42"/>
      <c r="O388" s="38"/>
      <c r="P388" s="38"/>
      <c r="Q388" s="38"/>
    </row>
    <row r="389" spans="3:17" s="39" customFormat="1" ht="15" x14ac:dyDescent="0.25">
      <c r="C389" s="38"/>
      <c r="D389" s="65"/>
      <c r="E389" s="65"/>
      <c r="F389" s="65"/>
      <c r="H389" s="40"/>
      <c r="I389" s="41"/>
      <c r="J389" s="41"/>
      <c r="K389" s="41"/>
      <c r="L389" s="41"/>
      <c r="M389" s="42"/>
      <c r="N389" s="42"/>
      <c r="O389" s="38"/>
      <c r="P389" s="38"/>
      <c r="Q389" s="38"/>
    </row>
    <row r="390" spans="3:17" s="39" customFormat="1" ht="15" x14ac:dyDescent="0.25">
      <c r="C390" s="38"/>
      <c r="D390" s="65"/>
      <c r="E390" s="65"/>
      <c r="F390" s="65"/>
      <c r="H390" s="40"/>
      <c r="I390" s="41"/>
      <c r="J390" s="41"/>
      <c r="K390" s="41"/>
      <c r="L390" s="41"/>
      <c r="M390" s="42"/>
      <c r="N390" s="42"/>
      <c r="O390" s="38"/>
      <c r="P390" s="38"/>
      <c r="Q390" s="38"/>
    </row>
    <row r="391" spans="3:17" s="39" customFormat="1" ht="15" x14ac:dyDescent="0.25">
      <c r="C391" s="38"/>
      <c r="D391" s="65"/>
      <c r="E391" s="65"/>
      <c r="F391" s="65"/>
      <c r="H391" s="40"/>
      <c r="I391" s="41"/>
      <c r="J391" s="41"/>
      <c r="K391" s="41"/>
      <c r="L391" s="41"/>
      <c r="M391" s="42"/>
      <c r="N391" s="42"/>
      <c r="O391" s="38"/>
      <c r="P391" s="38"/>
      <c r="Q391" s="38"/>
    </row>
    <row r="392" spans="3:17" s="39" customFormat="1" ht="15" x14ac:dyDescent="0.25">
      <c r="C392" s="38"/>
      <c r="D392" s="65"/>
      <c r="E392" s="65"/>
      <c r="F392" s="65"/>
      <c r="H392" s="40"/>
      <c r="I392" s="41"/>
      <c r="J392" s="41"/>
      <c r="K392" s="41"/>
      <c r="L392" s="41"/>
      <c r="M392" s="42"/>
      <c r="N392" s="42"/>
      <c r="O392" s="38"/>
      <c r="P392" s="38"/>
      <c r="Q392" s="38"/>
    </row>
    <row r="393" spans="3:17" s="39" customFormat="1" ht="15" x14ac:dyDescent="0.25">
      <c r="C393" s="38"/>
      <c r="D393" s="65"/>
      <c r="E393" s="65"/>
      <c r="F393" s="65"/>
      <c r="H393" s="40"/>
      <c r="I393" s="41"/>
      <c r="J393" s="41"/>
      <c r="K393" s="41"/>
      <c r="L393" s="41"/>
      <c r="M393" s="42"/>
      <c r="N393" s="42"/>
      <c r="O393" s="38"/>
      <c r="P393" s="38"/>
      <c r="Q393" s="38"/>
    </row>
    <row r="394" spans="3:17" s="39" customFormat="1" ht="15" x14ac:dyDescent="0.25">
      <c r="C394" s="38"/>
      <c r="D394" s="65"/>
      <c r="E394" s="65"/>
      <c r="F394" s="65"/>
      <c r="H394" s="40"/>
      <c r="I394" s="41"/>
      <c r="J394" s="41"/>
      <c r="K394" s="41"/>
      <c r="L394" s="41"/>
      <c r="M394" s="42"/>
      <c r="N394" s="42"/>
      <c r="O394" s="38"/>
      <c r="P394" s="38"/>
      <c r="Q394" s="38"/>
    </row>
    <row r="395" spans="3:17" s="39" customFormat="1" ht="15" x14ac:dyDescent="0.25">
      <c r="C395" s="38"/>
      <c r="D395" s="65"/>
      <c r="E395" s="65"/>
      <c r="F395" s="65"/>
      <c r="H395" s="40"/>
      <c r="I395" s="41"/>
      <c r="J395" s="41"/>
      <c r="K395" s="41"/>
      <c r="L395" s="41"/>
      <c r="M395" s="42"/>
      <c r="N395" s="42"/>
      <c r="O395" s="38"/>
      <c r="P395" s="38"/>
      <c r="Q395" s="38"/>
    </row>
    <row r="396" spans="3:17" s="39" customFormat="1" ht="15" x14ac:dyDescent="0.25">
      <c r="C396" s="38"/>
      <c r="D396" s="65"/>
      <c r="E396" s="65"/>
      <c r="F396" s="65"/>
      <c r="H396" s="40"/>
      <c r="I396" s="41"/>
      <c r="J396" s="41"/>
      <c r="K396" s="41"/>
      <c r="L396" s="41"/>
      <c r="M396" s="42"/>
      <c r="N396" s="42"/>
      <c r="O396" s="38"/>
      <c r="P396" s="38"/>
      <c r="Q396" s="38"/>
    </row>
    <row r="397" spans="3:17" s="39" customFormat="1" ht="15" x14ac:dyDescent="0.25">
      <c r="C397" s="38"/>
      <c r="D397" s="65"/>
      <c r="E397" s="65"/>
      <c r="F397" s="65"/>
      <c r="H397" s="40"/>
      <c r="I397" s="41"/>
      <c r="J397" s="41"/>
      <c r="K397" s="41"/>
      <c r="L397" s="41"/>
      <c r="M397" s="42"/>
      <c r="N397" s="42"/>
      <c r="O397" s="38"/>
      <c r="P397" s="38"/>
      <c r="Q397" s="38"/>
    </row>
    <row r="398" spans="3:17" s="39" customFormat="1" ht="15" x14ac:dyDescent="0.25">
      <c r="C398" s="38"/>
      <c r="D398" s="65"/>
      <c r="E398" s="65"/>
      <c r="F398" s="65"/>
      <c r="H398" s="40"/>
      <c r="I398" s="41"/>
      <c r="J398" s="41"/>
      <c r="K398" s="41"/>
      <c r="L398" s="41"/>
      <c r="M398" s="42"/>
      <c r="N398" s="42"/>
      <c r="O398" s="38"/>
      <c r="P398" s="38"/>
      <c r="Q398" s="38"/>
    </row>
    <row r="399" spans="3:17" s="39" customFormat="1" ht="15" x14ac:dyDescent="0.25">
      <c r="C399" s="38"/>
      <c r="D399" s="65"/>
      <c r="E399" s="65"/>
      <c r="F399" s="65"/>
      <c r="H399" s="40"/>
      <c r="I399" s="41"/>
      <c r="J399" s="41"/>
      <c r="K399" s="41"/>
      <c r="L399" s="41"/>
      <c r="M399" s="42"/>
      <c r="N399" s="42"/>
      <c r="O399" s="38"/>
      <c r="P399" s="38"/>
      <c r="Q399" s="38"/>
    </row>
    <row r="400" spans="3:17" s="39" customFormat="1" ht="15" x14ac:dyDescent="0.25">
      <c r="C400" s="38"/>
      <c r="D400" s="65"/>
      <c r="E400" s="65"/>
      <c r="F400" s="65"/>
      <c r="H400" s="40"/>
      <c r="I400" s="41"/>
      <c r="J400" s="41"/>
      <c r="K400" s="41"/>
      <c r="L400" s="41"/>
      <c r="M400" s="42"/>
      <c r="N400" s="42"/>
      <c r="O400" s="38"/>
      <c r="P400" s="38"/>
      <c r="Q400" s="38"/>
    </row>
    <row r="401" spans="3:17" s="39" customFormat="1" ht="15" x14ac:dyDescent="0.25">
      <c r="C401" s="38"/>
      <c r="D401" s="65"/>
      <c r="E401" s="65"/>
      <c r="F401" s="65"/>
      <c r="H401" s="40"/>
      <c r="I401" s="41"/>
      <c r="J401" s="41"/>
      <c r="K401" s="41"/>
      <c r="L401" s="41"/>
      <c r="M401" s="42"/>
      <c r="N401" s="42"/>
      <c r="O401" s="38"/>
      <c r="P401" s="38"/>
      <c r="Q401" s="38"/>
    </row>
    <row r="402" spans="3:17" s="39" customFormat="1" ht="15" x14ac:dyDescent="0.25">
      <c r="C402" s="38"/>
      <c r="D402" s="65"/>
      <c r="E402" s="65"/>
      <c r="F402" s="65"/>
      <c r="H402" s="40"/>
      <c r="I402" s="41"/>
      <c r="J402" s="41"/>
      <c r="K402" s="41"/>
      <c r="L402" s="41"/>
      <c r="M402" s="42"/>
      <c r="N402" s="42"/>
      <c r="O402" s="38"/>
      <c r="P402" s="38"/>
      <c r="Q402" s="38"/>
    </row>
    <row r="403" spans="3:17" s="39" customFormat="1" ht="15" x14ac:dyDescent="0.25">
      <c r="C403" s="38"/>
      <c r="D403" s="65"/>
      <c r="E403" s="65"/>
      <c r="F403" s="65"/>
      <c r="H403" s="40"/>
      <c r="I403" s="41"/>
      <c r="J403" s="41"/>
      <c r="K403" s="41"/>
      <c r="L403" s="41"/>
      <c r="M403" s="42"/>
      <c r="N403" s="42"/>
      <c r="O403" s="38"/>
      <c r="P403" s="38"/>
      <c r="Q403" s="38"/>
    </row>
    <row r="404" spans="3:17" s="39" customFormat="1" ht="15" x14ac:dyDescent="0.25">
      <c r="C404" s="38"/>
      <c r="D404" s="65"/>
      <c r="E404" s="65"/>
      <c r="F404" s="65"/>
      <c r="H404" s="40"/>
      <c r="I404" s="41"/>
      <c r="J404" s="41"/>
      <c r="K404" s="41"/>
      <c r="L404" s="41"/>
      <c r="M404" s="42"/>
      <c r="N404" s="42"/>
      <c r="O404" s="38"/>
      <c r="P404" s="38"/>
      <c r="Q404" s="38"/>
    </row>
    <row r="405" spans="3:17" s="39" customFormat="1" ht="15" x14ac:dyDescent="0.25">
      <c r="C405" s="38"/>
      <c r="D405" s="65"/>
      <c r="E405" s="65"/>
      <c r="F405" s="65"/>
      <c r="H405" s="40"/>
      <c r="I405" s="41"/>
      <c r="J405" s="41"/>
      <c r="K405" s="41"/>
      <c r="L405" s="41"/>
      <c r="M405" s="42"/>
      <c r="N405" s="42"/>
      <c r="O405" s="38"/>
      <c r="P405" s="38"/>
      <c r="Q405" s="38"/>
    </row>
    <row r="406" spans="3:17" s="39" customFormat="1" ht="15" x14ac:dyDescent="0.25">
      <c r="C406" s="38"/>
      <c r="D406" s="65"/>
      <c r="E406" s="65"/>
      <c r="F406" s="65"/>
      <c r="H406" s="40"/>
      <c r="I406" s="41"/>
      <c r="J406" s="41"/>
      <c r="K406" s="41"/>
      <c r="L406" s="41"/>
      <c r="M406" s="42"/>
      <c r="N406" s="42"/>
      <c r="O406" s="38"/>
      <c r="P406" s="38"/>
      <c r="Q406" s="38"/>
    </row>
    <row r="407" spans="3:17" s="39" customFormat="1" ht="15" x14ac:dyDescent="0.25">
      <c r="C407" s="38"/>
      <c r="D407" s="65"/>
      <c r="E407" s="65"/>
      <c r="F407" s="65"/>
      <c r="H407" s="40"/>
      <c r="I407" s="41"/>
      <c r="J407" s="41"/>
      <c r="K407" s="41"/>
      <c r="L407" s="41"/>
      <c r="M407" s="42"/>
      <c r="N407" s="42"/>
      <c r="O407" s="38"/>
      <c r="P407" s="38"/>
      <c r="Q407" s="38"/>
    </row>
    <row r="408" spans="3:17" s="39" customFormat="1" ht="15" x14ac:dyDescent="0.25">
      <c r="C408" s="38"/>
      <c r="D408" s="65"/>
      <c r="E408" s="65"/>
      <c r="F408" s="65"/>
      <c r="H408" s="40"/>
      <c r="I408" s="41"/>
      <c r="J408" s="41"/>
      <c r="K408" s="41"/>
      <c r="L408" s="41"/>
      <c r="M408" s="42"/>
      <c r="N408" s="42"/>
      <c r="O408" s="38"/>
      <c r="P408" s="38"/>
      <c r="Q408" s="38"/>
    </row>
    <row r="409" spans="3:17" s="39" customFormat="1" ht="15" x14ac:dyDescent="0.25">
      <c r="C409" s="38"/>
      <c r="D409" s="65"/>
      <c r="E409" s="65"/>
      <c r="F409" s="65"/>
      <c r="H409" s="40"/>
      <c r="I409" s="41"/>
      <c r="J409" s="41"/>
      <c r="K409" s="41"/>
      <c r="L409" s="41"/>
      <c r="M409" s="42"/>
      <c r="N409" s="42"/>
      <c r="O409" s="38"/>
      <c r="P409" s="38"/>
      <c r="Q409" s="38"/>
    </row>
    <row r="410" spans="3:17" s="39" customFormat="1" ht="15" x14ac:dyDescent="0.25">
      <c r="C410" s="38"/>
      <c r="D410" s="65"/>
      <c r="E410" s="65"/>
      <c r="F410" s="65"/>
      <c r="H410" s="40"/>
      <c r="I410" s="41"/>
      <c r="J410" s="41"/>
      <c r="K410" s="41"/>
      <c r="L410" s="41"/>
      <c r="M410" s="42"/>
      <c r="N410" s="42"/>
      <c r="O410" s="38"/>
      <c r="P410" s="38"/>
      <c r="Q410" s="38"/>
    </row>
    <row r="411" spans="3:17" s="39" customFormat="1" ht="15" x14ac:dyDescent="0.25">
      <c r="C411" s="38"/>
      <c r="D411" s="65"/>
      <c r="E411" s="65"/>
      <c r="F411" s="65"/>
      <c r="H411" s="40"/>
      <c r="I411" s="41"/>
      <c r="J411" s="41"/>
      <c r="K411" s="41"/>
      <c r="L411" s="41"/>
      <c r="M411" s="42"/>
      <c r="N411" s="42"/>
      <c r="O411" s="38"/>
      <c r="P411" s="38"/>
      <c r="Q411" s="38"/>
    </row>
    <row r="412" spans="3:17" s="39" customFormat="1" ht="15" x14ac:dyDescent="0.25">
      <c r="C412" s="38"/>
      <c r="D412" s="65"/>
      <c r="E412" s="65"/>
      <c r="F412" s="65"/>
      <c r="H412" s="40"/>
      <c r="I412" s="41"/>
      <c r="J412" s="41"/>
      <c r="K412" s="41"/>
      <c r="L412" s="41"/>
      <c r="M412" s="42"/>
      <c r="N412" s="42"/>
      <c r="O412" s="38"/>
      <c r="P412" s="38"/>
      <c r="Q412" s="38"/>
    </row>
    <row r="413" spans="3:17" s="39" customFormat="1" ht="15" x14ac:dyDescent="0.25">
      <c r="C413" s="38"/>
      <c r="D413" s="65"/>
      <c r="E413" s="65"/>
      <c r="F413" s="65"/>
      <c r="H413" s="40"/>
      <c r="I413" s="41"/>
      <c r="J413" s="41"/>
      <c r="K413" s="41"/>
      <c r="L413" s="41"/>
      <c r="M413" s="42"/>
      <c r="N413" s="42"/>
      <c r="O413" s="38"/>
      <c r="P413" s="38"/>
      <c r="Q413" s="38"/>
    </row>
    <row r="414" spans="3:17" s="39" customFormat="1" ht="15" x14ac:dyDescent="0.25">
      <c r="C414" s="38"/>
      <c r="D414" s="65"/>
      <c r="E414" s="65"/>
      <c r="F414" s="65"/>
      <c r="H414" s="40"/>
      <c r="I414" s="41"/>
      <c r="J414" s="41"/>
      <c r="K414" s="41"/>
      <c r="L414" s="41"/>
      <c r="M414" s="42"/>
      <c r="N414" s="42"/>
      <c r="O414" s="38"/>
      <c r="P414" s="38"/>
      <c r="Q414" s="38"/>
    </row>
    <row r="415" spans="3:17" s="39" customFormat="1" ht="15" x14ac:dyDescent="0.25">
      <c r="C415" s="38"/>
      <c r="D415" s="65"/>
      <c r="E415" s="65"/>
      <c r="F415" s="65"/>
      <c r="H415" s="40"/>
      <c r="I415" s="41"/>
      <c r="J415" s="41"/>
      <c r="K415" s="41"/>
      <c r="L415" s="41"/>
      <c r="M415" s="42"/>
      <c r="N415" s="42"/>
      <c r="O415" s="38"/>
      <c r="P415" s="38"/>
      <c r="Q415" s="38"/>
    </row>
    <row r="416" spans="3:17" s="39" customFormat="1" ht="15" x14ac:dyDescent="0.25">
      <c r="C416" s="38"/>
      <c r="D416" s="65"/>
      <c r="E416" s="65"/>
      <c r="F416" s="65"/>
      <c r="H416" s="40"/>
      <c r="I416" s="41"/>
      <c r="J416" s="41"/>
      <c r="K416" s="41"/>
      <c r="L416" s="41"/>
      <c r="M416" s="42"/>
      <c r="N416" s="42"/>
      <c r="O416" s="38"/>
      <c r="P416" s="38"/>
      <c r="Q416" s="38"/>
    </row>
    <row r="417" spans="3:17" s="39" customFormat="1" ht="15" x14ac:dyDescent="0.25">
      <c r="C417" s="38"/>
      <c r="D417" s="65"/>
      <c r="E417" s="65"/>
      <c r="F417" s="65"/>
      <c r="H417" s="40"/>
      <c r="I417" s="41"/>
      <c r="J417" s="41"/>
      <c r="K417" s="41"/>
      <c r="L417" s="41"/>
      <c r="M417" s="42"/>
      <c r="N417" s="42"/>
      <c r="O417" s="38"/>
      <c r="P417" s="38"/>
      <c r="Q417" s="38"/>
    </row>
    <row r="418" spans="3:17" s="39" customFormat="1" ht="15" x14ac:dyDescent="0.25">
      <c r="C418" s="38"/>
      <c r="D418" s="65"/>
      <c r="E418" s="65"/>
      <c r="F418" s="65"/>
      <c r="H418" s="40"/>
      <c r="I418" s="41"/>
      <c r="J418" s="41"/>
      <c r="K418" s="41"/>
      <c r="L418" s="41"/>
      <c r="M418" s="42"/>
      <c r="N418" s="42"/>
      <c r="O418" s="38"/>
      <c r="P418" s="38"/>
      <c r="Q418" s="38"/>
    </row>
    <row r="419" spans="3:17" s="39" customFormat="1" ht="15" x14ac:dyDescent="0.25">
      <c r="C419" s="38"/>
      <c r="D419" s="65"/>
      <c r="E419" s="65"/>
      <c r="F419" s="65"/>
      <c r="H419" s="40"/>
      <c r="I419" s="41"/>
      <c r="J419" s="41"/>
      <c r="K419" s="41"/>
      <c r="L419" s="41"/>
      <c r="M419" s="42"/>
      <c r="N419" s="42"/>
      <c r="O419" s="38"/>
      <c r="P419" s="38"/>
      <c r="Q419" s="38"/>
    </row>
    <row r="420" spans="3:17" s="39" customFormat="1" ht="15" x14ac:dyDescent="0.25">
      <c r="C420" s="38"/>
      <c r="D420" s="65"/>
      <c r="E420" s="65"/>
      <c r="F420" s="65"/>
      <c r="H420" s="40"/>
      <c r="I420" s="41"/>
      <c r="J420" s="41"/>
      <c r="K420" s="41"/>
      <c r="L420" s="41"/>
      <c r="M420" s="42"/>
      <c r="N420" s="42"/>
      <c r="O420" s="38"/>
      <c r="P420" s="38"/>
      <c r="Q420" s="38"/>
    </row>
    <row r="421" spans="3:17" s="39" customFormat="1" ht="15" x14ac:dyDescent="0.25">
      <c r="C421" s="38"/>
      <c r="D421" s="65"/>
      <c r="E421" s="65"/>
      <c r="F421" s="65"/>
      <c r="H421" s="40"/>
      <c r="I421" s="41"/>
      <c r="J421" s="41"/>
      <c r="K421" s="41"/>
      <c r="L421" s="41"/>
      <c r="M421" s="42"/>
      <c r="N421" s="42"/>
      <c r="O421" s="38"/>
      <c r="P421" s="38"/>
      <c r="Q421" s="38"/>
    </row>
    <row r="422" spans="3:17" s="39" customFormat="1" ht="15" x14ac:dyDescent="0.25">
      <c r="C422" s="38"/>
      <c r="D422" s="65"/>
      <c r="E422" s="65"/>
      <c r="F422" s="65"/>
      <c r="H422" s="40"/>
      <c r="I422" s="41"/>
      <c r="J422" s="41"/>
      <c r="K422" s="41"/>
      <c r="L422" s="41"/>
      <c r="M422" s="42"/>
      <c r="N422" s="42"/>
      <c r="O422" s="38"/>
      <c r="P422" s="38"/>
      <c r="Q422" s="38"/>
    </row>
    <row r="423" spans="3:17" s="39" customFormat="1" ht="15" x14ac:dyDescent="0.25">
      <c r="C423" s="38"/>
      <c r="D423" s="65"/>
      <c r="E423" s="65"/>
      <c r="F423" s="65"/>
      <c r="H423" s="40"/>
      <c r="I423" s="41"/>
      <c r="J423" s="41"/>
      <c r="K423" s="41"/>
      <c r="L423" s="41"/>
      <c r="M423" s="42"/>
      <c r="N423" s="42"/>
      <c r="O423" s="38"/>
      <c r="P423" s="38"/>
      <c r="Q423" s="38"/>
    </row>
    <row r="424" spans="3:17" s="39" customFormat="1" ht="15" x14ac:dyDescent="0.25">
      <c r="C424" s="38"/>
      <c r="D424" s="65"/>
      <c r="E424" s="65"/>
      <c r="F424" s="65"/>
      <c r="H424" s="40"/>
      <c r="I424" s="41"/>
      <c r="J424" s="41"/>
      <c r="K424" s="41"/>
      <c r="L424" s="41"/>
      <c r="M424" s="42"/>
      <c r="N424" s="42"/>
      <c r="O424" s="38"/>
      <c r="P424" s="38"/>
      <c r="Q424" s="38"/>
    </row>
    <row r="425" spans="3:17" s="39" customFormat="1" ht="15" x14ac:dyDescent="0.25">
      <c r="C425" s="38"/>
      <c r="D425" s="65"/>
      <c r="E425" s="65"/>
      <c r="F425" s="65"/>
      <c r="H425" s="40"/>
      <c r="I425" s="41"/>
      <c r="J425" s="41"/>
      <c r="K425" s="41"/>
      <c r="L425" s="41"/>
      <c r="M425" s="42"/>
      <c r="N425" s="42"/>
      <c r="O425" s="38"/>
      <c r="P425" s="38"/>
      <c r="Q425" s="38"/>
    </row>
    <row r="426" spans="3:17" s="39" customFormat="1" ht="15" x14ac:dyDescent="0.25">
      <c r="C426" s="38"/>
      <c r="D426" s="65"/>
      <c r="E426" s="65"/>
      <c r="F426" s="65"/>
      <c r="H426" s="40"/>
      <c r="I426" s="41"/>
      <c r="J426" s="41"/>
      <c r="K426" s="41"/>
      <c r="L426" s="41"/>
      <c r="M426" s="42"/>
      <c r="N426" s="42"/>
      <c r="O426" s="38"/>
      <c r="P426" s="38"/>
      <c r="Q426" s="38"/>
    </row>
    <row r="427" spans="3:17" s="39" customFormat="1" ht="15" x14ac:dyDescent="0.25">
      <c r="C427" s="38"/>
      <c r="D427" s="65"/>
      <c r="E427" s="65"/>
      <c r="F427" s="65"/>
      <c r="H427" s="40"/>
      <c r="I427" s="41"/>
      <c r="J427" s="41"/>
      <c r="K427" s="41"/>
      <c r="L427" s="41"/>
      <c r="M427" s="42"/>
      <c r="N427" s="42"/>
      <c r="O427" s="38"/>
      <c r="P427" s="38"/>
      <c r="Q427" s="38"/>
    </row>
    <row r="428" spans="3:17" s="39" customFormat="1" ht="15" x14ac:dyDescent="0.25">
      <c r="C428" s="38"/>
      <c r="D428" s="65"/>
      <c r="E428" s="65"/>
      <c r="F428" s="65"/>
      <c r="H428" s="40"/>
      <c r="I428" s="41"/>
      <c r="J428" s="41"/>
      <c r="K428" s="41"/>
      <c r="L428" s="41"/>
      <c r="M428" s="42"/>
      <c r="N428" s="42"/>
      <c r="O428" s="38"/>
      <c r="P428" s="38"/>
      <c r="Q428" s="38"/>
    </row>
    <row r="429" spans="3:17" s="39" customFormat="1" ht="15" x14ac:dyDescent="0.25">
      <c r="C429" s="38"/>
      <c r="D429" s="65"/>
      <c r="E429" s="65"/>
      <c r="F429" s="65"/>
      <c r="H429" s="40"/>
      <c r="I429" s="41"/>
      <c r="J429" s="41"/>
      <c r="K429" s="41"/>
      <c r="L429" s="41"/>
      <c r="M429" s="42"/>
      <c r="N429" s="42"/>
      <c r="O429" s="38"/>
      <c r="P429" s="38"/>
      <c r="Q429" s="38"/>
    </row>
    <row r="430" spans="3:17" s="39" customFormat="1" ht="15" x14ac:dyDescent="0.25">
      <c r="C430" s="38"/>
      <c r="D430" s="65"/>
      <c r="E430" s="65"/>
      <c r="F430" s="65"/>
      <c r="H430" s="40"/>
      <c r="I430" s="41"/>
      <c r="J430" s="41"/>
      <c r="K430" s="41"/>
      <c r="L430" s="41"/>
      <c r="M430" s="42"/>
      <c r="N430" s="42"/>
      <c r="O430" s="38"/>
      <c r="P430" s="38"/>
      <c r="Q430" s="38"/>
    </row>
    <row r="431" spans="3:17" s="39" customFormat="1" ht="15" x14ac:dyDescent="0.25">
      <c r="C431" s="38"/>
      <c r="D431" s="65"/>
      <c r="E431" s="65"/>
      <c r="F431" s="65"/>
      <c r="H431" s="40"/>
      <c r="I431" s="41"/>
      <c r="J431" s="41"/>
      <c r="K431" s="41"/>
      <c r="L431" s="41"/>
      <c r="M431" s="42"/>
      <c r="N431" s="42"/>
      <c r="O431" s="38"/>
      <c r="P431" s="38"/>
      <c r="Q431" s="38"/>
    </row>
    <row r="432" spans="3:17" s="39" customFormat="1" ht="15" x14ac:dyDescent="0.25">
      <c r="C432" s="38"/>
      <c r="D432" s="65"/>
      <c r="E432" s="65"/>
      <c r="F432" s="65"/>
      <c r="H432" s="40"/>
      <c r="I432" s="41"/>
      <c r="J432" s="41"/>
      <c r="K432" s="41"/>
      <c r="L432" s="41"/>
      <c r="M432" s="42"/>
      <c r="N432" s="42"/>
      <c r="O432" s="38"/>
      <c r="P432" s="38"/>
      <c r="Q432" s="38"/>
    </row>
    <row r="433" spans="3:17" s="39" customFormat="1" ht="15" x14ac:dyDescent="0.25">
      <c r="C433" s="38"/>
      <c r="D433" s="65"/>
      <c r="E433" s="65"/>
      <c r="F433" s="65"/>
      <c r="H433" s="40"/>
      <c r="I433" s="41"/>
      <c r="J433" s="41"/>
      <c r="K433" s="41"/>
      <c r="L433" s="41"/>
      <c r="M433" s="42"/>
      <c r="N433" s="42"/>
      <c r="O433" s="38"/>
      <c r="P433" s="38"/>
      <c r="Q433" s="38"/>
    </row>
    <row r="434" spans="3:17" s="39" customFormat="1" ht="15" x14ac:dyDescent="0.25">
      <c r="C434" s="38"/>
      <c r="D434" s="65"/>
      <c r="E434" s="65"/>
      <c r="F434" s="65"/>
      <c r="H434" s="40"/>
      <c r="I434" s="41"/>
      <c r="J434" s="41"/>
      <c r="K434" s="41"/>
      <c r="L434" s="41"/>
      <c r="M434" s="42"/>
      <c r="N434" s="42"/>
      <c r="O434" s="38"/>
      <c r="P434" s="38"/>
      <c r="Q434" s="38"/>
    </row>
    <row r="435" spans="3:17" s="39" customFormat="1" ht="15" x14ac:dyDescent="0.25">
      <c r="C435" s="38"/>
      <c r="D435" s="65"/>
      <c r="E435" s="65"/>
      <c r="F435" s="65"/>
      <c r="H435" s="40"/>
      <c r="I435" s="41"/>
      <c r="J435" s="41"/>
      <c r="K435" s="41"/>
      <c r="L435" s="41"/>
      <c r="M435" s="42"/>
      <c r="N435" s="42"/>
      <c r="O435" s="38"/>
      <c r="P435" s="38"/>
      <c r="Q435" s="38"/>
    </row>
    <row r="436" spans="3:17" s="39" customFormat="1" ht="15" x14ac:dyDescent="0.25">
      <c r="C436" s="38"/>
      <c r="D436" s="65"/>
      <c r="E436" s="65"/>
      <c r="F436" s="65"/>
      <c r="H436" s="40"/>
      <c r="I436" s="41"/>
      <c r="J436" s="41"/>
      <c r="K436" s="41"/>
      <c r="L436" s="41"/>
      <c r="M436" s="42"/>
      <c r="N436" s="42"/>
      <c r="O436" s="38"/>
      <c r="P436" s="38"/>
      <c r="Q436" s="38"/>
    </row>
    <row r="437" spans="3:17" s="39" customFormat="1" ht="15" x14ac:dyDescent="0.25">
      <c r="C437" s="38"/>
      <c r="D437" s="65"/>
      <c r="E437" s="65"/>
      <c r="F437" s="65"/>
      <c r="H437" s="40"/>
      <c r="I437" s="41"/>
      <c r="J437" s="41"/>
      <c r="K437" s="41"/>
      <c r="L437" s="41"/>
      <c r="M437" s="42"/>
      <c r="N437" s="42"/>
      <c r="O437" s="38"/>
      <c r="P437" s="38"/>
      <c r="Q437" s="38"/>
    </row>
    <row r="438" spans="3:17" s="39" customFormat="1" ht="15" x14ac:dyDescent="0.25">
      <c r="C438" s="38"/>
      <c r="D438" s="65"/>
      <c r="E438" s="65"/>
      <c r="F438" s="65"/>
      <c r="H438" s="40"/>
      <c r="I438" s="41"/>
      <c r="J438" s="41"/>
      <c r="K438" s="41"/>
      <c r="L438" s="41"/>
      <c r="M438" s="42"/>
      <c r="N438" s="42"/>
      <c r="O438" s="38"/>
      <c r="P438" s="38"/>
      <c r="Q438" s="38"/>
    </row>
    <row r="439" spans="3:17" s="39" customFormat="1" ht="15" x14ac:dyDescent="0.25">
      <c r="C439" s="38"/>
      <c r="D439" s="65"/>
      <c r="E439" s="65"/>
      <c r="F439" s="65"/>
      <c r="H439" s="40"/>
      <c r="I439" s="41"/>
      <c r="J439" s="41"/>
      <c r="K439" s="41"/>
      <c r="L439" s="41"/>
      <c r="M439" s="42"/>
      <c r="N439" s="42"/>
      <c r="O439" s="38"/>
      <c r="P439" s="38"/>
      <c r="Q439" s="38"/>
    </row>
    <row r="440" spans="3:17" s="39" customFormat="1" ht="15" x14ac:dyDescent="0.25">
      <c r="C440" s="38"/>
      <c r="D440" s="65"/>
      <c r="E440" s="65"/>
      <c r="F440" s="65"/>
      <c r="H440" s="40"/>
      <c r="I440" s="41"/>
      <c r="J440" s="41"/>
      <c r="K440" s="41"/>
      <c r="L440" s="41"/>
      <c r="M440" s="42"/>
      <c r="N440" s="42"/>
      <c r="O440" s="38"/>
      <c r="P440" s="38"/>
      <c r="Q440" s="38"/>
    </row>
    <row r="441" spans="3:17" s="39" customFormat="1" ht="15" x14ac:dyDescent="0.25">
      <c r="C441" s="38"/>
      <c r="D441" s="65"/>
      <c r="E441" s="65"/>
      <c r="F441" s="65"/>
      <c r="H441" s="40"/>
      <c r="I441" s="41"/>
      <c r="J441" s="41"/>
      <c r="K441" s="41"/>
      <c r="L441" s="41"/>
      <c r="M441" s="42"/>
      <c r="N441" s="42"/>
      <c r="O441" s="38"/>
      <c r="P441" s="38"/>
      <c r="Q441" s="38"/>
    </row>
    <row r="442" spans="3:17" s="39" customFormat="1" ht="15" x14ac:dyDescent="0.25">
      <c r="C442" s="38"/>
      <c r="D442" s="65"/>
      <c r="E442" s="65"/>
      <c r="F442" s="65"/>
      <c r="H442" s="40"/>
      <c r="I442" s="41"/>
      <c r="J442" s="41"/>
      <c r="K442" s="41"/>
      <c r="L442" s="41"/>
      <c r="M442" s="42"/>
      <c r="N442" s="42"/>
      <c r="O442" s="38"/>
      <c r="P442" s="38"/>
      <c r="Q442" s="38"/>
    </row>
    <row r="443" spans="3:17" s="39" customFormat="1" ht="15" x14ac:dyDescent="0.25">
      <c r="C443" s="38"/>
      <c r="D443" s="65"/>
      <c r="E443" s="65"/>
      <c r="F443" s="65"/>
      <c r="H443" s="40"/>
      <c r="I443" s="41"/>
      <c r="J443" s="41"/>
      <c r="K443" s="41"/>
      <c r="L443" s="41"/>
      <c r="M443" s="42"/>
      <c r="N443" s="42"/>
      <c r="O443" s="38"/>
      <c r="P443" s="38"/>
      <c r="Q443" s="38"/>
    </row>
    <row r="444" spans="3:17" s="39" customFormat="1" ht="15" x14ac:dyDescent="0.25">
      <c r="C444" s="38"/>
      <c r="D444" s="65"/>
      <c r="E444" s="65"/>
      <c r="F444" s="65"/>
      <c r="H444" s="40"/>
      <c r="I444" s="41"/>
      <c r="J444" s="41"/>
      <c r="K444" s="41"/>
      <c r="L444" s="41"/>
      <c r="M444" s="42"/>
      <c r="N444" s="42"/>
      <c r="O444" s="38"/>
      <c r="P444" s="38"/>
      <c r="Q444" s="38"/>
    </row>
    <row r="445" spans="3:17" s="39" customFormat="1" ht="15" x14ac:dyDescent="0.25">
      <c r="C445" s="38"/>
      <c r="D445" s="65"/>
      <c r="E445" s="65"/>
      <c r="F445" s="65"/>
      <c r="H445" s="40"/>
      <c r="I445" s="41"/>
      <c r="J445" s="41"/>
      <c r="K445" s="41"/>
      <c r="L445" s="41"/>
      <c r="M445" s="42"/>
      <c r="N445" s="42"/>
      <c r="O445" s="38"/>
      <c r="P445" s="38"/>
      <c r="Q445" s="38"/>
    </row>
    <row r="446" spans="3:17" s="39" customFormat="1" ht="15" x14ac:dyDescent="0.25">
      <c r="C446" s="38"/>
      <c r="D446" s="65"/>
      <c r="E446" s="65"/>
      <c r="F446" s="65"/>
      <c r="H446" s="40"/>
      <c r="I446" s="41"/>
      <c r="J446" s="41"/>
      <c r="K446" s="41"/>
      <c r="L446" s="41"/>
      <c r="M446" s="42"/>
      <c r="N446" s="42"/>
      <c r="O446" s="38"/>
      <c r="P446" s="38"/>
      <c r="Q446" s="38"/>
    </row>
    <row r="447" spans="3:17" s="39" customFormat="1" ht="15" x14ac:dyDescent="0.25">
      <c r="C447" s="38"/>
      <c r="D447" s="65"/>
      <c r="E447" s="65"/>
      <c r="F447" s="65"/>
      <c r="H447" s="40"/>
      <c r="I447" s="41"/>
      <c r="J447" s="41"/>
      <c r="K447" s="41"/>
      <c r="L447" s="41"/>
      <c r="M447" s="42"/>
      <c r="N447" s="42"/>
      <c r="O447" s="38"/>
      <c r="P447" s="38"/>
      <c r="Q447" s="38"/>
    </row>
    <row r="448" spans="3:17" s="39" customFormat="1" ht="15" x14ac:dyDescent="0.25">
      <c r="C448" s="38"/>
      <c r="D448" s="65"/>
      <c r="E448" s="65"/>
      <c r="F448" s="65"/>
      <c r="H448" s="40"/>
      <c r="I448" s="41"/>
      <c r="J448" s="41"/>
      <c r="K448" s="41"/>
      <c r="L448" s="41"/>
      <c r="M448" s="42"/>
      <c r="N448" s="42"/>
      <c r="O448" s="38"/>
      <c r="P448" s="38"/>
      <c r="Q448" s="38"/>
    </row>
    <row r="449" spans="3:17" s="39" customFormat="1" ht="15" x14ac:dyDescent="0.25">
      <c r="C449" s="38"/>
      <c r="D449" s="65"/>
      <c r="E449" s="65"/>
      <c r="F449" s="65"/>
      <c r="H449" s="40"/>
      <c r="I449" s="41"/>
      <c r="J449" s="41"/>
      <c r="K449" s="41"/>
      <c r="L449" s="41"/>
      <c r="M449" s="42"/>
      <c r="N449" s="42"/>
      <c r="O449" s="38"/>
      <c r="P449" s="38"/>
      <c r="Q449" s="38"/>
    </row>
    <row r="450" spans="3:17" s="39" customFormat="1" ht="15" x14ac:dyDescent="0.25">
      <c r="C450" s="38"/>
      <c r="D450" s="65"/>
      <c r="E450" s="65"/>
      <c r="F450" s="65"/>
      <c r="H450" s="40"/>
      <c r="I450" s="41"/>
      <c r="J450" s="41"/>
      <c r="K450" s="41"/>
      <c r="L450" s="41"/>
      <c r="M450" s="42"/>
      <c r="N450" s="42"/>
      <c r="O450" s="38"/>
      <c r="P450" s="38"/>
      <c r="Q450" s="38"/>
    </row>
    <row r="451" spans="3:17" s="39" customFormat="1" ht="15" x14ac:dyDescent="0.25">
      <c r="C451" s="38"/>
      <c r="D451" s="65"/>
      <c r="E451" s="65"/>
      <c r="F451" s="65"/>
      <c r="H451" s="40"/>
      <c r="I451" s="41"/>
      <c r="J451" s="41"/>
      <c r="K451" s="41"/>
      <c r="L451" s="41"/>
      <c r="M451" s="42"/>
      <c r="N451" s="42"/>
      <c r="O451" s="38"/>
      <c r="P451" s="38"/>
      <c r="Q451" s="38"/>
    </row>
    <row r="452" spans="3:17" s="39" customFormat="1" ht="15" x14ac:dyDescent="0.25">
      <c r="C452" s="38"/>
      <c r="D452" s="65"/>
      <c r="E452" s="65"/>
      <c r="F452" s="65"/>
      <c r="H452" s="40"/>
      <c r="I452" s="41"/>
      <c r="J452" s="41"/>
      <c r="K452" s="41"/>
      <c r="L452" s="41"/>
      <c r="M452" s="42"/>
      <c r="N452" s="42"/>
      <c r="O452" s="38"/>
      <c r="P452" s="38"/>
      <c r="Q452" s="38"/>
    </row>
    <row r="453" spans="3:17" s="39" customFormat="1" ht="15" x14ac:dyDescent="0.25">
      <c r="C453" s="38"/>
      <c r="D453" s="65"/>
      <c r="E453" s="65"/>
      <c r="F453" s="65"/>
      <c r="H453" s="40"/>
      <c r="I453" s="41"/>
      <c r="J453" s="41"/>
      <c r="K453" s="41"/>
      <c r="L453" s="41"/>
      <c r="M453" s="42"/>
      <c r="N453" s="42"/>
      <c r="O453" s="38"/>
      <c r="P453" s="38"/>
      <c r="Q453" s="38"/>
    </row>
    <row r="454" spans="3:17" s="39" customFormat="1" ht="15" x14ac:dyDescent="0.25">
      <c r="C454" s="38"/>
      <c r="D454" s="65"/>
      <c r="E454" s="65"/>
      <c r="F454" s="65"/>
      <c r="H454" s="40"/>
      <c r="I454" s="41"/>
      <c r="J454" s="41"/>
      <c r="K454" s="41"/>
      <c r="L454" s="41"/>
      <c r="M454" s="42"/>
      <c r="N454" s="42"/>
      <c r="O454" s="38"/>
      <c r="P454" s="38"/>
      <c r="Q454" s="38"/>
    </row>
    <row r="455" spans="3:17" s="39" customFormat="1" ht="15" x14ac:dyDescent="0.25">
      <c r="C455" s="38"/>
      <c r="D455" s="65"/>
      <c r="E455" s="65"/>
      <c r="F455" s="65"/>
      <c r="H455" s="40"/>
      <c r="I455" s="41"/>
      <c r="J455" s="41"/>
      <c r="K455" s="41"/>
      <c r="L455" s="41"/>
      <c r="M455" s="42"/>
      <c r="N455" s="42"/>
      <c r="O455" s="38"/>
      <c r="P455" s="38"/>
      <c r="Q455" s="38"/>
    </row>
    <row r="456" spans="3:17" s="39" customFormat="1" ht="15" x14ac:dyDescent="0.25">
      <c r="C456" s="38"/>
      <c r="D456" s="65"/>
      <c r="E456" s="65"/>
      <c r="F456" s="65"/>
      <c r="H456" s="40"/>
      <c r="I456" s="41"/>
      <c r="J456" s="41"/>
      <c r="K456" s="41"/>
      <c r="L456" s="41"/>
      <c r="M456" s="42"/>
      <c r="N456" s="42"/>
      <c r="O456" s="38"/>
      <c r="P456" s="38"/>
      <c r="Q456" s="38"/>
    </row>
    <row r="457" spans="3:17" s="39" customFormat="1" ht="15" x14ac:dyDescent="0.25">
      <c r="C457" s="38"/>
      <c r="D457" s="65"/>
      <c r="E457" s="65"/>
      <c r="F457" s="65"/>
      <c r="H457" s="40"/>
      <c r="I457" s="41"/>
      <c r="J457" s="41"/>
      <c r="K457" s="41"/>
      <c r="L457" s="41"/>
      <c r="M457" s="42"/>
      <c r="N457" s="42"/>
      <c r="O457" s="38"/>
      <c r="P457" s="38"/>
      <c r="Q457" s="38"/>
    </row>
    <row r="458" spans="3:17" s="39" customFormat="1" ht="15" x14ac:dyDescent="0.25">
      <c r="C458" s="38"/>
      <c r="D458" s="65"/>
      <c r="E458" s="65"/>
      <c r="F458" s="65"/>
      <c r="H458" s="40"/>
      <c r="I458" s="41"/>
      <c r="J458" s="41"/>
      <c r="K458" s="41"/>
      <c r="L458" s="41"/>
      <c r="M458" s="42"/>
      <c r="N458" s="42"/>
      <c r="O458" s="38"/>
      <c r="P458" s="38"/>
      <c r="Q458" s="38"/>
    </row>
    <row r="459" spans="3:17" s="39" customFormat="1" ht="15" x14ac:dyDescent="0.25">
      <c r="C459" s="38"/>
      <c r="D459" s="65"/>
      <c r="E459" s="65"/>
      <c r="F459" s="65"/>
      <c r="H459" s="40"/>
      <c r="I459" s="41"/>
      <c r="J459" s="41"/>
      <c r="K459" s="41"/>
      <c r="L459" s="41"/>
      <c r="M459" s="42"/>
      <c r="N459" s="42"/>
      <c r="O459" s="38"/>
      <c r="P459" s="38"/>
      <c r="Q459" s="38"/>
    </row>
    <row r="460" spans="3:17" s="39" customFormat="1" ht="15" x14ac:dyDescent="0.25">
      <c r="C460" s="38"/>
      <c r="D460" s="65"/>
      <c r="E460" s="65"/>
      <c r="F460" s="65"/>
      <c r="H460" s="40"/>
      <c r="I460" s="41"/>
      <c r="J460" s="41"/>
      <c r="K460" s="41"/>
      <c r="L460" s="41"/>
      <c r="M460" s="42"/>
      <c r="N460" s="42"/>
      <c r="O460" s="38"/>
      <c r="P460" s="38"/>
      <c r="Q460" s="38"/>
    </row>
    <row r="461" spans="3:17" s="39" customFormat="1" ht="15" x14ac:dyDescent="0.25">
      <c r="C461" s="38"/>
      <c r="D461" s="65"/>
      <c r="E461" s="65"/>
      <c r="F461" s="65"/>
      <c r="H461" s="40"/>
      <c r="I461" s="41"/>
      <c r="J461" s="41"/>
      <c r="K461" s="41"/>
      <c r="L461" s="41"/>
      <c r="M461" s="42"/>
      <c r="N461" s="42"/>
      <c r="O461" s="38"/>
      <c r="P461" s="38"/>
      <c r="Q461" s="38"/>
    </row>
    <row r="462" spans="3:17" s="39" customFormat="1" ht="15" x14ac:dyDescent="0.25">
      <c r="C462" s="38"/>
      <c r="D462" s="65"/>
      <c r="E462" s="65"/>
      <c r="F462" s="65"/>
      <c r="H462" s="40"/>
      <c r="I462" s="41"/>
      <c r="J462" s="41"/>
      <c r="K462" s="41"/>
      <c r="L462" s="41"/>
      <c r="M462" s="42"/>
      <c r="N462" s="42"/>
      <c r="O462" s="38"/>
      <c r="P462" s="38"/>
      <c r="Q462" s="38"/>
    </row>
    <row r="463" spans="3:17" s="39" customFormat="1" ht="15" x14ac:dyDescent="0.25">
      <c r="C463" s="38"/>
      <c r="D463" s="65"/>
      <c r="E463" s="65"/>
      <c r="F463" s="65"/>
      <c r="H463" s="40"/>
      <c r="I463" s="41"/>
      <c r="J463" s="41"/>
      <c r="K463" s="41"/>
      <c r="L463" s="41"/>
      <c r="M463" s="42"/>
      <c r="N463" s="42"/>
      <c r="O463" s="38"/>
      <c r="P463" s="38"/>
      <c r="Q463" s="38"/>
    </row>
    <row r="464" spans="3:17" s="39" customFormat="1" ht="15" x14ac:dyDescent="0.25">
      <c r="C464" s="38"/>
      <c r="D464" s="65"/>
      <c r="E464" s="65"/>
      <c r="F464" s="65"/>
      <c r="H464" s="40"/>
      <c r="I464" s="41"/>
      <c r="J464" s="41"/>
      <c r="K464" s="41"/>
      <c r="L464" s="41"/>
      <c r="M464" s="42"/>
      <c r="N464" s="42"/>
      <c r="O464" s="38"/>
      <c r="P464" s="38"/>
      <c r="Q464" s="38"/>
    </row>
    <row r="465" spans="3:17" s="39" customFormat="1" ht="15" x14ac:dyDescent="0.25">
      <c r="C465" s="38"/>
      <c r="D465" s="65"/>
      <c r="E465" s="65"/>
      <c r="F465" s="65"/>
      <c r="H465" s="40"/>
      <c r="I465" s="41"/>
      <c r="J465" s="41"/>
      <c r="K465" s="41"/>
      <c r="L465" s="41"/>
      <c r="M465" s="42"/>
      <c r="N465" s="42"/>
      <c r="O465" s="38"/>
      <c r="P465" s="38"/>
      <c r="Q465" s="38"/>
    </row>
    <row r="466" spans="3:17" s="39" customFormat="1" ht="15" x14ac:dyDescent="0.25">
      <c r="C466" s="38"/>
      <c r="D466" s="65"/>
      <c r="E466" s="65"/>
      <c r="F466" s="65"/>
      <c r="H466" s="40"/>
      <c r="I466" s="41"/>
      <c r="J466" s="41"/>
      <c r="K466" s="41"/>
      <c r="L466" s="41"/>
      <c r="M466" s="42"/>
      <c r="N466" s="42"/>
      <c r="O466" s="38"/>
      <c r="P466" s="38"/>
      <c r="Q466" s="38"/>
    </row>
    <row r="467" spans="3:17" s="39" customFormat="1" ht="15" x14ac:dyDescent="0.25">
      <c r="C467" s="38"/>
      <c r="D467" s="65"/>
      <c r="E467" s="65"/>
      <c r="F467" s="65"/>
      <c r="H467" s="40"/>
      <c r="I467" s="41"/>
      <c r="J467" s="41"/>
      <c r="K467" s="41"/>
      <c r="L467" s="41"/>
      <c r="M467" s="42"/>
      <c r="N467" s="42"/>
      <c r="O467" s="38"/>
      <c r="P467" s="38"/>
      <c r="Q467" s="38"/>
    </row>
    <row r="468" spans="3:17" s="39" customFormat="1" ht="15" x14ac:dyDescent="0.25">
      <c r="C468" s="38"/>
      <c r="D468" s="65"/>
      <c r="E468" s="65"/>
      <c r="F468" s="65"/>
      <c r="H468" s="40"/>
      <c r="I468" s="41"/>
      <c r="J468" s="41"/>
      <c r="K468" s="41"/>
      <c r="L468" s="41"/>
      <c r="M468" s="42"/>
      <c r="N468" s="42"/>
      <c r="O468" s="38"/>
      <c r="P468" s="38"/>
      <c r="Q468" s="38"/>
    </row>
    <row r="469" spans="3:17" s="39" customFormat="1" ht="15" x14ac:dyDescent="0.25">
      <c r="C469" s="38"/>
      <c r="D469" s="65"/>
      <c r="E469" s="65"/>
      <c r="F469" s="65"/>
      <c r="H469" s="40"/>
      <c r="I469" s="41"/>
      <c r="J469" s="41"/>
      <c r="K469" s="41"/>
      <c r="L469" s="41"/>
      <c r="M469" s="42"/>
      <c r="N469" s="42"/>
      <c r="O469" s="38"/>
      <c r="P469" s="38"/>
      <c r="Q469" s="38"/>
    </row>
    <row r="470" spans="3:17" s="39" customFormat="1" ht="15" x14ac:dyDescent="0.25">
      <c r="C470" s="38"/>
      <c r="D470" s="65"/>
      <c r="E470" s="65"/>
      <c r="F470" s="65"/>
      <c r="H470" s="40"/>
      <c r="I470" s="41"/>
      <c r="J470" s="41"/>
      <c r="K470" s="41"/>
      <c r="L470" s="41"/>
      <c r="M470" s="42"/>
      <c r="N470" s="42"/>
      <c r="O470" s="38"/>
      <c r="P470" s="38"/>
      <c r="Q470" s="38"/>
    </row>
    <row r="471" spans="3:17" s="39" customFormat="1" ht="15" x14ac:dyDescent="0.25">
      <c r="C471" s="38"/>
      <c r="D471" s="65"/>
      <c r="E471" s="65"/>
      <c r="F471" s="65"/>
      <c r="H471" s="40"/>
      <c r="I471" s="41"/>
      <c r="J471" s="41"/>
      <c r="K471" s="41"/>
      <c r="L471" s="41"/>
      <c r="M471" s="42"/>
      <c r="N471" s="42"/>
      <c r="O471" s="38"/>
      <c r="P471" s="38"/>
      <c r="Q471" s="38"/>
    </row>
    <row r="472" spans="3:17" s="39" customFormat="1" ht="15" x14ac:dyDescent="0.25">
      <c r="C472" s="38"/>
      <c r="D472" s="65"/>
      <c r="E472" s="65"/>
      <c r="F472" s="65"/>
      <c r="H472" s="40"/>
      <c r="I472" s="41"/>
      <c r="J472" s="41"/>
      <c r="K472" s="41"/>
      <c r="L472" s="41"/>
      <c r="M472" s="42"/>
      <c r="N472" s="42"/>
      <c r="O472" s="38"/>
      <c r="P472" s="38"/>
      <c r="Q472" s="38"/>
    </row>
    <row r="473" spans="3:17" s="39" customFormat="1" ht="15" x14ac:dyDescent="0.25">
      <c r="C473" s="38"/>
      <c r="D473" s="65"/>
      <c r="E473" s="65"/>
      <c r="F473" s="65"/>
      <c r="H473" s="40"/>
      <c r="I473" s="41"/>
      <c r="J473" s="41"/>
      <c r="K473" s="41"/>
      <c r="L473" s="41"/>
      <c r="M473" s="42"/>
      <c r="N473" s="42"/>
      <c r="O473" s="38"/>
      <c r="P473" s="38"/>
      <c r="Q473" s="38"/>
    </row>
    <row r="474" spans="3:17" s="39" customFormat="1" ht="15" x14ac:dyDescent="0.25">
      <c r="C474" s="38"/>
      <c r="D474" s="65"/>
      <c r="E474" s="65"/>
      <c r="F474" s="65"/>
      <c r="H474" s="40"/>
      <c r="I474" s="41"/>
      <c r="J474" s="41"/>
      <c r="K474" s="41"/>
      <c r="L474" s="41"/>
      <c r="M474" s="42"/>
      <c r="N474" s="42"/>
      <c r="O474" s="38"/>
      <c r="P474" s="38"/>
      <c r="Q474" s="38"/>
    </row>
    <row r="475" spans="3:17" s="39" customFormat="1" ht="15" x14ac:dyDescent="0.25">
      <c r="C475" s="38"/>
      <c r="D475" s="65"/>
      <c r="E475" s="65"/>
      <c r="F475" s="65"/>
      <c r="H475" s="40"/>
      <c r="I475" s="41"/>
      <c r="J475" s="41"/>
      <c r="K475" s="41"/>
      <c r="L475" s="41"/>
      <c r="M475" s="42"/>
      <c r="N475" s="42"/>
      <c r="O475" s="38"/>
      <c r="P475" s="38"/>
      <c r="Q475" s="38"/>
    </row>
    <row r="476" spans="3:17" s="39" customFormat="1" ht="15" x14ac:dyDescent="0.25">
      <c r="C476" s="38"/>
      <c r="D476" s="65"/>
      <c r="E476" s="65"/>
      <c r="F476" s="65"/>
      <c r="H476" s="40"/>
      <c r="I476" s="41"/>
      <c r="J476" s="41"/>
      <c r="K476" s="41"/>
      <c r="L476" s="41"/>
      <c r="M476" s="42"/>
      <c r="N476" s="42"/>
      <c r="O476" s="38"/>
      <c r="P476" s="38"/>
      <c r="Q476" s="38"/>
    </row>
    <row r="477" spans="3:17" s="39" customFormat="1" ht="15" x14ac:dyDescent="0.25">
      <c r="C477" s="38"/>
      <c r="D477" s="65"/>
      <c r="E477" s="65"/>
      <c r="F477" s="65"/>
      <c r="H477" s="40"/>
      <c r="I477" s="41"/>
      <c r="J477" s="41"/>
      <c r="K477" s="41"/>
      <c r="L477" s="41"/>
      <c r="M477" s="42"/>
      <c r="N477" s="42"/>
      <c r="O477" s="38"/>
      <c r="P477" s="38"/>
      <c r="Q477" s="38"/>
    </row>
    <row r="478" spans="3:17" s="39" customFormat="1" ht="15" x14ac:dyDescent="0.25">
      <c r="C478" s="38"/>
      <c r="D478" s="65"/>
      <c r="E478" s="65"/>
      <c r="F478" s="65"/>
      <c r="H478" s="40"/>
      <c r="I478" s="41"/>
      <c r="J478" s="41"/>
      <c r="K478" s="41"/>
      <c r="L478" s="41"/>
      <c r="M478" s="42"/>
      <c r="N478" s="42"/>
      <c r="O478" s="38"/>
      <c r="P478" s="38"/>
      <c r="Q478" s="38"/>
    </row>
    <row r="479" spans="3:17" s="39" customFormat="1" ht="15" x14ac:dyDescent="0.25">
      <c r="C479" s="38"/>
      <c r="D479" s="65"/>
      <c r="E479" s="65"/>
      <c r="F479" s="65"/>
      <c r="H479" s="40"/>
      <c r="I479" s="41"/>
      <c r="J479" s="41"/>
      <c r="K479" s="41"/>
      <c r="L479" s="41"/>
      <c r="M479" s="42"/>
      <c r="N479" s="42"/>
      <c r="O479" s="38"/>
      <c r="P479" s="38"/>
      <c r="Q479" s="38"/>
    </row>
    <row r="480" spans="3:17" s="39" customFormat="1" ht="15" x14ac:dyDescent="0.25">
      <c r="C480" s="38"/>
      <c r="D480" s="65"/>
      <c r="E480" s="65"/>
      <c r="F480" s="65"/>
      <c r="H480" s="40"/>
      <c r="I480" s="41"/>
      <c r="J480" s="41"/>
      <c r="K480" s="41"/>
      <c r="L480" s="41"/>
      <c r="M480" s="42"/>
      <c r="N480" s="42"/>
      <c r="O480" s="38"/>
      <c r="P480" s="38"/>
      <c r="Q480" s="38"/>
    </row>
    <row r="481" spans="3:17" s="39" customFormat="1" ht="15" x14ac:dyDescent="0.25">
      <c r="C481" s="38"/>
      <c r="D481" s="65"/>
      <c r="E481" s="65"/>
      <c r="F481" s="65"/>
      <c r="H481" s="40"/>
      <c r="I481" s="41"/>
      <c r="J481" s="41"/>
      <c r="K481" s="41"/>
      <c r="L481" s="41"/>
      <c r="M481" s="42"/>
      <c r="N481" s="42"/>
      <c r="O481" s="38"/>
      <c r="P481" s="38"/>
      <c r="Q481" s="38"/>
    </row>
    <row r="482" spans="3:17" s="39" customFormat="1" ht="15" x14ac:dyDescent="0.25">
      <c r="C482" s="38"/>
      <c r="D482" s="65"/>
      <c r="E482" s="65"/>
      <c r="F482" s="65"/>
      <c r="H482" s="40"/>
      <c r="I482" s="41"/>
      <c r="J482" s="41"/>
      <c r="K482" s="41"/>
      <c r="L482" s="41"/>
      <c r="M482" s="42"/>
      <c r="N482" s="42"/>
      <c r="O482" s="38"/>
      <c r="P482" s="38"/>
      <c r="Q482" s="38"/>
    </row>
    <row r="483" spans="3:17" s="39" customFormat="1" ht="15" x14ac:dyDescent="0.25">
      <c r="C483" s="38"/>
      <c r="D483" s="65"/>
      <c r="E483" s="65"/>
      <c r="F483" s="65"/>
      <c r="H483" s="40"/>
      <c r="I483" s="41"/>
      <c r="J483" s="41"/>
      <c r="K483" s="41"/>
      <c r="L483" s="41"/>
      <c r="M483" s="42"/>
      <c r="N483" s="42"/>
      <c r="O483" s="38"/>
      <c r="P483" s="38"/>
      <c r="Q483" s="38"/>
    </row>
    <row r="484" spans="3:17" s="39" customFormat="1" ht="15" x14ac:dyDescent="0.25">
      <c r="C484" s="38"/>
      <c r="D484" s="65"/>
      <c r="E484" s="65"/>
      <c r="F484" s="65"/>
      <c r="H484" s="40"/>
      <c r="I484" s="41"/>
      <c r="J484" s="41"/>
      <c r="K484" s="41"/>
      <c r="L484" s="41"/>
      <c r="M484" s="42"/>
      <c r="N484" s="42"/>
      <c r="O484" s="38"/>
      <c r="P484" s="38"/>
      <c r="Q484" s="38"/>
    </row>
    <row r="485" spans="3:17" s="39" customFormat="1" ht="15" x14ac:dyDescent="0.25">
      <c r="C485" s="38"/>
      <c r="D485" s="65"/>
      <c r="E485" s="65"/>
      <c r="F485" s="65"/>
      <c r="H485" s="40"/>
      <c r="I485" s="41"/>
      <c r="J485" s="41"/>
      <c r="K485" s="41"/>
      <c r="L485" s="41"/>
      <c r="M485" s="42"/>
      <c r="N485" s="42"/>
      <c r="O485" s="38"/>
      <c r="P485" s="38"/>
      <c r="Q485" s="38"/>
    </row>
    <row r="486" spans="3:17" s="39" customFormat="1" ht="15" x14ac:dyDescent="0.25">
      <c r="C486" s="38"/>
      <c r="D486" s="65"/>
      <c r="E486" s="65"/>
      <c r="F486" s="65"/>
      <c r="H486" s="40"/>
      <c r="I486" s="41"/>
      <c r="J486" s="41"/>
      <c r="K486" s="41"/>
      <c r="L486" s="41"/>
      <c r="M486" s="42"/>
      <c r="N486" s="42"/>
      <c r="O486" s="38"/>
      <c r="P486" s="38"/>
      <c r="Q486" s="38"/>
    </row>
    <row r="487" spans="3:17" s="39" customFormat="1" ht="15" x14ac:dyDescent="0.25">
      <c r="C487" s="38"/>
      <c r="D487" s="65"/>
      <c r="E487" s="65"/>
      <c r="F487" s="65"/>
      <c r="H487" s="40"/>
      <c r="I487" s="41"/>
      <c r="J487" s="41"/>
      <c r="K487" s="41"/>
      <c r="L487" s="41"/>
      <c r="M487" s="42"/>
      <c r="N487" s="42"/>
      <c r="O487" s="38"/>
      <c r="P487" s="38"/>
      <c r="Q487" s="38"/>
    </row>
    <row r="488" spans="3:17" s="39" customFormat="1" ht="15" x14ac:dyDescent="0.25">
      <c r="C488" s="38"/>
      <c r="D488" s="65"/>
      <c r="E488" s="65"/>
      <c r="F488" s="65"/>
      <c r="H488" s="40"/>
      <c r="I488" s="41"/>
      <c r="J488" s="41"/>
      <c r="K488" s="41"/>
      <c r="L488" s="41"/>
      <c r="M488" s="42"/>
      <c r="N488" s="42"/>
      <c r="O488" s="38"/>
      <c r="P488" s="38"/>
      <c r="Q488" s="38"/>
    </row>
    <row r="489" spans="3:17" s="39" customFormat="1" ht="15" x14ac:dyDescent="0.25">
      <c r="C489" s="38"/>
      <c r="D489" s="65"/>
      <c r="E489" s="65"/>
      <c r="F489" s="65"/>
      <c r="H489" s="40"/>
      <c r="I489" s="41"/>
      <c r="J489" s="41"/>
      <c r="K489" s="41"/>
      <c r="L489" s="41"/>
      <c r="M489" s="42"/>
      <c r="N489" s="42"/>
      <c r="O489" s="38"/>
      <c r="P489" s="38"/>
      <c r="Q489" s="38"/>
    </row>
    <row r="490" spans="3:17" s="39" customFormat="1" ht="15" x14ac:dyDescent="0.25">
      <c r="C490" s="38"/>
      <c r="D490" s="65"/>
      <c r="E490" s="65"/>
      <c r="F490" s="65"/>
      <c r="H490" s="40"/>
      <c r="I490" s="41"/>
      <c r="J490" s="41"/>
      <c r="K490" s="41"/>
      <c r="L490" s="41"/>
      <c r="M490" s="42"/>
      <c r="N490" s="42"/>
      <c r="O490" s="38"/>
      <c r="P490" s="38"/>
      <c r="Q490" s="38"/>
    </row>
    <row r="491" spans="3:17" s="39" customFormat="1" ht="15" x14ac:dyDescent="0.25">
      <c r="C491" s="38"/>
      <c r="D491" s="65"/>
      <c r="E491" s="65"/>
      <c r="F491" s="65"/>
      <c r="H491" s="40"/>
      <c r="I491" s="41"/>
      <c r="J491" s="41"/>
      <c r="K491" s="41"/>
      <c r="L491" s="41"/>
      <c r="M491" s="42"/>
      <c r="N491" s="42"/>
      <c r="O491" s="38"/>
      <c r="P491" s="38"/>
      <c r="Q491" s="38"/>
    </row>
    <row r="492" spans="3:17" s="39" customFormat="1" ht="15" x14ac:dyDescent="0.25">
      <c r="C492" s="38"/>
      <c r="D492" s="65"/>
      <c r="E492" s="65"/>
      <c r="F492" s="65"/>
      <c r="H492" s="40"/>
      <c r="I492" s="41"/>
      <c r="J492" s="41"/>
      <c r="K492" s="41"/>
      <c r="L492" s="41"/>
      <c r="M492" s="42"/>
      <c r="N492" s="42"/>
      <c r="O492" s="38"/>
      <c r="P492" s="38"/>
      <c r="Q492" s="38"/>
    </row>
    <row r="493" spans="3:17" s="39" customFormat="1" ht="15" x14ac:dyDescent="0.25">
      <c r="C493" s="38"/>
      <c r="D493" s="65"/>
      <c r="E493" s="65"/>
      <c r="F493" s="65"/>
      <c r="H493" s="40"/>
      <c r="I493" s="41"/>
      <c r="J493" s="41"/>
      <c r="K493" s="41"/>
      <c r="L493" s="41"/>
      <c r="M493" s="42"/>
      <c r="N493" s="42"/>
      <c r="O493" s="38"/>
      <c r="P493" s="38"/>
      <c r="Q493" s="38"/>
    </row>
    <row r="494" spans="3:17" s="39" customFormat="1" ht="15" x14ac:dyDescent="0.25">
      <c r="C494" s="38"/>
      <c r="D494" s="65"/>
      <c r="E494" s="65"/>
      <c r="F494" s="65"/>
      <c r="H494" s="40"/>
      <c r="I494" s="41"/>
      <c r="J494" s="41"/>
      <c r="K494" s="41"/>
      <c r="L494" s="41"/>
      <c r="M494" s="42"/>
      <c r="N494" s="42"/>
      <c r="O494" s="38"/>
      <c r="P494" s="38"/>
      <c r="Q494" s="38"/>
    </row>
    <row r="495" spans="3:17" s="39" customFormat="1" ht="15" x14ac:dyDescent="0.25">
      <c r="C495" s="38"/>
      <c r="D495" s="65"/>
      <c r="E495" s="65"/>
      <c r="F495" s="65"/>
      <c r="H495" s="40"/>
      <c r="I495" s="41"/>
      <c r="J495" s="41"/>
      <c r="K495" s="41"/>
      <c r="L495" s="41"/>
      <c r="M495" s="42"/>
      <c r="N495" s="42"/>
      <c r="O495" s="38"/>
      <c r="P495" s="38"/>
      <c r="Q495" s="38"/>
    </row>
    <row r="496" spans="3:17" s="39" customFormat="1" ht="15" x14ac:dyDescent="0.25">
      <c r="C496" s="38"/>
      <c r="D496" s="65"/>
      <c r="E496" s="65"/>
      <c r="F496" s="65"/>
      <c r="H496" s="40"/>
      <c r="I496" s="41"/>
      <c r="J496" s="41"/>
      <c r="K496" s="41"/>
      <c r="L496" s="41"/>
      <c r="M496" s="42"/>
      <c r="N496" s="42"/>
      <c r="O496" s="38"/>
      <c r="P496" s="38"/>
      <c r="Q496" s="38"/>
    </row>
    <row r="497" spans="3:17" s="39" customFormat="1" ht="15" x14ac:dyDescent="0.25">
      <c r="C497" s="38"/>
      <c r="D497" s="65"/>
      <c r="E497" s="65"/>
      <c r="F497" s="65"/>
      <c r="H497" s="40"/>
      <c r="I497" s="41"/>
      <c r="J497" s="41"/>
      <c r="K497" s="41"/>
      <c r="L497" s="41"/>
      <c r="M497" s="42"/>
      <c r="N497" s="42"/>
      <c r="O497" s="38"/>
      <c r="P497" s="38"/>
      <c r="Q497" s="38"/>
    </row>
    <row r="498" spans="3:17" s="39" customFormat="1" ht="15" x14ac:dyDescent="0.25">
      <c r="C498" s="38"/>
      <c r="D498" s="65"/>
      <c r="E498" s="65"/>
      <c r="F498" s="65"/>
      <c r="H498" s="40"/>
      <c r="I498" s="41"/>
      <c r="J498" s="41"/>
      <c r="K498" s="41"/>
      <c r="L498" s="41"/>
      <c r="M498" s="42"/>
      <c r="N498" s="42"/>
      <c r="O498" s="38"/>
      <c r="P498" s="38"/>
      <c r="Q498" s="38"/>
    </row>
    <row r="499" spans="3:17" s="39" customFormat="1" ht="15" x14ac:dyDescent="0.25">
      <c r="C499" s="38"/>
      <c r="D499" s="65"/>
      <c r="E499" s="65"/>
      <c r="F499" s="65"/>
      <c r="H499" s="40"/>
      <c r="I499" s="41"/>
      <c r="J499" s="41"/>
      <c r="K499" s="41"/>
      <c r="L499" s="41"/>
      <c r="M499" s="42"/>
      <c r="N499" s="42"/>
      <c r="O499" s="38"/>
      <c r="P499" s="38"/>
      <c r="Q499" s="38"/>
    </row>
    <row r="500" spans="3:17" s="39" customFormat="1" ht="15" x14ac:dyDescent="0.25">
      <c r="C500" s="38"/>
      <c r="D500" s="65"/>
      <c r="E500" s="65"/>
      <c r="F500" s="65"/>
      <c r="H500" s="40"/>
      <c r="I500" s="41"/>
      <c r="J500" s="41"/>
      <c r="K500" s="41"/>
      <c r="L500" s="41"/>
      <c r="M500" s="42"/>
      <c r="N500" s="42"/>
      <c r="O500" s="38"/>
      <c r="P500" s="38"/>
      <c r="Q500" s="38"/>
    </row>
    <row r="501" spans="3:17" s="39" customFormat="1" ht="15" x14ac:dyDescent="0.25">
      <c r="C501" s="38"/>
      <c r="D501" s="65"/>
      <c r="E501" s="65"/>
      <c r="F501" s="65"/>
      <c r="H501" s="40"/>
      <c r="I501" s="41"/>
      <c r="J501" s="41"/>
      <c r="K501" s="41"/>
      <c r="L501" s="41"/>
      <c r="M501" s="42"/>
      <c r="N501" s="42"/>
      <c r="O501" s="38"/>
      <c r="P501" s="38"/>
      <c r="Q501" s="38"/>
    </row>
    <row r="502" spans="3:17" s="39" customFormat="1" ht="15" x14ac:dyDescent="0.25">
      <c r="C502" s="38"/>
      <c r="D502" s="65"/>
      <c r="E502" s="65"/>
      <c r="F502" s="65"/>
      <c r="H502" s="40"/>
      <c r="I502" s="41"/>
      <c r="J502" s="41"/>
      <c r="K502" s="41"/>
      <c r="L502" s="41"/>
      <c r="M502" s="42"/>
      <c r="N502" s="42"/>
      <c r="O502" s="38"/>
      <c r="P502" s="38"/>
      <c r="Q502" s="38"/>
    </row>
    <row r="503" spans="3:17" s="39" customFormat="1" ht="15" x14ac:dyDescent="0.25">
      <c r="C503" s="38"/>
      <c r="D503" s="65"/>
      <c r="E503" s="65"/>
      <c r="F503" s="65"/>
      <c r="H503" s="40"/>
      <c r="I503" s="41"/>
      <c r="J503" s="41"/>
      <c r="K503" s="41"/>
      <c r="L503" s="41"/>
      <c r="M503" s="42"/>
      <c r="N503" s="42"/>
      <c r="O503" s="38"/>
      <c r="P503" s="38"/>
      <c r="Q503" s="38"/>
    </row>
    <row r="504" spans="3:17" s="39" customFormat="1" ht="15" x14ac:dyDescent="0.25">
      <c r="C504" s="38"/>
      <c r="D504" s="65"/>
      <c r="E504" s="65"/>
      <c r="F504" s="65"/>
      <c r="H504" s="40"/>
      <c r="I504" s="41"/>
      <c r="J504" s="41"/>
      <c r="K504" s="41"/>
      <c r="L504" s="41"/>
      <c r="M504" s="42"/>
      <c r="N504" s="42"/>
      <c r="O504" s="38"/>
      <c r="P504" s="38"/>
      <c r="Q504" s="38"/>
    </row>
    <row r="505" spans="3:17" s="39" customFormat="1" ht="15" x14ac:dyDescent="0.25">
      <c r="C505" s="38"/>
      <c r="D505" s="65"/>
      <c r="E505" s="65"/>
      <c r="F505" s="65"/>
      <c r="H505" s="40"/>
      <c r="I505" s="41"/>
      <c r="J505" s="41"/>
      <c r="K505" s="41"/>
      <c r="L505" s="41"/>
      <c r="M505" s="42"/>
      <c r="N505" s="42"/>
      <c r="O505" s="38"/>
      <c r="P505" s="38"/>
      <c r="Q505" s="38"/>
    </row>
    <row r="506" spans="3:17" s="39" customFormat="1" ht="15" x14ac:dyDescent="0.25">
      <c r="C506" s="38"/>
      <c r="D506" s="65"/>
      <c r="E506" s="65"/>
      <c r="F506" s="65"/>
      <c r="H506" s="40"/>
      <c r="I506" s="41"/>
      <c r="J506" s="41"/>
      <c r="K506" s="41"/>
      <c r="L506" s="41"/>
      <c r="M506" s="42"/>
      <c r="N506" s="42"/>
      <c r="O506" s="38"/>
      <c r="P506" s="38"/>
      <c r="Q506" s="38"/>
    </row>
    <row r="507" spans="3:17" s="39" customFormat="1" ht="15" x14ac:dyDescent="0.25">
      <c r="C507" s="38"/>
      <c r="D507" s="65"/>
      <c r="E507" s="65"/>
      <c r="F507" s="65"/>
      <c r="H507" s="40"/>
      <c r="I507" s="41"/>
      <c r="J507" s="41"/>
      <c r="K507" s="41"/>
      <c r="L507" s="41"/>
      <c r="M507" s="42"/>
      <c r="N507" s="42"/>
      <c r="O507" s="38"/>
      <c r="P507" s="38"/>
      <c r="Q507" s="38"/>
    </row>
    <row r="508" spans="3:17" s="39" customFormat="1" ht="15" x14ac:dyDescent="0.25">
      <c r="C508" s="38"/>
      <c r="D508" s="65"/>
      <c r="E508" s="65"/>
      <c r="F508" s="65"/>
      <c r="H508" s="40"/>
      <c r="I508" s="41"/>
      <c r="J508" s="41"/>
      <c r="K508" s="41"/>
      <c r="L508" s="41"/>
      <c r="M508" s="42"/>
      <c r="N508" s="42"/>
      <c r="O508" s="38"/>
      <c r="P508" s="38"/>
      <c r="Q508" s="38"/>
    </row>
    <row r="509" spans="3:17" s="39" customFormat="1" ht="15" x14ac:dyDescent="0.25">
      <c r="C509" s="38"/>
      <c r="D509" s="65"/>
      <c r="E509" s="65"/>
      <c r="F509" s="65"/>
      <c r="H509" s="40"/>
      <c r="I509" s="41"/>
      <c r="J509" s="41"/>
      <c r="K509" s="41"/>
      <c r="L509" s="41"/>
      <c r="M509" s="42"/>
      <c r="N509" s="42"/>
      <c r="O509" s="38"/>
      <c r="P509" s="38"/>
      <c r="Q509" s="38"/>
    </row>
    <row r="510" spans="3:17" s="39" customFormat="1" ht="15" x14ac:dyDescent="0.25">
      <c r="C510" s="38"/>
      <c r="D510" s="65"/>
      <c r="E510" s="65"/>
      <c r="F510" s="65"/>
      <c r="H510" s="40"/>
      <c r="I510" s="41"/>
      <c r="J510" s="41"/>
      <c r="K510" s="41"/>
      <c r="L510" s="41"/>
      <c r="M510" s="42"/>
      <c r="N510" s="42"/>
      <c r="O510" s="38"/>
      <c r="P510" s="38"/>
      <c r="Q510" s="38"/>
    </row>
    <row r="511" spans="3:17" s="39" customFormat="1" ht="15" x14ac:dyDescent="0.25">
      <c r="C511" s="38"/>
      <c r="D511" s="65"/>
      <c r="E511" s="65"/>
      <c r="F511" s="65"/>
      <c r="H511" s="40"/>
      <c r="I511" s="41"/>
      <c r="J511" s="41"/>
      <c r="K511" s="41"/>
      <c r="L511" s="41"/>
      <c r="M511" s="42"/>
      <c r="N511" s="42"/>
      <c r="O511" s="38"/>
      <c r="P511" s="38"/>
      <c r="Q511" s="38"/>
    </row>
    <row r="512" spans="3:17" s="39" customFormat="1" ht="15" x14ac:dyDescent="0.25">
      <c r="C512" s="38"/>
      <c r="D512" s="65"/>
      <c r="E512" s="65"/>
      <c r="F512" s="65"/>
      <c r="H512" s="40"/>
      <c r="I512" s="41"/>
      <c r="J512" s="41"/>
      <c r="K512" s="41"/>
      <c r="L512" s="41"/>
      <c r="M512" s="42"/>
      <c r="N512" s="42"/>
      <c r="O512" s="38"/>
      <c r="P512" s="38"/>
      <c r="Q512" s="38"/>
    </row>
    <row r="513" spans="3:17" s="39" customFormat="1" ht="15" x14ac:dyDescent="0.25">
      <c r="C513" s="38"/>
      <c r="D513" s="65"/>
      <c r="E513" s="65"/>
      <c r="F513" s="65"/>
      <c r="H513" s="40"/>
      <c r="I513" s="41"/>
      <c r="J513" s="41"/>
      <c r="K513" s="41"/>
      <c r="L513" s="41"/>
      <c r="M513" s="42"/>
      <c r="N513" s="42"/>
      <c r="O513" s="38"/>
      <c r="P513" s="38"/>
      <c r="Q513" s="38"/>
    </row>
    <row r="514" spans="3:17" s="39" customFormat="1" ht="15" x14ac:dyDescent="0.25">
      <c r="C514" s="38"/>
      <c r="D514" s="65"/>
      <c r="E514" s="65"/>
      <c r="F514" s="65"/>
      <c r="H514" s="40"/>
      <c r="I514" s="41"/>
      <c r="J514" s="41"/>
      <c r="K514" s="41"/>
      <c r="L514" s="41"/>
      <c r="M514" s="42"/>
      <c r="N514" s="42"/>
      <c r="O514" s="38"/>
      <c r="P514" s="38"/>
      <c r="Q514" s="38"/>
    </row>
    <row r="515" spans="3:17" s="39" customFormat="1" ht="15" x14ac:dyDescent="0.25">
      <c r="C515" s="38"/>
      <c r="D515" s="65"/>
      <c r="E515" s="65"/>
      <c r="F515" s="65"/>
      <c r="H515" s="40"/>
      <c r="I515" s="41"/>
      <c r="J515" s="41"/>
      <c r="K515" s="41"/>
      <c r="L515" s="41"/>
      <c r="M515" s="42"/>
      <c r="N515" s="42"/>
      <c r="O515" s="38"/>
      <c r="P515" s="38"/>
      <c r="Q515" s="38"/>
    </row>
    <row r="516" spans="3:17" s="39" customFormat="1" ht="15" x14ac:dyDescent="0.25">
      <c r="C516" s="38"/>
      <c r="D516" s="65"/>
      <c r="E516" s="65"/>
      <c r="F516" s="65"/>
      <c r="H516" s="40"/>
      <c r="I516" s="41"/>
      <c r="J516" s="41"/>
      <c r="K516" s="41"/>
      <c r="L516" s="41"/>
      <c r="M516" s="42"/>
      <c r="N516" s="42"/>
      <c r="O516" s="38"/>
      <c r="P516" s="38"/>
      <c r="Q516" s="38"/>
    </row>
    <row r="517" spans="3:17" s="39" customFormat="1" ht="15" x14ac:dyDescent="0.25">
      <c r="C517" s="38"/>
      <c r="D517" s="65"/>
      <c r="E517" s="65"/>
      <c r="F517" s="65"/>
      <c r="H517" s="40"/>
      <c r="I517" s="41"/>
      <c r="J517" s="41"/>
      <c r="K517" s="41"/>
      <c r="L517" s="41"/>
      <c r="M517" s="42"/>
      <c r="N517" s="42"/>
      <c r="O517" s="38"/>
      <c r="P517" s="38"/>
      <c r="Q517" s="38"/>
    </row>
    <row r="518" spans="3:17" s="39" customFormat="1" ht="15" x14ac:dyDescent="0.25">
      <c r="C518" s="38"/>
      <c r="D518" s="65"/>
      <c r="E518" s="65"/>
      <c r="F518" s="65"/>
      <c r="H518" s="40"/>
      <c r="I518" s="41"/>
      <c r="J518" s="41"/>
      <c r="K518" s="41"/>
      <c r="L518" s="41"/>
      <c r="M518" s="42"/>
      <c r="N518" s="42"/>
      <c r="O518" s="38"/>
      <c r="P518" s="38"/>
      <c r="Q518" s="38"/>
    </row>
    <row r="519" spans="3:17" s="39" customFormat="1" ht="15" x14ac:dyDescent="0.25">
      <c r="C519" s="38"/>
      <c r="D519" s="65"/>
      <c r="E519" s="65"/>
      <c r="F519" s="65"/>
      <c r="H519" s="40"/>
      <c r="I519" s="41"/>
      <c r="J519" s="41"/>
      <c r="K519" s="41"/>
      <c r="L519" s="41"/>
      <c r="M519" s="42"/>
      <c r="N519" s="42"/>
      <c r="O519" s="38"/>
      <c r="P519" s="38"/>
      <c r="Q519" s="38"/>
    </row>
    <row r="520" spans="3:17" s="39" customFormat="1" ht="15" x14ac:dyDescent="0.25">
      <c r="C520" s="38"/>
      <c r="D520" s="65"/>
      <c r="E520" s="65"/>
      <c r="F520" s="65"/>
      <c r="H520" s="40"/>
      <c r="I520" s="41"/>
      <c r="J520" s="41"/>
      <c r="K520" s="41"/>
      <c r="L520" s="41"/>
      <c r="M520" s="42"/>
      <c r="N520" s="42"/>
      <c r="O520" s="38"/>
      <c r="P520" s="38"/>
      <c r="Q520" s="38"/>
    </row>
    <row r="521" spans="3:17" s="39" customFormat="1" ht="15" x14ac:dyDescent="0.25">
      <c r="C521" s="38"/>
      <c r="D521" s="65"/>
      <c r="E521" s="65"/>
      <c r="F521" s="65"/>
      <c r="H521" s="40"/>
      <c r="I521" s="41"/>
      <c r="J521" s="41"/>
      <c r="K521" s="41"/>
      <c r="L521" s="41"/>
      <c r="M521" s="42"/>
      <c r="N521" s="42"/>
      <c r="O521" s="38"/>
      <c r="P521" s="38"/>
      <c r="Q521" s="38"/>
    </row>
    <row r="522" spans="3:17" s="39" customFormat="1" ht="15" x14ac:dyDescent="0.25">
      <c r="C522" s="38"/>
      <c r="D522" s="65"/>
      <c r="E522" s="65"/>
      <c r="F522" s="65"/>
      <c r="H522" s="40"/>
      <c r="I522" s="41"/>
      <c r="J522" s="41"/>
      <c r="K522" s="41"/>
      <c r="L522" s="41"/>
      <c r="M522" s="42"/>
      <c r="N522" s="42"/>
      <c r="O522" s="38"/>
      <c r="P522" s="38"/>
      <c r="Q522" s="38"/>
    </row>
    <row r="523" spans="3:17" s="39" customFormat="1" ht="15" x14ac:dyDescent="0.25">
      <c r="C523" s="38"/>
      <c r="D523" s="65"/>
      <c r="E523" s="65"/>
      <c r="F523" s="65"/>
      <c r="H523" s="40"/>
      <c r="I523" s="41"/>
      <c r="J523" s="41"/>
      <c r="K523" s="41"/>
      <c r="L523" s="41"/>
      <c r="M523" s="42"/>
      <c r="N523" s="42"/>
      <c r="O523" s="38"/>
      <c r="P523" s="38"/>
      <c r="Q523" s="38"/>
    </row>
    <row r="524" spans="3:17" s="39" customFormat="1" ht="15" x14ac:dyDescent="0.25">
      <c r="C524" s="38"/>
      <c r="D524" s="65"/>
      <c r="E524" s="65"/>
      <c r="F524" s="65"/>
      <c r="H524" s="40"/>
      <c r="I524" s="41"/>
      <c r="J524" s="41"/>
      <c r="K524" s="41"/>
      <c r="L524" s="41"/>
      <c r="M524" s="42"/>
      <c r="N524" s="42"/>
      <c r="O524" s="38"/>
      <c r="P524" s="38"/>
      <c r="Q524" s="38"/>
    </row>
    <row r="525" spans="3:17" s="39" customFormat="1" ht="15" x14ac:dyDescent="0.25">
      <c r="C525" s="38"/>
      <c r="D525" s="65"/>
      <c r="E525" s="65"/>
      <c r="F525" s="65"/>
      <c r="H525" s="40"/>
      <c r="I525" s="41"/>
      <c r="J525" s="41"/>
      <c r="K525" s="41"/>
      <c r="L525" s="41"/>
      <c r="M525" s="42"/>
      <c r="N525" s="42"/>
      <c r="O525" s="38"/>
      <c r="P525" s="38"/>
      <c r="Q525" s="38"/>
    </row>
    <row r="526" spans="3:17" s="39" customFormat="1" ht="15" x14ac:dyDescent="0.25">
      <c r="C526" s="38"/>
      <c r="D526" s="65"/>
      <c r="E526" s="65"/>
      <c r="F526" s="65"/>
      <c r="H526" s="40"/>
      <c r="I526" s="41"/>
      <c r="J526" s="41"/>
      <c r="K526" s="41"/>
      <c r="L526" s="41"/>
      <c r="M526" s="42"/>
      <c r="N526" s="42"/>
      <c r="O526" s="38"/>
      <c r="P526" s="38"/>
      <c r="Q526" s="38"/>
    </row>
    <row r="527" spans="3:17" s="39" customFormat="1" ht="15" x14ac:dyDescent="0.25">
      <c r="C527" s="38"/>
      <c r="D527" s="65"/>
      <c r="E527" s="65"/>
      <c r="F527" s="65"/>
      <c r="H527" s="40"/>
      <c r="I527" s="41"/>
      <c r="J527" s="41"/>
      <c r="K527" s="41"/>
      <c r="L527" s="41"/>
      <c r="M527" s="42"/>
      <c r="N527" s="42"/>
      <c r="O527" s="38"/>
      <c r="P527" s="38"/>
      <c r="Q527" s="38"/>
    </row>
  </sheetData>
  <pageMargins left="0.7" right="0.7" top="0.75" bottom="0.75" header="0.3" footer="0.3"/>
  <pageSetup paperSize="9" scale="1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S84"/>
  <sheetViews>
    <sheetView showGridLines="0" showRowColHeaders="0" view="pageBreakPreview" zoomScale="80" zoomScaleNormal="97" zoomScaleSheetLayoutView="80" workbookViewId="0">
      <pane xSplit="17" ySplit="4" topLeftCell="R54" activePane="bottomRight" state="frozen"/>
      <selection pane="topRight" activeCell="R1" sqref="R1"/>
      <selection pane="bottomLeft" activeCell="A5" sqref="A5"/>
      <selection pane="bottomRight" activeCell="M21" sqref="M21"/>
    </sheetView>
  </sheetViews>
  <sheetFormatPr baseColWidth="10" defaultColWidth="10.5" defaultRowHeight="15.75" x14ac:dyDescent="0.25"/>
  <cols>
    <col min="1" max="1" width="1.125" style="68" customWidth="1"/>
    <col min="2" max="2" width="1.25" style="68" customWidth="1"/>
    <col min="3" max="3" width="40" style="68" customWidth="1"/>
    <col min="4" max="4" width="10" style="68" customWidth="1"/>
    <col min="5" max="5" width="11.25" style="68" customWidth="1"/>
    <col min="6" max="6" width="10.875" style="68" customWidth="1"/>
    <col min="7" max="7" width="11.125" style="69" customWidth="1"/>
    <col min="8" max="8" width="9.25" style="68" bestFit="1" customWidth="1"/>
    <col min="9" max="9" width="10.25" style="68" customWidth="1"/>
    <col min="10" max="10" width="10.625" style="68" customWidth="1"/>
    <col min="11" max="11" width="10.25" style="68" customWidth="1"/>
    <col min="12" max="12" width="9.875" style="68" customWidth="1"/>
    <col min="13" max="16" width="9.5" style="68" customWidth="1"/>
    <col min="17" max="17" width="10.875" style="68" bestFit="1" customWidth="1"/>
    <col min="18" max="18" width="4.25" style="68" customWidth="1"/>
    <col min="19" max="19" width="6.75" style="68" customWidth="1"/>
    <col min="20" max="16384" width="10.5" style="68"/>
  </cols>
  <sheetData>
    <row r="1" spans="3:19" ht="7.15" customHeight="1" x14ac:dyDescent="0.25"/>
    <row r="2" spans="3:19" ht="16.5" thickBot="1" x14ac:dyDescent="0.3">
      <c r="D2" s="134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</row>
    <row r="3" spans="3:19" ht="14.25" customHeight="1" thickTop="1" thickBot="1" x14ac:dyDescent="0.3">
      <c r="C3" s="70"/>
      <c r="E3" s="369" t="s">
        <v>133</v>
      </c>
      <c r="F3" s="370"/>
      <c r="G3" s="370"/>
      <c r="H3" s="370"/>
      <c r="I3" s="370"/>
      <c r="J3" s="370"/>
      <c r="K3" s="370"/>
      <c r="L3" s="370"/>
      <c r="M3" s="370"/>
      <c r="N3" s="274"/>
      <c r="O3" s="274"/>
      <c r="P3" s="274"/>
      <c r="Q3" s="371" t="s">
        <v>15</v>
      </c>
    </row>
    <row r="4" spans="3:19" ht="16.5" customHeight="1" thickTop="1" thickBot="1" x14ac:dyDescent="0.3">
      <c r="C4" s="123" t="s">
        <v>47</v>
      </c>
      <c r="D4" s="124" t="s">
        <v>56</v>
      </c>
      <c r="E4" s="129">
        <v>45961</v>
      </c>
      <c r="F4" s="129">
        <v>45991</v>
      </c>
      <c r="G4" s="129">
        <v>46022</v>
      </c>
      <c r="H4" s="129">
        <v>46053</v>
      </c>
      <c r="I4" s="129">
        <v>46081</v>
      </c>
      <c r="J4" s="129">
        <v>46112</v>
      </c>
      <c r="K4" s="129">
        <v>46142</v>
      </c>
      <c r="L4" s="129">
        <v>46173</v>
      </c>
      <c r="M4" s="129">
        <v>46203</v>
      </c>
      <c r="N4" s="129">
        <v>46234</v>
      </c>
      <c r="O4" s="129">
        <v>46265</v>
      </c>
      <c r="P4" s="129">
        <v>46295</v>
      </c>
      <c r="Q4" s="372"/>
    </row>
    <row r="5" spans="3:19" ht="16.5" thickTop="1" x14ac:dyDescent="0.25">
      <c r="C5" s="103" t="s">
        <v>139</v>
      </c>
      <c r="D5" s="104">
        <f>+COUNTA(GARDERIE!H9:H48)</f>
        <v>0</v>
      </c>
      <c r="E5" s="105">
        <f>+GARDERIE!I8</f>
        <v>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313">
        <f>+SUM(E5:P5)</f>
        <v>0</v>
      </c>
      <c r="R5" s="352">
        <f>+Q5+Q17</f>
        <v>0</v>
      </c>
      <c r="S5" s="352" t="s">
        <v>161</v>
      </c>
    </row>
    <row r="6" spans="3:19" x14ac:dyDescent="0.25">
      <c r="C6" s="103" t="s">
        <v>140</v>
      </c>
      <c r="D6" s="104">
        <f>+COUNTA(PS!H9:H48)</f>
        <v>0</v>
      </c>
      <c r="E6" s="107">
        <f>+PS!I8</f>
        <v>0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314">
        <f t="shared" ref="Q6:Q8" si="0">+SUM(E6:P6)</f>
        <v>0</v>
      </c>
      <c r="R6" s="352">
        <f t="shared" ref="R6:R13" si="1">+Q6+Q18</f>
        <v>0</v>
      </c>
      <c r="S6" s="352" t="s">
        <v>162</v>
      </c>
    </row>
    <row r="7" spans="3:19" x14ac:dyDescent="0.25">
      <c r="C7" s="103" t="s">
        <v>141</v>
      </c>
      <c r="D7" s="104">
        <f>+COUNTA(MS!H9:H48)</f>
        <v>0</v>
      </c>
      <c r="E7" s="107">
        <f>+MS!I8</f>
        <v>0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314">
        <f t="shared" si="0"/>
        <v>0</v>
      </c>
      <c r="R7" s="352">
        <f t="shared" si="1"/>
        <v>0</v>
      </c>
      <c r="S7" s="352" t="s">
        <v>7</v>
      </c>
    </row>
    <row r="8" spans="3:19" x14ac:dyDescent="0.25">
      <c r="C8" s="103" t="s">
        <v>142</v>
      </c>
      <c r="D8" s="104">
        <f>+COUNTA(GS!H9:H48)</f>
        <v>0</v>
      </c>
      <c r="E8" s="107">
        <f>+GS!I8</f>
        <v>0</v>
      </c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314">
        <f t="shared" si="0"/>
        <v>0</v>
      </c>
      <c r="R8" s="352">
        <f t="shared" si="1"/>
        <v>0</v>
      </c>
      <c r="S8" s="352" t="s">
        <v>55</v>
      </c>
    </row>
    <row r="9" spans="3:19" x14ac:dyDescent="0.25">
      <c r="C9" s="103" t="s">
        <v>57</v>
      </c>
      <c r="D9" s="104">
        <f>+COUNTA(CI!H9:H48)</f>
        <v>0</v>
      </c>
      <c r="E9" s="107">
        <f>+CI!I8</f>
        <v>0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314">
        <f t="shared" ref="Q9:Q14" si="2">+SUM(E9:P9)</f>
        <v>0</v>
      </c>
      <c r="R9" s="352">
        <f t="shared" si="1"/>
        <v>0</v>
      </c>
      <c r="S9" s="352" t="s">
        <v>155</v>
      </c>
    </row>
    <row r="10" spans="3:19" x14ac:dyDescent="0.25">
      <c r="C10" s="103" t="s">
        <v>58</v>
      </c>
      <c r="D10" s="104">
        <f>+COUNTA(CP!H9:H48)</f>
        <v>0</v>
      </c>
      <c r="E10" s="107">
        <f>+CP!I8</f>
        <v>0</v>
      </c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314">
        <f t="shared" si="2"/>
        <v>0</v>
      </c>
      <c r="R10" s="352">
        <f t="shared" si="1"/>
        <v>0</v>
      </c>
      <c r="S10" s="352" t="s">
        <v>156</v>
      </c>
    </row>
    <row r="11" spans="3:19" x14ac:dyDescent="0.25">
      <c r="C11" s="103" t="s">
        <v>59</v>
      </c>
      <c r="D11" s="104">
        <f>+COUNTA('CE1'!H9:H48)</f>
        <v>0</v>
      </c>
      <c r="E11" s="107">
        <f>+'CE1'!I8</f>
        <v>0</v>
      </c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314">
        <f t="shared" si="2"/>
        <v>0</v>
      </c>
      <c r="R11" s="352">
        <f t="shared" si="1"/>
        <v>0</v>
      </c>
      <c r="S11" s="352" t="s">
        <v>157</v>
      </c>
    </row>
    <row r="12" spans="3:19" x14ac:dyDescent="0.25">
      <c r="C12" s="103" t="s">
        <v>60</v>
      </c>
      <c r="D12" s="104">
        <f>+COUNTA('CE2'!H9:H48)</f>
        <v>0</v>
      </c>
      <c r="E12" s="107">
        <f>+'CE2'!I8</f>
        <v>0</v>
      </c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314">
        <f t="shared" si="2"/>
        <v>0</v>
      </c>
      <c r="R12" s="352">
        <f t="shared" si="1"/>
        <v>0</v>
      </c>
      <c r="S12" s="352" t="s">
        <v>158</v>
      </c>
    </row>
    <row r="13" spans="3:19" x14ac:dyDescent="0.25">
      <c r="C13" s="103" t="s">
        <v>61</v>
      </c>
      <c r="D13" s="104">
        <f>+COUNTA('CM1'!H9:H48)</f>
        <v>0</v>
      </c>
      <c r="E13" s="107">
        <f>+'CM1'!I8</f>
        <v>0</v>
      </c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314">
        <f t="shared" si="2"/>
        <v>0</v>
      </c>
      <c r="R13" s="352">
        <f t="shared" si="1"/>
        <v>0</v>
      </c>
      <c r="S13" s="352" t="s">
        <v>159</v>
      </c>
    </row>
    <row r="14" spans="3:19" x14ac:dyDescent="0.25">
      <c r="C14" s="103" t="s">
        <v>62</v>
      </c>
      <c r="D14" s="104">
        <f>+COUNTA('CM2'!H9:H48)</f>
        <v>0</v>
      </c>
      <c r="E14" s="107">
        <f>+'CM2'!I8</f>
        <v>0</v>
      </c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314">
        <f t="shared" si="2"/>
        <v>0</v>
      </c>
      <c r="R14" s="352">
        <f>+Q14+Q26</f>
        <v>0</v>
      </c>
      <c r="S14" s="352" t="s">
        <v>160</v>
      </c>
    </row>
    <row r="15" spans="3:19" ht="7.15" customHeight="1" x14ac:dyDescent="0.25">
      <c r="C15" s="103"/>
      <c r="D15" s="104"/>
      <c r="E15" s="311"/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4"/>
    </row>
    <row r="16" spans="3:19" x14ac:dyDescent="0.25">
      <c r="C16" s="109" t="s">
        <v>48</v>
      </c>
      <c r="D16" s="315">
        <f>+SUM(D5:D15)</f>
        <v>0</v>
      </c>
      <c r="E16" s="111">
        <f>+SUM(E5:E15)</f>
        <v>0</v>
      </c>
      <c r="F16" s="111">
        <f>+SUM(F5:F15)</f>
        <v>0</v>
      </c>
      <c r="G16" s="111">
        <f>+SUM(G5:G15)</f>
        <v>0</v>
      </c>
      <c r="H16" s="111">
        <f t="shared" ref="H16:P16" si="3">+SUM(H5:H15)</f>
        <v>0</v>
      </c>
      <c r="I16" s="111">
        <f t="shared" si="3"/>
        <v>0</v>
      </c>
      <c r="J16" s="111">
        <f t="shared" si="3"/>
        <v>0</v>
      </c>
      <c r="K16" s="111">
        <f t="shared" si="3"/>
        <v>0</v>
      </c>
      <c r="L16" s="111">
        <f t="shared" si="3"/>
        <v>0</v>
      </c>
      <c r="M16" s="111">
        <f t="shared" si="3"/>
        <v>0</v>
      </c>
      <c r="N16" s="111">
        <f t="shared" si="3"/>
        <v>0</v>
      </c>
      <c r="O16" s="111">
        <f t="shared" si="3"/>
        <v>0</v>
      </c>
      <c r="P16" s="111">
        <f t="shared" si="3"/>
        <v>0</v>
      </c>
      <c r="Q16" s="316">
        <f>+SUM(Q5:Q15)</f>
        <v>0</v>
      </c>
    </row>
    <row r="17" spans="3:17" x14ac:dyDescent="0.25">
      <c r="C17" s="103" t="s">
        <v>143</v>
      </c>
      <c r="D17" s="104">
        <f>D5</f>
        <v>0</v>
      </c>
      <c r="E17" s="107">
        <f>+GARDERIE!M8</f>
        <v>0</v>
      </c>
      <c r="F17" s="108">
        <f>+GARDERIE!N8</f>
        <v>0</v>
      </c>
      <c r="G17" s="108">
        <f>+GARDERIE!O8</f>
        <v>0</v>
      </c>
      <c r="H17" s="108">
        <f>+GARDERIE!P8</f>
        <v>0</v>
      </c>
      <c r="I17" s="108">
        <f>+GARDERIE!Q8</f>
        <v>0</v>
      </c>
      <c r="J17" s="108">
        <f>+GARDERIE!R8</f>
        <v>0</v>
      </c>
      <c r="K17" s="108">
        <f>+GARDERIE!S8</f>
        <v>0</v>
      </c>
      <c r="L17" s="108">
        <f>+GARDERIE!T8</f>
        <v>0</v>
      </c>
      <c r="M17" s="108">
        <f>+GARDERIE!U8</f>
        <v>0</v>
      </c>
      <c r="N17" s="108"/>
      <c r="O17" s="108"/>
      <c r="P17" s="108"/>
      <c r="Q17" s="314">
        <f>+SUM(E17:P17)</f>
        <v>0</v>
      </c>
    </row>
    <row r="18" spans="3:17" x14ac:dyDescent="0.25">
      <c r="C18" s="103" t="s">
        <v>144</v>
      </c>
      <c r="D18" s="104">
        <f t="shared" ref="D18:D26" si="4">D6</f>
        <v>0</v>
      </c>
      <c r="E18" s="107">
        <f>+PS!M8</f>
        <v>0</v>
      </c>
      <c r="F18" s="107">
        <f>+PS!N8</f>
        <v>0</v>
      </c>
      <c r="G18" s="107">
        <f>+PS!O8</f>
        <v>0</v>
      </c>
      <c r="H18" s="107">
        <f>+PS!P8</f>
        <v>0</v>
      </c>
      <c r="I18" s="107">
        <f>+PS!Q8</f>
        <v>0</v>
      </c>
      <c r="J18" s="107">
        <f>+PS!R8</f>
        <v>0</v>
      </c>
      <c r="K18" s="107">
        <f>+PS!S8</f>
        <v>0</v>
      </c>
      <c r="L18" s="107">
        <f>+PS!T8</f>
        <v>0</v>
      </c>
      <c r="M18" s="107">
        <f>+PS!U8</f>
        <v>0</v>
      </c>
      <c r="N18" s="108"/>
      <c r="O18" s="108"/>
      <c r="P18" s="108"/>
      <c r="Q18" s="314">
        <f t="shared" ref="Q18:Q20" si="5">+SUM(E18:P18)</f>
        <v>0</v>
      </c>
    </row>
    <row r="19" spans="3:17" x14ac:dyDescent="0.25">
      <c r="C19" s="103" t="s">
        <v>145</v>
      </c>
      <c r="D19" s="104">
        <f t="shared" si="4"/>
        <v>0</v>
      </c>
      <c r="E19" s="107">
        <f>+MS!M8</f>
        <v>0</v>
      </c>
      <c r="F19" s="107">
        <f>+MS!N8</f>
        <v>0</v>
      </c>
      <c r="G19" s="107">
        <f>+MS!O8</f>
        <v>0</v>
      </c>
      <c r="H19" s="107">
        <f>+MS!P8</f>
        <v>0</v>
      </c>
      <c r="I19" s="107">
        <f>+MS!Q8</f>
        <v>0</v>
      </c>
      <c r="J19" s="107">
        <f>+MS!R8</f>
        <v>0</v>
      </c>
      <c r="K19" s="107">
        <f>+MS!S8</f>
        <v>0</v>
      </c>
      <c r="L19" s="107">
        <f>+MS!T8</f>
        <v>0</v>
      </c>
      <c r="M19" s="107">
        <f>+MS!U8</f>
        <v>0</v>
      </c>
      <c r="N19" s="108"/>
      <c r="O19" s="108"/>
      <c r="P19" s="108"/>
      <c r="Q19" s="314">
        <f t="shared" si="5"/>
        <v>0</v>
      </c>
    </row>
    <row r="20" spans="3:17" x14ac:dyDescent="0.25">
      <c r="C20" s="103" t="s">
        <v>146</v>
      </c>
      <c r="D20" s="104">
        <f t="shared" si="4"/>
        <v>0</v>
      </c>
      <c r="E20" s="107">
        <f>+GS!M8</f>
        <v>0</v>
      </c>
      <c r="F20" s="107">
        <f>+GS!N8</f>
        <v>0</v>
      </c>
      <c r="G20" s="107">
        <f>+GS!O8</f>
        <v>0</v>
      </c>
      <c r="H20" s="107">
        <f>+GS!P8</f>
        <v>0</v>
      </c>
      <c r="I20" s="107">
        <f>+GS!Q8</f>
        <v>0</v>
      </c>
      <c r="J20" s="107">
        <f>+GS!R8</f>
        <v>0</v>
      </c>
      <c r="K20" s="107">
        <f>+GS!S8</f>
        <v>0</v>
      </c>
      <c r="L20" s="107">
        <f>+GS!T8</f>
        <v>0</v>
      </c>
      <c r="M20" s="107">
        <f>+GS!U8</f>
        <v>0</v>
      </c>
      <c r="N20" s="108"/>
      <c r="O20" s="108"/>
      <c r="P20" s="108"/>
      <c r="Q20" s="314">
        <f t="shared" si="5"/>
        <v>0</v>
      </c>
    </row>
    <row r="21" spans="3:17" x14ac:dyDescent="0.25">
      <c r="C21" s="103" t="s">
        <v>84</v>
      </c>
      <c r="D21" s="104">
        <f t="shared" si="4"/>
        <v>0</v>
      </c>
      <c r="E21" s="107">
        <f>+CI!M8</f>
        <v>0</v>
      </c>
      <c r="F21" s="108">
        <f>+CP!N8</f>
        <v>0</v>
      </c>
      <c r="G21" s="108">
        <f>+CP!O8</f>
        <v>0</v>
      </c>
      <c r="H21" s="108">
        <f>+CP!P8</f>
        <v>0</v>
      </c>
      <c r="I21" s="108">
        <f>+CP!Q8</f>
        <v>0</v>
      </c>
      <c r="J21" s="108">
        <f>+CP!R8</f>
        <v>0</v>
      </c>
      <c r="K21" s="108">
        <f>+CP!S8</f>
        <v>0</v>
      </c>
      <c r="L21" s="108">
        <f>+CP!T8</f>
        <v>0</v>
      </c>
      <c r="M21" s="108">
        <f>+CP!U8</f>
        <v>0</v>
      </c>
      <c r="N21" s="108"/>
      <c r="O21" s="108"/>
      <c r="P21" s="108"/>
      <c r="Q21" s="314">
        <f t="shared" ref="Q21:Q26" si="6">+SUM(E21:P21)</f>
        <v>0</v>
      </c>
    </row>
    <row r="22" spans="3:17" x14ac:dyDescent="0.25">
      <c r="C22" s="103" t="s">
        <v>85</v>
      </c>
      <c r="D22" s="104">
        <f t="shared" si="4"/>
        <v>0</v>
      </c>
      <c r="E22" s="107">
        <f>+CP!M8</f>
        <v>0</v>
      </c>
      <c r="F22" s="108">
        <f>+CP!N8</f>
        <v>0</v>
      </c>
      <c r="G22" s="108">
        <f>+CP!O8</f>
        <v>0</v>
      </c>
      <c r="H22" s="108">
        <f>+CP!P8</f>
        <v>0</v>
      </c>
      <c r="I22" s="108">
        <f>+CP!Q8</f>
        <v>0</v>
      </c>
      <c r="J22" s="108">
        <f>+CP!R8</f>
        <v>0</v>
      </c>
      <c r="K22" s="108">
        <f>+CP!S8</f>
        <v>0</v>
      </c>
      <c r="L22" s="108">
        <f>+CP!T8</f>
        <v>0</v>
      </c>
      <c r="M22" s="108">
        <f>+CP!U8</f>
        <v>0</v>
      </c>
      <c r="N22" s="108"/>
      <c r="O22" s="108"/>
      <c r="P22" s="108"/>
      <c r="Q22" s="314">
        <f t="shared" si="6"/>
        <v>0</v>
      </c>
    </row>
    <row r="23" spans="3:17" x14ac:dyDescent="0.25">
      <c r="C23" s="103" t="s">
        <v>86</v>
      </c>
      <c r="D23" s="104">
        <f t="shared" si="4"/>
        <v>0</v>
      </c>
      <c r="E23" s="107">
        <f>+'CE1'!M8</f>
        <v>0</v>
      </c>
      <c r="F23" s="108">
        <f>+'CE1'!N8</f>
        <v>0</v>
      </c>
      <c r="G23" s="108">
        <f>+'CE1'!O8</f>
        <v>0</v>
      </c>
      <c r="H23" s="108">
        <f>+'CE1'!P8</f>
        <v>0</v>
      </c>
      <c r="I23" s="108">
        <f>+'CE1'!Q8</f>
        <v>0</v>
      </c>
      <c r="J23" s="108">
        <f>+'CE1'!R8</f>
        <v>0</v>
      </c>
      <c r="K23" s="108">
        <f>+'CE1'!S8</f>
        <v>0</v>
      </c>
      <c r="L23" s="108">
        <f>+'CE1'!T8</f>
        <v>0</v>
      </c>
      <c r="M23" s="108">
        <f>+'CE1'!U8</f>
        <v>0</v>
      </c>
      <c r="N23" s="108"/>
      <c r="O23" s="108"/>
      <c r="P23" s="108"/>
      <c r="Q23" s="314">
        <f t="shared" si="6"/>
        <v>0</v>
      </c>
    </row>
    <row r="24" spans="3:17" x14ac:dyDescent="0.25">
      <c r="C24" s="103" t="s">
        <v>87</v>
      </c>
      <c r="D24" s="104">
        <f t="shared" si="4"/>
        <v>0</v>
      </c>
      <c r="E24" s="107">
        <f>+'CE2'!M8</f>
        <v>0</v>
      </c>
      <c r="F24" s="108">
        <f>+'CE2'!N8</f>
        <v>0</v>
      </c>
      <c r="G24" s="108">
        <f>+'CE2'!O8</f>
        <v>0</v>
      </c>
      <c r="H24" s="108">
        <f>+'CE2'!P8</f>
        <v>0</v>
      </c>
      <c r="I24" s="108">
        <f>+'CE2'!Q8</f>
        <v>0</v>
      </c>
      <c r="J24" s="108">
        <f>+'CE2'!R8</f>
        <v>0</v>
      </c>
      <c r="K24" s="108">
        <f>+'CE2'!S8</f>
        <v>0</v>
      </c>
      <c r="L24" s="108">
        <f>+'CE2'!T8</f>
        <v>0</v>
      </c>
      <c r="M24" s="108">
        <f>+'CE2'!U8</f>
        <v>0</v>
      </c>
      <c r="N24" s="108"/>
      <c r="O24" s="108"/>
      <c r="P24" s="108"/>
      <c r="Q24" s="314">
        <f t="shared" si="6"/>
        <v>0</v>
      </c>
    </row>
    <row r="25" spans="3:17" x14ac:dyDescent="0.25">
      <c r="C25" s="103" t="s">
        <v>88</v>
      </c>
      <c r="D25" s="104">
        <f t="shared" si="4"/>
        <v>0</v>
      </c>
      <c r="E25" s="107">
        <f>+'CM1'!M8</f>
        <v>0</v>
      </c>
      <c r="F25" s="108">
        <f>+'CM1'!N8</f>
        <v>0</v>
      </c>
      <c r="G25" s="108">
        <f>+'CM1'!O8</f>
        <v>0</v>
      </c>
      <c r="H25" s="108">
        <f>+'CM1'!P8</f>
        <v>0</v>
      </c>
      <c r="I25" s="108">
        <f>+'CM1'!Q8</f>
        <v>0</v>
      </c>
      <c r="J25" s="108">
        <f>+'CM1'!R8</f>
        <v>0</v>
      </c>
      <c r="K25" s="108">
        <f>+'CM1'!S8</f>
        <v>0</v>
      </c>
      <c r="L25" s="108">
        <f>+'CM1'!T8</f>
        <v>0</v>
      </c>
      <c r="M25" s="108">
        <f>+'CM1'!U8</f>
        <v>0</v>
      </c>
      <c r="N25" s="108"/>
      <c r="O25" s="108"/>
      <c r="P25" s="108"/>
      <c r="Q25" s="314">
        <f t="shared" si="6"/>
        <v>0</v>
      </c>
    </row>
    <row r="26" spans="3:17" x14ac:dyDescent="0.25">
      <c r="C26" s="103" t="s">
        <v>89</v>
      </c>
      <c r="D26" s="104">
        <f t="shared" si="4"/>
        <v>0</v>
      </c>
      <c r="E26" s="107">
        <f>+'CM2'!M8</f>
        <v>0</v>
      </c>
      <c r="F26" s="108">
        <f>+'CM2'!N8</f>
        <v>0</v>
      </c>
      <c r="G26" s="108">
        <f>+'CM2'!O8</f>
        <v>0</v>
      </c>
      <c r="H26" s="108">
        <f>+'CM2'!P8</f>
        <v>0</v>
      </c>
      <c r="I26" s="108">
        <f>+'CM2'!Q8</f>
        <v>0</v>
      </c>
      <c r="J26" s="108">
        <f>+'CM2'!R8</f>
        <v>0</v>
      </c>
      <c r="K26" s="108">
        <f>+'CM2'!S8</f>
        <v>0</v>
      </c>
      <c r="L26" s="108">
        <f>+'CM2'!T8</f>
        <v>0</v>
      </c>
      <c r="M26" s="108">
        <f>+'CM2'!U8</f>
        <v>0</v>
      </c>
      <c r="N26" s="108"/>
      <c r="O26" s="108"/>
      <c r="P26" s="108"/>
      <c r="Q26" s="314">
        <f t="shared" si="6"/>
        <v>0</v>
      </c>
    </row>
    <row r="27" spans="3:17" ht="7.5" customHeight="1" x14ac:dyDescent="0.25">
      <c r="C27" s="114" t="s">
        <v>49</v>
      </c>
      <c r="D27" s="104"/>
      <c r="E27" s="311"/>
      <c r="F27" s="312"/>
      <c r="G27" s="312"/>
      <c r="H27" s="312"/>
      <c r="I27" s="312"/>
      <c r="J27" s="312"/>
      <c r="K27" s="312"/>
      <c r="L27" s="312"/>
      <c r="M27" s="312"/>
      <c r="N27" s="312"/>
      <c r="O27" s="312"/>
      <c r="P27" s="312"/>
      <c r="Q27" s="314"/>
    </row>
    <row r="28" spans="3:17" x14ac:dyDescent="0.25">
      <c r="C28" s="109" t="s">
        <v>50</v>
      </c>
      <c r="D28" s="110">
        <f>+SUM(D17:D26)</f>
        <v>0</v>
      </c>
      <c r="E28" s="111">
        <f>+SUM(E17:E27)</f>
        <v>0</v>
      </c>
      <c r="F28" s="111">
        <f>+SUM(F17:F27)</f>
        <v>0</v>
      </c>
      <c r="G28" s="111">
        <f t="shared" ref="G28:M28" si="7">+SUM(G17:G27)</f>
        <v>0</v>
      </c>
      <c r="H28" s="111">
        <f t="shared" si="7"/>
        <v>0</v>
      </c>
      <c r="I28" s="111">
        <f t="shared" si="7"/>
        <v>0</v>
      </c>
      <c r="J28" s="111">
        <f t="shared" si="7"/>
        <v>0</v>
      </c>
      <c r="K28" s="111">
        <f t="shared" si="7"/>
        <v>0</v>
      </c>
      <c r="L28" s="111">
        <f t="shared" si="7"/>
        <v>0</v>
      </c>
      <c r="M28" s="112">
        <f t="shared" si="7"/>
        <v>0</v>
      </c>
      <c r="N28" s="112"/>
      <c r="O28" s="112"/>
      <c r="P28" s="112"/>
      <c r="Q28" s="113">
        <f>+SUM(Q17:Q27)</f>
        <v>0</v>
      </c>
    </row>
    <row r="29" spans="3:17" ht="6.4" customHeight="1" x14ac:dyDescent="0.25">
      <c r="C29" s="115"/>
      <c r="D29" s="116"/>
      <c r="E29" s="117"/>
      <c r="F29" s="118"/>
      <c r="G29" s="118"/>
      <c r="H29" s="118"/>
      <c r="I29" s="118"/>
      <c r="J29" s="118"/>
      <c r="K29" s="118"/>
      <c r="L29" s="118"/>
      <c r="M29" s="119"/>
      <c r="N29" s="120"/>
      <c r="O29" s="120"/>
      <c r="P29" s="120"/>
      <c r="Q29" s="120"/>
    </row>
    <row r="30" spans="3:17" ht="16.5" thickBot="1" x14ac:dyDescent="0.3">
      <c r="C30" s="130" t="s">
        <v>15</v>
      </c>
      <c r="D30" s="72"/>
      <c r="E30" s="73">
        <f t="shared" ref="E30:L30" si="8">+E16+E28</f>
        <v>0</v>
      </c>
      <c r="F30" s="74">
        <f t="shared" si="8"/>
        <v>0</v>
      </c>
      <c r="G30" s="74">
        <f t="shared" si="8"/>
        <v>0</v>
      </c>
      <c r="H30" s="74">
        <f t="shared" si="8"/>
        <v>0</v>
      </c>
      <c r="I30" s="74">
        <f t="shared" si="8"/>
        <v>0</v>
      </c>
      <c r="J30" s="74">
        <f t="shared" si="8"/>
        <v>0</v>
      </c>
      <c r="K30" s="74">
        <f t="shared" si="8"/>
        <v>0</v>
      </c>
      <c r="L30" s="74">
        <f t="shared" si="8"/>
        <v>0</v>
      </c>
      <c r="M30" s="74">
        <f>+M16+M28</f>
        <v>0</v>
      </c>
      <c r="N30" s="74">
        <f t="shared" ref="N30:P30" si="9">+N16+N28</f>
        <v>0</v>
      </c>
      <c r="O30" s="74">
        <f t="shared" si="9"/>
        <v>0</v>
      </c>
      <c r="P30" s="74">
        <f t="shared" si="9"/>
        <v>0</v>
      </c>
      <c r="Q30" s="75">
        <f>+Q16+Q28</f>
        <v>0</v>
      </c>
    </row>
    <row r="31" spans="3:17" ht="6.4" customHeight="1" thickTop="1" thickBot="1" x14ac:dyDescent="0.3">
      <c r="C31" s="131"/>
      <c r="D31" s="121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</row>
    <row r="32" spans="3:17" ht="6.4" customHeight="1" thickTop="1" x14ac:dyDescent="0.25">
      <c r="C32" s="131"/>
      <c r="D32" s="121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</row>
    <row r="33" spans="3:17" ht="16.5" thickBot="1" x14ac:dyDescent="0.3">
      <c r="C33" s="130" t="s">
        <v>63</v>
      </c>
      <c r="D33" s="100"/>
      <c r="E33" s="101">
        <f>+E16+E30</f>
        <v>0</v>
      </c>
      <c r="F33" s="101">
        <f t="shared" ref="F33:P33" si="10">+F16+F30</f>
        <v>0</v>
      </c>
      <c r="G33" s="101">
        <f t="shared" si="10"/>
        <v>0</v>
      </c>
      <c r="H33" s="101">
        <f t="shared" si="10"/>
        <v>0</v>
      </c>
      <c r="I33" s="101">
        <f t="shared" si="10"/>
        <v>0</v>
      </c>
      <c r="J33" s="101">
        <f t="shared" si="10"/>
        <v>0</v>
      </c>
      <c r="K33" s="101">
        <f t="shared" si="10"/>
        <v>0</v>
      </c>
      <c r="L33" s="101">
        <f t="shared" si="10"/>
        <v>0</v>
      </c>
      <c r="M33" s="101">
        <f t="shared" si="10"/>
        <v>0</v>
      </c>
      <c r="N33" s="101">
        <f t="shared" si="10"/>
        <v>0</v>
      </c>
      <c r="O33" s="101">
        <f t="shared" si="10"/>
        <v>0</v>
      </c>
      <c r="P33" s="101">
        <f t="shared" si="10"/>
        <v>0</v>
      </c>
      <c r="Q33" s="102">
        <f>Q30+Q16</f>
        <v>0</v>
      </c>
    </row>
    <row r="34" spans="3:17" ht="16.5" thickTop="1" x14ac:dyDescent="0.25">
      <c r="E34" s="71"/>
    </row>
    <row r="35" spans="3:17" ht="16.5" thickBot="1" x14ac:dyDescent="0.3">
      <c r="E35" s="76"/>
    </row>
    <row r="36" spans="3:17" ht="17.25" thickTop="1" thickBot="1" x14ac:dyDescent="0.3">
      <c r="C36" s="70"/>
      <c r="E36" s="369" t="s">
        <v>111</v>
      </c>
      <c r="F36" s="370"/>
      <c r="G36" s="370"/>
      <c r="H36" s="370"/>
      <c r="I36" s="370"/>
      <c r="J36" s="370"/>
      <c r="K36" s="370"/>
      <c r="L36" s="370"/>
      <c r="M36" s="370"/>
      <c r="N36" s="274"/>
      <c r="O36" s="274"/>
      <c r="P36" s="274"/>
      <c r="Q36" s="373" t="s">
        <v>15</v>
      </c>
    </row>
    <row r="37" spans="3:17" ht="17.25" thickTop="1" thickBot="1" x14ac:dyDescent="0.3">
      <c r="C37" s="297" t="s">
        <v>47</v>
      </c>
      <c r="D37" s="298"/>
      <c r="E37" s="129">
        <f>+E4</f>
        <v>45961</v>
      </c>
      <c r="F37" s="129">
        <f t="shared" ref="F37:P37" si="11">+F4</f>
        <v>45991</v>
      </c>
      <c r="G37" s="129">
        <f t="shared" si="11"/>
        <v>46022</v>
      </c>
      <c r="H37" s="129">
        <f t="shared" si="11"/>
        <v>46053</v>
      </c>
      <c r="I37" s="129">
        <f t="shared" si="11"/>
        <v>46081</v>
      </c>
      <c r="J37" s="129">
        <f t="shared" si="11"/>
        <v>46112</v>
      </c>
      <c r="K37" s="129">
        <f t="shared" si="11"/>
        <v>46142</v>
      </c>
      <c r="L37" s="129">
        <f t="shared" si="11"/>
        <v>46173</v>
      </c>
      <c r="M37" s="129">
        <f t="shared" si="11"/>
        <v>46203</v>
      </c>
      <c r="N37" s="129">
        <f t="shared" si="11"/>
        <v>46234</v>
      </c>
      <c r="O37" s="129">
        <f t="shared" si="11"/>
        <v>46265</v>
      </c>
      <c r="P37" s="129">
        <f t="shared" si="11"/>
        <v>46295</v>
      </c>
      <c r="Q37" s="374"/>
    </row>
    <row r="38" spans="3:17" ht="16.5" thickTop="1" x14ac:dyDescent="0.25">
      <c r="C38" s="103" t="s">
        <v>147</v>
      </c>
      <c r="D38" s="104"/>
      <c r="E38" s="105">
        <f>+GARDERIE!W8</f>
        <v>0</v>
      </c>
      <c r="F38" s="106">
        <f>+GARDERIE!X8</f>
        <v>0</v>
      </c>
      <c r="G38" s="106">
        <f>+GARDERIE!Y8</f>
        <v>0</v>
      </c>
      <c r="H38" s="106">
        <f>+GARDERIE!Z8</f>
        <v>0</v>
      </c>
      <c r="I38" s="106">
        <f>+GARDERIE!AA8</f>
        <v>0</v>
      </c>
      <c r="J38" s="106">
        <f>+GARDERIE!AB8</f>
        <v>0</v>
      </c>
      <c r="K38" s="106">
        <f>+GARDERIE!AC8</f>
        <v>0</v>
      </c>
      <c r="L38" s="106">
        <f>+GARDERIE!AD8</f>
        <v>0</v>
      </c>
      <c r="M38" s="106">
        <f>+GARDERIE!AE8</f>
        <v>0</v>
      </c>
      <c r="N38" s="106"/>
      <c r="O38" s="106"/>
      <c r="P38" s="106"/>
      <c r="Q38" s="313">
        <f>+SUM(E38:M38)</f>
        <v>0</v>
      </c>
    </row>
    <row r="39" spans="3:17" x14ac:dyDescent="0.25">
      <c r="C39" s="103" t="s">
        <v>148</v>
      </c>
      <c r="D39" s="104"/>
      <c r="E39" s="107">
        <f>PS!W8</f>
        <v>0</v>
      </c>
      <c r="F39" s="107">
        <f>PS!X8</f>
        <v>0</v>
      </c>
      <c r="G39" s="107">
        <f>PS!Y8</f>
        <v>0</v>
      </c>
      <c r="H39" s="107">
        <f>PS!Z8</f>
        <v>0</v>
      </c>
      <c r="I39" s="107">
        <f>PS!AA8</f>
        <v>0</v>
      </c>
      <c r="J39" s="107">
        <f>PS!AB8</f>
        <v>0</v>
      </c>
      <c r="K39" s="107">
        <f>PS!AC8</f>
        <v>0</v>
      </c>
      <c r="L39" s="107">
        <f>PS!AD8</f>
        <v>0</v>
      </c>
      <c r="M39" s="107">
        <f>PS!AE8</f>
        <v>0</v>
      </c>
      <c r="N39" s="108"/>
      <c r="O39" s="108"/>
      <c r="P39" s="108"/>
      <c r="Q39" s="314">
        <f t="shared" ref="Q39:Q41" si="12">+SUM(E39:M39)</f>
        <v>0</v>
      </c>
    </row>
    <row r="40" spans="3:17" x14ac:dyDescent="0.25">
      <c r="C40" s="103" t="s">
        <v>149</v>
      </c>
      <c r="D40" s="104"/>
      <c r="E40" s="107">
        <f>MS!W8</f>
        <v>0</v>
      </c>
      <c r="F40" s="108">
        <f>MS!X8</f>
        <v>0</v>
      </c>
      <c r="G40" s="108">
        <f>MS!Y8</f>
        <v>0</v>
      </c>
      <c r="H40" s="108">
        <f>MS!Z8</f>
        <v>0</v>
      </c>
      <c r="I40" s="108">
        <f>MS!AA8</f>
        <v>0</v>
      </c>
      <c r="J40" s="108">
        <f>MS!AB8</f>
        <v>0</v>
      </c>
      <c r="K40" s="108">
        <f>MS!AC8</f>
        <v>0</v>
      </c>
      <c r="L40" s="108">
        <f>MS!AD8</f>
        <v>0</v>
      </c>
      <c r="M40" s="108">
        <f>MS!AE8</f>
        <v>0</v>
      </c>
      <c r="N40" s="108"/>
      <c r="O40" s="108"/>
      <c r="P40" s="108"/>
      <c r="Q40" s="314">
        <f t="shared" si="12"/>
        <v>0</v>
      </c>
    </row>
    <row r="41" spans="3:17" x14ac:dyDescent="0.25">
      <c r="C41" s="103" t="s">
        <v>150</v>
      </c>
      <c r="D41" s="104"/>
      <c r="E41" s="107">
        <f>GS!W8</f>
        <v>0</v>
      </c>
      <c r="F41" s="108">
        <f>GS!X8</f>
        <v>0</v>
      </c>
      <c r="G41" s="108">
        <f>GS!Y8</f>
        <v>0</v>
      </c>
      <c r="H41" s="108">
        <f>GS!Z8</f>
        <v>0</v>
      </c>
      <c r="I41" s="108">
        <f>GS!AA8</f>
        <v>0</v>
      </c>
      <c r="J41" s="108">
        <f>GS!AB8</f>
        <v>0</v>
      </c>
      <c r="K41" s="108">
        <f>GS!AC8</f>
        <v>0</v>
      </c>
      <c r="L41" s="108">
        <f>GS!AD8</f>
        <v>0</v>
      </c>
      <c r="M41" s="108">
        <f>GS!AE8</f>
        <v>0</v>
      </c>
      <c r="N41" s="108"/>
      <c r="O41" s="108"/>
      <c r="P41" s="108"/>
      <c r="Q41" s="314">
        <f t="shared" si="12"/>
        <v>0</v>
      </c>
    </row>
    <row r="42" spans="3:17" x14ac:dyDescent="0.25">
      <c r="C42" s="103" t="s">
        <v>120</v>
      </c>
      <c r="D42" s="104"/>
      <c r="E42" s="107">
        <f>+CI!W8</f>
        <v>0</v>
      </c>
      <c r="F42" s="108">
        <f>+CI!X8</f>
        <v>0</v>
      </c>
      <c r="G42" s="108">
        <f>+CI!Y8</f>
        <v>0</v>
      </c>
      <c r="H42" s="108">
        <f>+CI!Z8</f>
        <v>0</v>
      </c>
      <c r="I42" s="108">
        <f>+CI!AA8</f>
        <v>0</v>
      </c>
      <c r="J42" s="108">
        <f>+CI!AB8</f>
        <v>0</v>
      </c>
      <c r="K42" s="108">
        <f>+CI!AC8</f>
        <v>0</v>
      </c>
      <c r="L42" s="108">
        <f>+CI!AD8</f>
        <v>0</v>
      </c>
      <c r="M42" s="108">
        <f>+CI!AE8</f>
        <v>0</v>
      </c>
      <c r="N42" s="108"/>
      <c r="O42" s="108"/>
      <c r="P42" s="108"/>
      <c r="Q42" s="314">
        <f>+SUM(E42:M42)</f>
        <v>0</v>
      </c>
    </row>
    <row r="43" spans="3:17" x14ac:dyDescent="0.25">
      <c r="C43" s="103" t="s">
        <v>121</v>
      </c>
      <c r="D43" s="104"/>
      <c r="E43" s="107">
        <f>+CP!W8</f>
        <v>0</v>
      </c>
      <c r="F43" s="108">
        <f>+CP!X8</f>
        <v>0</v>
      </c>
      <c r="G43" s="108">
        <f>+CP!Y8</f>
        <v>0</v>
      </c>
      <c r="H43" s="108">
        <f>+CP!Z8</f>
        <v>0</v>
      </c>
      <c r="I43" s="108">
        <f>+CP!AA8</f>
        <v>0</v>
      </c>
      <c r="J43" s="108">
        <f>+CP!AB8</f>
        <v>0</v>
      </c>
      <c r="K43" s="108">
        <f>+CP!AC8</f>
        <v>0</v>
      </c>
      <c r="L43" s="108">
        <f>+CP!AD8</f>
        <v>0</v>
      </c>
      <c r="M43" s="108">
        <f>+CP!AE8</f>
        <v>0</v>
      </c>
      <c r="N43" s="108"/>
      <c r="O43" s="108"/>
      <c r="P43" s="108"/>
      <c r="Q43" s="314">
        <f t="shared" ref="Q43:Q47" si="13">+SUM(E43:M43)</f>
        <v>0</v>
      </c>
    </row>
    <row r="44" spans="3:17" x14ac:dyDescent="0.25">
      <c r="C44" s="103" t="s">
        <v>122</v>
      </c>
      <c r="D44" s="104"/>
      <c r="E44" s="107">
        <f>+'CE1'!W8</f>
        <v>0</v>
      </c>
      <c r="F44" s="108">
        <f>+'CE1'!X8</f>
        <v>0</v>
      </c>
      <c r="G44" s="108">
        <f>+'CE1'!Y8</f>
        <v>0</v>
      </c>
      <c r="H44" s="108">
        <f>+'CE1'!Z8</f>
        <v>0</v>
      </c>
      <c r="I44" s="108">
        <f>+'CE1'!AA8</f>
        <v>0</v>
      </c>
      <c r="J44" s="108">
        <f>+'CE1'!AB8</f>
        <v>0</v>
      </c>
      <c r="K44" s="108">
        <f>+'CE1'!AC8</f>
        <v>0</v>
      </c>
      <c r="L44" s="108">
        <f>+'CE1'!AD8</f>
        <v>0</v>
      </c>
      <c r="M44" s="108">
        <f>+'CE1'!AE8</f>
        <v>0</v>
      </c>
      <c r="N44" s="108"/>
      <c r="O44" s="108"/>
      <c r="P44" s="108"/>
      <c r="Q44" s="314">
        <f t="shared" si="13"/>
        <v>0</v>
      </c>
    </row>
    <row r="45" spans="3:17" x14ac:dyDescent="0.25">
      <c r="C45" s="103" t="s">
        <v>123</v>
      </c>
      <c r="D45" s="104"/>
      <c r="E45" s="107">
        <f>+'CE2'!W8</f>
        <v>0</v>
      </c>
      <c r="F45" s="108">
        <f>+'CE2'!X8</f>
        <v>0</v>
      </c>
      <c r="G45" s="108">
        <f>+'CE2'!Y8</f>
        <v>0</v>
      </c>
      <c r="H45" s="108">
        <f>+'CE2'!Z8</f>
        <v>0</v>
      </c>
      <c r="I45" s="108">
        <f>+'CE2'!AA8</f>
        <v>0</v>
      </c>
      <c r="J45" s="108">
        <f>+'CE2'!AB8</f>
        <v>0</v>
      </c>
      <c r="K45" s="108">
        <f>+'CE2'!AC8</f>
        <v>0</v>
      </c>
      <c r="L45" s="108">
        <f>+'CE2'!AD8</f>
        <v>0</v>
      </c>
      <c r="M45" s="108">
        <f>+'CE2'!AE8</f>
        <v>0</v>
      </c>
      <c r="N45" s="108"/>
      <c r="O45" s="108"/>
      <c r="P45" s="108"/>
      <c r="Q45" s="314">
        <f t="shared" si="13"/>
        <v>0</v>
      </c>
    </row>
    <row r="46" spans="3:17" x14ac:dyDescent="0.25">
      <c r="C46" s="103" t="s">
        <v>124</v>
      </c>
      <c r="D46" s="104"/>
      <c r="E46" s="107">
        <f>+'CM1'!W8</f>
        <v>0</v>
      </c>
      <c r="F46" s="108">
        <f>+'CM1'!X8</f>
        <v>0</v>
      </c>
      <c r="G46" s="108">
        <f>+'CM1'!Y8</f>
        <v>0</v>
      </c>
      <c r="H46" s="108">
        <f>+'CM1'!Z8</f>
        <v>0</v>
      </c>
      <c r="I46" s="108">
        <f>+'CM1'!AA8</f>
        <v>0</v>
      </c>
      <c r="J46" s="108">
        <f>+'CM1'!AB8</f>
        <v>0</v>
      </c>
      <c r="K46" s="108">
        <f>+'CM1'!AC8</f>
        <v>0</v>
      </c>
      <c r="L46" s="108">
        <f>+'CM1'!AD8</f>
        <v>0</v>
      </c>
      <c r="M46" s="108">
        <f>+'CM1'!AE8</f>
        <v>0</v>
      </c>
      <c r="N46" s="108"/>
      <c r="O46" s="108"/>
      <c r="P46" s="108"/>
      <c r="Q46" s="314">
        <f t="shared" si="13"/>
        <v>0</v>
      </c>
    </row>
    <row r="47" spans="3:17" x14ac:dyDescent="0.25">
      <c r="C47" s="103" t="s">
        <v>125</v>
      </c>
      <c r="D47" s="104"/>
      <c r="E47" s="107">
        <f>+'CM2'!W8</f>
        <v>0</v>
      </c>
      <c r="F47" s="108">
        <f>+'CM2'!X8</f>
        <v>0</v>
      </c>
      <c r="G47" s="108">
        <f>+'CM2'!Y8</f>
        <v>0</v>
      </c>
      <c r="H47" s="108">
        <f>+'CM2'!Z8</f>
        <v>0</v>
      </c>
      <c r="I47" s="108">
        <f>+'CM2'!AA8</f>
        <v>0</v>
      </c>
      <c r="J47" s="108">
        <f>+'CM2'!AB8</f>
        <v>0</v>
      </c>
      <c r="K47" s="108">
        <f>+'CM2'!AC8</f>
        <v>0</v>
      </c>
      <c r="L47" s="108">
        <f>+'CM2'!AD8</f>
        <v>0</v>
      </c>
      <c r="M47" s="108">
        <f>+'CM2'!AE8</f>
        <v>0</v>
      </c>
      <c r="N47" s="108"/>
      <c r="O47" s="108"/>
      <c r="P47" s="108"/>
      <c r="Q47" s="314">
        <f t="shared" si="13"/>
        <v>0</v>
      </c>
    </row>
    <row r="48" spans="3:17" x14ac:dyDescent="0.25">
      <c r="C48" s="103"/>
      <c r="D48" s="104"/>
      <c r="E48" s="311"/>
      <c r="F48" s="312"/>
      <c r="G48" s="312"/>
      <c r="H48" s="312"/>
      <c r="I48" s="312"/>
      <c r="J48" s="312"/>
      <c r="K48" s="312"/>
      <c r="L48" s="312"/>
      <c r="M48" s="312"/>
      <c r="N48" s="275"/>
      <c r="O48" s="275"/>
      <c r="P48" s="275"/>
      <c r="Q48" s="314"/>
    </row>
    <row r="49" spans="3:17" x14ac:dyDescent="0.25">
      <c r="C49" s="300" t="s">
        <v>112</v>
      </c>
      <c r="D49" s="301">
        <f t="shared" ref="D49:Q49" si="14">+SUM(D38:D47)</f>
        <v>0</v>
      </c>
      <c r="E49" s="301">
        <f t="shared" si="14"/>
        <v>0</v>
      </c>
      <c r="F49" s="301">
        <f t="shared" si="14"/>
        <v>0</v>
      </c>
      <c r="G49" s="301">
        <f t="shared" si="14"/>
        <v>0</v>
      </c>
      <c r="H49" s="301">
        <f t="shared" si="14"/>
        <v>0</v>
      </c>
      <c r="I49" s="301">
        <f t="shared" si="14"/>
        <v>0</v>
      </c>
      <c r="J49" s="301">
        <f t="shared" si="14"/>
        <v>0</v>
      </c>
      <c r="K49" s="301">
        <f t="shared" si="14"/>
        <v>0</v>
      </c>
      <c r="L49" s="301">
        <f t="shared" si="14"/>
        <v>0</v>
      </c>
      <c r="M49" s="302">
        <f t="shared" si="14"/>
        <v>0</v>
      </c>
      <c r="N49" s="317"/>
      <c r="O49" s="317"/>
      <c r="P49" s="317"/>
      <c r="Q49" s="303">
        <f t="shared" si="14"/>
        <v>0</v>
      </c>
    </row>
    <row r="50" spans="3:17" x14ac:dyDescent="0.25">
      <c r="C50" s="304" t="s">
        <v>113</v>
      </c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>
        <f>+SUM(E50:M50)</f>
        <v>0</v>
      </c>
    </row>
    <row r="51" spans="3:17" x14ac:dyDescent="0.25">
      <c r="C51" s="304" t="s">
        <v>114</v>
      </c>
      <c r="D51" s="305"/>
      <c r="E51" s="305">
        <f>+E49-E50</f>
        <v>0</v>
      </c>
      <c r="F51" s="305">
        <f t="shared" ref="F51:M51" si="15">+F49-F50</f>
        <v>0</v>
      </c>
      <c r="G51" s="305">
        <f t="shared" si="15"/>
        <v>0</v>
      </c>
      <c r="H51" s="305">
        <f t="shared" si="15"/>
        <v>0</v>
      </c>
      <c r="I51" s="305">
        <f t="shared" si="15"/>
        <v>0</v>
      </c>
      <c r="J51" s="305">
        <f t="shared" si="15"/>
        <v>0</v>
      </c>
      <c r="K51" s="305">
        <f t="shared" si="15"/>
        <v>0</v>
      </c>
      <c r="L51" s="305">
        <f t="shared" si="15"/>
        <v>0</v>
      </c>
      <c r="M51" s="305">
        <f t="shared" si="15"/>
        <v>0</v>
      </c>
      <c r="N51" s="305"/>
      <c r="O51" s="305"/>
      <c r="P51" s="305"/>
      <c r="Q51" s="305">
        <f>+SUM(E51:M51)</f>
        <v>0</v>
      </c>
    </row>
    <row r="52" spans="3:17" ht="16.5" thickBot="1" x14ac:dyDescent="0.3">
      <c r="E52" s="306"/>
      <c r="F52" s="306"/>
      <c r="G52" s="307"/>
      <c r="H52" s="306"/>
      <c r="I52" s="306"/>
      <c r="J52" s="306"/>
      <c r="K52" s="306"/>
      <c r="L52" s="306"/>
      <c r="M52" s="306"/>
      <c r="N52" s="306"/>
      <c r="O52" s="306"/>
      <c r="P52" s="306"/>
      <c r="Q52" s="306"/>
    </row>
    <row r="53" spans="3:17" ht="17.25" thickTop="1" thickBot="1" x14ac:dyDescent="0.3">
      <c r="C53" s="70"/>
      <c r="E53" s="369" t="s">
        <v>117</v>
      </c>
      <c r="F53" s="370"/>
      <c r="G53" s="370"/>
      <c r="H53" s="370"/>
      <c r="I53" s="370"/>
      <c r="J53" s="370"/>
      <c r="K53" s="370"/>
      <c r="L53" s="370"/>
      <c r="M53" s="370"/>
      <c r="N53" s="274"/>
      <c r="O53" s="274"/>
      <c r="P53" s="274"/>
      <c r="Q53" s="373" t="s">
        <v>15</v>
      </c>
    </row>
    <row r="54" spans="3:17" ht="17.25" thickTop="1" thickBot="1" x14ac:dyDescent="0.3">
      <c r="C54" s="297" t="s">
        <v>47</v>
      </c>
      <c r="D54" s="298"/>
      <c r="E54" s="129">
        <f>+E4</f>
        <v>45961</v>
      </c>
      <c r="F54" s="129">
        <f t="shared" ref="F54:P54" si="16">+F4</f>
        <v>45991</v>
      </c>
      <c r="G54" s="129">
        <f t="shared" si="16"/>
        <v>46022</v>
      </c>
      <c r="H54" s="129">
        <f t="shared" si="16"/>
        <v>46053</v>
      </c>
      <c r="I54" s="129">
        <f t="shared" si="16"/>
        <v>46081</v>
      </c>
      <c r="J54" s="129">
        <f t="shared" si="16"/>
        <v>46112</v>
      </c>
      <c r="K54" s="129">
        <f t="shared" si="16"/>
        <v>46142</v>
      </c>
      <c r="L54" s="129">
        <f t="shared" si="16"/>
        <v>46173</v>
      </c>
      <c r="M54" s="129">
        <f t="shared" si="16"/>
        <v>46203</v>
      </c>
      <c r="N54" s="129">
        <f t="shared" si="16"/>
        <v>46234</v>
      </c>
      <c r="O54" s="129">
        <f t="shared" si="16"/>
        <v>46265</v>
      </c>
      <c r="P54" s="129">
        <f t="shared" si="16"/>
        <v>46295</v>
      </c>
      <c r="Q54" s="374"/>
    </row>
    <row r="55" spans="3:17" ht="16.5" thickTop="1" x14ac:dyDescent="0.25">
      <c r="C55" s="103" t="s">
        <v>151</v>
      </c>
      <c r="D55" s="104"/>
      <c r="E55" s="105">
        <f>+GARDERIE!AG8</f>
        <v>0</v>
      </c>
      <c r="F55" s="106">
        <f>+GARDERIE!AH8</f>
        <v>0</v>
      </c>
      <c r="G55" s="106">
        <f>+GARDERIE!AI8</f>
        <v>0</v>
      </c>
      <c r="H55" s="106">
        <f>+GARDERIE!AJ8</f>
        <v>0</v>
      </c>
      <c r="I55" s="106">
        <f>+GARDERIE!AK8</f>
        <v>0</v>
      </c>
      <c r="J55" s="106">
        <f>+GARDERIE!AL8</f>
        <v>0</v>
      </c>
      <c r="K55" s="106">
        <f>+GARDERIE!AM8</f>
        <v>0</v>
      </c>
      <c r="L55" s="106">
        <f>+GARDERIE!AN8</f>
        <v>0</v>
      </c>
      <c r="M55" s="106">
        <f>+GARDERIE!AO8</f>
        <v>0</v>
      </c>
      <c r="N55" s="106"/>
      <c r="O55" s="106"/>
      <c r="P55" s="106"/>
      <c r="Q55" s="313">
        <f>+SUM(E55:M55)</f>
        <v>0</v>
      </c>
    </row>
    <row r="56" spans="3:17" x14ac:dyDescent="0.25">
      <c r="C56" s="103" t="s">
        <v>152</v>
      </c>
      <c r="D56" s="104"/>
      <c r="E56" s="107">
        <f>PS!AG8</f>
        <v>0</v>
      </c>
      <c r="F56" s="108">
        <f>PS!AH8</f>
        <v>0</v>
      </c>
      <c r="G56" s="108">
        <f>PS!AI8</f>
        <v>0</v>
      </c>
      <c r="H56" s="108">
        <f>PS!AJ8</f>
        <v>0</v>
      </c>
      <c r="I56" s="108">
        <f>PS!AK8</f>
        <v>0</v>
      </c>
      <c r="J56" s="108">
        <f>PS!AL8</f>
        <v>0</v>
      </c>
      <c r="K56" s="108">
        <f>PS!AM8</f>
        <v>0</v>
      </c>
      <c r="L56" s="108">
        <f>PS!AN8</f>
        <v>0</v>
      </c>
      <c r="M56" s="108">
        <f>PS!AO8</f>
        <v>0</v>
      </c>
      <c r="N56" s="108"/>
      <c r="O56" s="108"/>
      <c r="P56" s="108"/>
      <c r="Q56" s="314">
        <f t="shared" ref="Q56:Q58" si="17">+SUM(E56:M56)</f>
        <v>0</v>
      </c>
    </row>
    <row r="57" spans="3:17" x14ac:dyDescent="0.25">
      <c r="C57" s="103" t="s">
        <v>153</v>
      </c>
      <c r="D57" s="104"/>
      <c r="E57" s="107">
        <f>MS!AG8</f>
        <v>0</v>
      </c>
      <c r="F57" s="108">
        <f>MS!AH8</f>
        <v>0</v>
      </c>
      <c r="G57" s="108">
        <f>MS!AI8</f>
        <v>0</v>
      </c>
      <c r="H57" s="108">
        <f>MS!AJ8</f>
        <v>0</v>
      </c>
      <c r="I57" s="108">
        <f>MS!AK8</f>
        <v>0</v>
      </c>
      <c r="J57" s="108">
        <f>MS!AL8</f>
        <v>0</v>
      </c>
      <c r="K57" s="108">
        <f>MS!AM8</f>
        <v>0</v>
      </c>
      <c r="L57" s="108">
        <f>MS!AN8</f>
        <v>0</v>
      </c>
      <c r="M57" s="108">
        <f>MS!AO8</f>
        <v>0</v>
      </c>
      <c r="N57" s="108"/>
      <c r="O57" s="108"/>
      <c r="P57" s="108"/>
      <c r="Q57" s="314">
        <f t="shared" si="17"/>
        <v>0</v>
      </c>
    </row>
    <row r="58" spans="3:17" x14ac:dyDescent="0.25">
      <c r="C58" s="103" t="s">
        <v>154</v>
      </c>
      <c r="D58" s="104"/>
      <c r="E58" s="107">
        <f>GS!AG8</f>
        <v>0</v>
      </c>
      <c r="F58" s="108">
        <f>GS!AH8</f>
        <v>0</v>
      </c>
      <c r="G58" s="108">
        <f>GS!AI8</f>
        <v>0</v>
      </c>
      <c r="H58" s="108">
        <f>GS!AJ8</f>
        <v>0</v>
      </c>
      <c r="I58" s="108">
        <f>GS!AK8</f>
        <v>0</v>
      </c>
      <c r="J58" s="108">
        <f>GS!AL8</f>
        <v>0</v>
      </c>
      <c r="K58" s="108">
        <f>GS!AM8</f>
        <v>0</v>
      </c>
      <c r="L58" s="108">
        <f>GS!AN8</f>
        <v>0</v>
      </c>
      <c r="M58" s="108">
        <f>GS!AO8</f>
        <v>0</v>
      </c>
      <c r="N58" s="108"/>
      <c r="O58" s="108"/>
      <c r="P58" s="108"/>
      <c r="Q58" s="314">
        <f t="shared" si="17"/>
        <v>0</v>
      </c>
    </row>
    <row r="59" spans="3:17" x14ac:dyDescent="0.25">
      <c r="C59" s="103" t="s">
        <v>126</v>
      </c>
      <c r="D59" s="104"/>
      <c r="E59" s="107">
        <f>+CI!AG8</f>
        <v>0</v>
      </c>
      <c r="F59" s="108">
        <f>+CI!AH8</f>
        <v>0</v>
      </c>
      <c r="G59" s="108">
        <f>+CI!AI8</f>
        <v>0</v>
      </c>
      <c r="H59" s="108">
        <f>+CI!AJ8</f>
        <v>0</v>
      </c>
      <c r="I59" s="108">
        <f>+CI!AK8</f>
        <v>0</v>
      </c>
      <c r="J59" s="108">
        <f>+CI!AL8</f>
        <v>0</v>
      </c>
      <c r="K59" s="108">
        <f>+CI!AM8</f>
        <v>0</v>
      </c>
      <c r="L59" s="108">
        <f>+CI!AN8</f>
        <v>0</v>
      </c>
      <c r="M59" s="108">
        <f>+CI!AO8</f>
        <v>0</v>
      </c>
      <c r="N59" s="108"/>
      <c r="O59" s="108"/>
      <c r="P59" s="108"/>
      <c r="Q59" s="314">
        <f>+SUM(E59:M59)</f>
        <v>0</v>
      </c>
    </row>
    <row r="60" spans="3:17" x14ac:dyDescent="0.25">
      <c r="C60" s="103" t="s">
        <v>127</v>
      </c>
      <c r="D60" s="104"/>
      <c r="E60" s="107">
        <f>+CP!AG8</f>
        <v>0</v>
      </c>
      <c r="F60" s="108">
        <f>+CP!AH8</f>
        <v>0</v>
      </c>
      <c r="G60" s="108">
        <f>+CP!AI8</f>
        <v>0</v>
      </c>
      <c r="H60" s="108">
        <f>+CP!AJ8</f>
        <v>0</v>
      </c>
      <c r="I60" s="108">
        <f>+CP!AK8</f>
        <v>0</v>
      </c>
      <c r="J60" s="108">
        <f>+CP!AL8</f>
        <v>0</v>
      </c>
      <c r="K60" s="108">
        <f>+CP!AM8</f>
        <v>0</v>
      </c>
      <c r="L60" s="108">
        <f>+CP!AN8</f>
        <v>0</v>
      </c>
      <c r="M60" s="108">
        <f>+CP!AO8</f>
        <v>0</v>
      </c>
      <c r="N60" s="108"/>
      <c r="O60" s="108"/>
      <c r="P60" s="108"/>
      <c r="Q60" s="314">
        <f t="shared" ref="Q60:Q64" si="18">+SUM(E60:M60)</f>
        <v>0</v>
      </c>
    </row>
    <row r="61" spans="3:17" x14ac:dyDescent="0.25">
      <c r="C61" s="103" t="s">
        <v>128</v>
      </c>
      <c r="D61" s="104"/>
      <c r="E61" s="107">
        <f>+'CE1'!AG8</f>
        <v>0</v>
      </c>
      <c r="F61" s="108">
        <f>+'CE1'!AH8</f>
        <v>0</v>
      </c>
      <c r="G61" s="108">
        <f>+'CE1'!AI8</f>
        <v>0</v>
      </c>
      <c r="H61" s="108">
        <f>+'CE1'!AJ8</f>
        <v>0</v>
      </c>
      <c r="I61" s="108">
        <f>+'CE1'!AK8</f>
        <v>0</v>
      </c>
      <c r="J61" s="108">
        <f>+'CE1'!AL8</f>
        <v>0</v>
      </c>
      <c r="K61" s="108">
        <f>+'CE1'!AM8</f>
        <v>0</v>
      </c>
      <c r="L61" s="108">
        <f>+'CE1'!AN8</f>
        <v>0</v>
      </c>
      <c r="M61" s="108">
        <f>+'CE1'!AO8</f>
        <v>0</v>
      </c>
      <c r="N61" s="108"/>
      <c r="O61" s="108"/>
      <c r="P61" s="108"/>
      <c r="Q61" s="314">
        <f t="shared" si="18"/>
        <v>0</v>
      </c>
    </row>
    <row r="62" spans="3:17" x14ac:dyDescent="0.25">
      <c r="C62" s="103" t="s">
        <v>129</v>
      </c>
      <c r="D62" s="104"/>
      <c r="E62" s="107">
        <f>+'CE2'!AG8</f>
        <v>0</v>
      </c>
      <c r="F62" s="108">
        <f>+'CE2'!AH8</f>
        <v>0</v>
      </c>
      <c r="G62" s="108">
        <f>+'CE2'!AI8</f>
        <v>0</v>
      </c>
      <c r="H62" s="108">
        <f>+'CE2'!AJ8</f>
        <v>0</v>
      </c>
      <c r="I62" s="108">
        <f>+'CE2'!AK8</f>
        <v>0</v>
      </c>
      <c r="J62" s="108">
        <f>+'CE2'!AL8</f>
        <v>0</v>
      </c>
      <c r="K62" s="108">
        <f>+'CE2'!AM8</f>
        <v>0</v>
      </c>
      <c r="L62" s="108">
        <f>+'CE2'!AN8</f>
        <v>0</v>
      </c>
      <c r="M62" s="108">
        <f>+'CE2'!AO8</f>
        <v>0</v>
      </c>
      <c r="N62" s="108"/>
      <c r="O62" s="108"/>
      <c r="P62" s="108"/>
      <c r="Q62" s="314">
        <f t="shared" si="18"/>
        <v>0</v>
      </c>
    </row>
    <row r="63" spans="3:17" x14ac:dyDescent="0.25">
      <c r="C63" s="103" t="s">
        <v>130</v>
      </c>
      <c r="D63" s="104"/>
      <c r="E63" s="107">
        <f>+'CM1'!AG8</f>
        <v>0</v>
      </c>
      <c r="F63" s="108">
        <f>+'CM1'!AH8</f>
        <v>0</v>
      </c>
      <c r="G63" s="108">
        <f>+'CM1'!AI8</f>
        <v>0</v>
      </c>
      <c r="H63" s="108">
        <f>+'CM1'!AJ8</f>
        <v>0</v>
      </c>
      <c r="I63" s="108">
        <f>+'CM1'!AK8</f>
        <v>0</v>
      </c>
      <c r="J63" s="108">
        <f>+'CM1'!AL8</f>
        <v>0</v>
      </c>
      <c r="K63" s="108">
        <f>+'CM1'!AM8</f>
        <v>0</v>
      </c>
      <c r="L63" s="108">
        <f>+'CM1'!AN8</f>
        <v>0</v>
      </c>
      <c r="M63" s="108">
        <f>+'CM1'!AO8</f>
        <v>0</v>
      </c>
      <c r="N63" s="108"/>
      <c r="O63" s="108"/>
      <c r="P63" s="108"/>
      <c r="Q63" s="314">
        <f t="shared" si="18"/>
        <v>0</v>
      </c>
    </row>
    <row r="64" spans="3:17" x14ac:dyDescent="0.25">
      <c r="C64" s="103" t="s">
        <v>131</v>
      </c>
      <c r="D64" s="104"/>
      <c r="E64" s="107">
        <f>+'CM2'!AG8</f>
        <v>0</v>
      </c>
      <c r="F64" s="108">
        <f>+'CM2'!AH8</f>
        <v>0</v>
      </c>
      <c r="G64" s="108">
        <f>+'CM2'!AI8</f>
        <v>0</v>
      </c>
      <c r="H64" s="108">
        <f>+'CM2'!AJ8</f>
        <v>0</v>
      </c>
      <c r="I64" s="108">
        <f>+'CM2'!AK8</f>
        <v>0</v>
      </c>
      <c r="J64" s="108">
        <f>+'CM2'!AL8</f>
        <v>0</v>
      </c>
      <c r="K64" s="108">
        <f>+'CM2'!AM8</f>
        <v>0</v>
      </c>
      <c r="L64" s="108">
        <f>+'CM2'!AN8</f>
        <v>0</v>
      </c>
      <c r="M64" s="108">
        <f>+'CM2'!AO8</f>
        <v>0</v>
      </c>
      <c r="N64" s="108"/>
      <c r="O64" s="108"/>
      <c r="P64" s="108"/>
      <c r="Q64" s="314">
        <f t="shared" si="18"/>
        <v>0</v>
      </c>
    </row>
    <row r="65" spans="3:17" x14ac:dyDescent="0.25">
      <c r="C65" s="103"/>
      <c r="D65" s="104"/>
      <c r="E65" s="311"/>
      <c r="F65" s="312"/>
      <c r="G65" s="312"/>
      <c r="H65" s="312"/>
      <c r="I65" s="312"/>
      <c r="J65" s="312"/>
      <c r="K65" s="312"/>
      <c r="L65" s="312"/>
      <c r="M65" s="312"/>
      <c r="N65" s="275"/>
      <c r="O65" s="275"/>
      <c r="P65" s="275"/>
      <c r="Q65" s="314"/>
    </row>
    <row r="66" spans="3:17" x14ac:dyDescent="0.25">
      <c r="C66" s="300" t="s">
        <v>112</v>
      </c>
      <c r="D66" s="301">
        <f t="shared" ref="D66:Q66" si="19">+SUM(D55:D64)</f>
        <v>0</v>
      </c>
      <c r="E66" s="301">
        <f t="shared" si="19"/>
        <v>0</v>
      </c>
      <c r="F66" s="301">
        <f t="shared" si="19"/>
        <v>0</v>
      </c>
      <c r="G66" s="301">
        <f t="shared" si="19"/>
        <v>0</v>
      </c>
      <c r="H66" s="301">
        <f t="shared" si="19"/>
        <v>0</v>
      </c>
      <c r="I66" s="301">
        <f t="shared" si="19"/>
        <v>0</v>
      </c>
      <c r="J66" s="301">
        <f t="shared" si="19"/>
        <v>0</v>
      </c>
      <c r="K66" s="301">
        <f t="shared" si="19"/>
        <v>0</v>
      </c>
      <c r="L66" s="301">
        <f t="shared" si="19"/>
        <v>0</v>
      </c>
      <c r="M66" s="302">
        <f t="shared" si="19"/>
        <v>0</v>
      </c>
      <c r="N66" s="317"/>
      <c r="O66" s="317"/>
      <c r="P66" s="317"/>
      <c r="Q66" s="303">
        <f t="shared" si="19"/>
        <v>0</v>
      </c>
    </row>
    <row r="67" spans="3:17" x14ac:dyDescent="0.25">
      <c r="C67" s="304" t="s">
        <v>119</v>
      </c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5"/>
      <c r="Q67" s="305">
        <f>+SUM(E67:M67)</f>
        <v>0</v>
      </c>
    </row>
    <row r="68" spans="3:17" x14ac:dyDescent="0.25">
      <c r="C68" s="304" t="s">
        <v>114</v>
      </c>
      <c r="D68" s="305"/>
      <c r="E68" s="305">
        <f>+E66-E67</f>
        <v>0</v>
      </c>
      <c r="F68" s="305">
        <f t="shared" ref="F68:M68" si="20">+F66-F67</f>
        <v>0</v>
      </c>
      <c r="G68" s="305">
        <f t="shared" si="20"/>
        <v>0</v>
      </c>
      <c r="H68" s="305">
        <f t="shared" si="20"/>
        <v>0</v>
      </c>
      <c r="I68" s="305">
        <f t="shared" si="20"/>
        <v>0</v>
      </c>
      <c r="J68" s="305">
        <f t="shared" si="20"/>
        <v>0</v>
      </c>
      <c r="K68" s="305">
        <f t="shared" si="20"/>
        <v>0</v>
      </c>
      <c r="L68" s="305">
        <f t="shared" si="20"/>
        <v>0</v>
      </c>
      <c r="M68" s="305">
        <f t="shared" si="20"/>
        <v>0</v>
      </c>
      <c r="N68" s="305"/>
      <c r="O68" s="305"/>
      <c r="P68" s="305"/>
      <c r="Q68" s="305">
        <f>+SUM(E68:M68)</f>
        <v>0</v>
      </c>
    </row>
    <row r="69" spans="3:17" ht="16.5" thickBot="1" x14ac:dyDescent="0.3">
      <c r="E69" s="308"/>
      <c r="F69" s="308"/>
    </row>
    <row r="70" spans="3:17" ht="17.25" thickTop="1" thickBot="1" x14ac:dyDescent="0.3">
      <c r="C70" s="297" t="s">
        <v>47</v>
      </c>
      <c r="D70" s="298"/>
      <c r="E70" s="298" t="s">
        <v>105</v>
      </c>
      <c r="F70" s="298" t="s">
        <v>106</v>
      </c>
      <c r="G70" s="298" t="s">
        <v>107</v>
      </c>
    </row>
    <row r="71" spans="3:17" ht="16.5" thickTop="1" x14ac:dyDescent="0.25">
      <c r="C71" s="351" t="s">
        <v>161</v>
      </c>
      <c r="D71" s="104"/>
      <c r="E71" s="105">
        <f>GARDERIE!J8+SUM(GARDERIE!AQ8:AY8)</f>
        <v>8</v>
      </c>
      <c r="F71" s="106">
        <f>+GARDERIE!K8</f>
        <v>0</v>
      </c>
      <c r="G71" s="106">
        <f>+GARDERIE!L8</f>
        <v>0</v>
      </c>
    </row>
    <row r="72" spans="3:17" x14ac:dyDescent="0.25">
      <c r="C72" s="351" t="s">
        <v>162</v>
      </c>
      <c r="D72" s="104"/>
      <c r="E72" s="107">
        <f>PS!J8+SUM(PS!AQ8:AY8)</f>
        <v>8</v>
      </c>
      <c r="F72" s="108">
        <f>+PS!K8</f>
        <v>0</v>
      </c>
      <c r="G72" s="108">
        <f>+PS!L8</f>
        <v>0</v>
      </c>
    </row>
    <row r="73" spans="3:17" x14ac:dyDescent="0.25">
      <c r="C73" s="351" t="s">
        <v>7</v>
      </c>
      <c r="D73" s="104"/>
      <c r="E73" s="107">
        <f>+MS!J8+SUM(MS!AQ8:AY8)</f>
        <v>0</v>
      </c>
      <c r="F73" s="108">
        <f>+MS!K8</f>
        <v>0</v>
      </c>
      <c r="G73" s="108">
        <f>+MS!L9</f>
        <v>0</v>
      </c>
    </row>
    <row r="74" spans="3:17" x14ac:dyDescent="0.25">
      <c r="C74" s="351" t="s">
        <v>55</v>
      </c>
      <c r="D74" s="104"/>
      <c r="E74" s="107">
        <f>+GS!J8+SUM(GS!AQ8:AY8)</f>
        <v>0</v>
      </c>
      <c r="F74" s="108">
        <f>+GS!K8</f>
        <v>0</v>
      </c>
      <c r="G74" s="108">
        <f>+GS!L9</f>
        <v>0</v>
      </c>
    </row>
    <row r="75" spans="3:17" x14ac:dyDescent="0.25">
      <c r="C75" s="351" t="s">
        <v>155</v>
      </c>
      <c r="D75" s="104"/>
      <c r="E75" s="107">
        <f>+SUM(CI!AQ8:AY8)+CI!J8</f>
        <v>0</v>
      </c>
      <c r="F75" s="108">
        <f>+CI!K8</f>
        <v>0</v>
      </c>
      <c r="G75" s="108">
        <f>+CI!L8</f>
        <v>0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</row>
    <row r="76" spans="3:17" x14ac:dyDescent="0.25">
      <c r="C76" s="351" t="s">
        <v>156</v>
      </c>
      <c r="D76" s="104"/>
      <c r="E76" s="107">
        <f>+SUM(CP!AQ8:AY8)+CP!J8</f>
        <v>0</v>
      </c>
      <c r="F76" s="108">
        <f>+CP!K8</f>
        <v>0</v>
      </c>
      <c r="G76" s="108">
        <f>+CP!L8</f>
        <v>0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</row>
    <row r="77" spans="3:17" x14ac:dyDescent="0.25">
      <c r="C77" s="351" t="s">
        <v>157</v>
      </c>
      <c r="D77" s="104"/>
      <c r="E77" s="107">
        <f>+SUM('CE1'!AQ8:AY8)+'CE1'!J8</f>
        <v>0</v>
      </c>
      <c r="F77" s="108">
        <f>+'CE1'!K8</f>
        <v>0</v>
      </c>
      <c r="G77" s="108">
        <f>+'CE1'!L8</f>
        <v>0</v>
      </c>
      <c r="H77" s="71"/>
      <c r="I77" s="71"/>
      <c r="J77" s="71"/>
      <c r="K77" s="71"/>
      <c r="L77" s="71"/>
      <c r="M77" s="71"/>
      <c r="N77" s="71"/>
      <c r="O77" s="71"/>
      <c r="P77" s="71"/>
      <c r="Q77" s="71"/>
    </row>
    <row r="78" spans="3:17" x14ac:dyDescent="0.25">
      <c r="C78" s="351" t="s">
        <v>158</v>
      </c>
      <c r="D78" s="104"/>
      <c r="E78" s="107">
        <f>+SUM('CE2'!AQ8:AY8)+'CE2'!J8</f>
        <v>0</v>
      </c>
      <c r="F78" s="108">
        <f>+'CE2'!K8</f>
        <v>0</v>
      </c>
      <c r="G78" s="108">
        <f>+'CE2'!L8</f>
        <v>0</v>
      </c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spans="3:17" x14ac:dyDescent="0.25">
      <c r="C79" s="351" t="s">
        <v>159</v>
      </c>
      <c r="D79" s="104"/>
      <c r="E79" s="107">
        <f>+SUM('CM1'!AQ8:AY8)+'CM1'!J8</f>
        <v>0</v>
      </c>
      <c r="F79" s="108">
        <f>+'CM1'!K8</f>
        <v>0</v>
      </c>
      <c r="G79" s="108">
        <f>+'CM1'!L8</f>
        <v>0</v>
      </c>
      <c r="H79" s="71"/>
      <c r="I79" s="71"/>
      <c r="J79" s="71"/>
      <c r="K79" s="71"/>
      <c r="L79" s="71"/>
      <c r="M79" s="71"/>
      <c r="N79" s="71"/>
      <c r="O79" s="71"/>
      <c r="P79" s="71"/>
      <c r="Q79" s="71"/>
    </row>
    <row r="80" spans="3:17" x14ac:dyDescent="0.25">
      <c r="C80" s="351" t="s">
        <v>160</v>
      </c>
      <c r="D80" s="104"/>
      <c r="E80" s="107">
        <f>+SUM('CM2'!AQ8)+'CM2'!J8</f>
        <v>0</v>
      </c>
      <c r="F80" s="108">
        <f>+'CM2'!K8</f>
        <v>0</v>
      </c>
      <c r="G80" s="108">
        <f>+'CM2'!L8</f>
        <v>0</v>
      </c>
      <c r="H80" s="71"/>
      <c r="I80" s="71"/>
      <c r="J80" s="71"/>
      <c r="K80" s="71"/>
      <c r="L80" s="71"/>
      <c r="M80" s="71"/>
      <c r="N80" s="71"/>
      <c r="O80" s="71"/>
      <c r="P80" s="71"/>
      <c r="Q80" s="71"/>
    </row>
    <row r="81" spans="3:17" x14ac:dyDescent="0.25">
      <c r="C81" s="103"/>
      <c r="D81" s="104"/>
      <c r="E81" s="311"/>
      <c r="F81" s="312"/>
      <c r="G81" s="312"/>
      <c r="H81" s="299"/>
      <c r="I81" s="309"/>
      <c r="J81" s="309"/>
      <c r="K81" s="309"/>
      <c r="L81" s="309"/>
      <c r="M81" s="309"/>
      <c r="N81" s="309"/>
      <c r="O81" s="309"/>
      <c r="P81" s="309"/>
      <c r="Q81" s="309"/>
    </row>
    <row r="82" spans="3:17" x14ac:dyDescent="0.25">
      <c r="C82" s="300" t="s">
        <v>112</v>
      </c>
      <c r="D82" s="301">
        <f>+SUM(D71:D80)</f>
        <v>0</v>
      </c>
      <c r="E82" s="301">
        <f>+SUM(E71:E80)</f>
        <v>16</v>
      </c>
      <c r="F82" s="301">
        <f>+SUM(F71:F80)</f>
        <v>0</v>
      </c>
      <c r="G82" s="301">
        <f>+SUM(G71:G80)</f>
        <v>0</v>
      </c>
    </row>
    <row r="83" spans="3:17" x14ac:dyDescent="0.25">
      <c r="C83" s="304" t="s">
        <v>115</v>
      </c>
      <c r="D83" s="305"/>
      <c r="E83" s="305">
        <v>50000</v>
      </c>
      <c r="F83" s="305">
        <v>40000</v>
      </c>
      <c r="G83" s="305">
        <f>G82</f>
        <v>0</v>
      </c>
    </row>
    <row r="84" spans="3:17" x14ac:dyDescent="0.25">
      <c r="C84" s="304" t="s">
        <v>114</v>
      </c>
      <c r="D84" s="305"/>
      <c r="E84" s="305">
        <f>+E82-E83</f>
        <v>-49984</v>
      </c>
      <c r="F84" s="305">
        <f>+F82-F83</f>
        <v>-40000</v>
      </c>
      <c r="G84" s="305">
        <f>+G82-G83</f>
        <v>0</v>
      </c>
    </row>
  </sheetData>
  <mergeCells count="6">
    <mergeCell ref="E3:M3"/>
    <mergeCell ref="Q3:Q4"/>
    <mergeCell ref="E36:M36"/>
    <mergeCell ref="Q36:Q37"/>
    <mergeCell ref="E53:M53"/>
    <mergeCell ref="Q53:Q54"/>
  </mergeCells>
  <pageMargins left="0.7" right="0.7" top="0.75" bottom="0.75" header="0.3" footer="0.3"/>
  <pageSetup paperSize="9" scale="41" orientation="portrait" horizontalDpi="300" r:id="rId1"/>
  <ignoredErrors>
    <ignoredError sqref="F16:O16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C00000"/>
  </sheetPr>
  <dimension ref="B3:AQ58"/>
  <sheetViews>
    <sheetView showGridLines="0" showRowColHeaders="0" view="pageBreakPreview" topLeftCell="A2" zoomScale="90" zoomScaleNormal="100" zoomScaleSheetLayoutView="90" workbookViewId="0">
      <pane xSplit="4" ySplit="9" topLeftCell="E11" activePane="bottomRight" state="frozen"/>
      <selection activeCell="A2" sqref="A2"/>
      <selection pane="topRight" activeCell="E2" sqref="E2"/>
      <selection pane="bottomLeft" activeCell="A11" sqref="A11"/>
      <selection pane="bottomRight" activeCell="E13" sqref="E13"/>
    </sheetView>
  </sheetViews>
  <sheetFormatPr baseColWidth="10" defaultColWidth="10.5" defaultRowHeight="12" x14ac:dyDescent="0.2"/>
  <cols>
    <col min="1" max="1" width="1.375" style="81" customWidth="1"/>
    <col min="2" max="2" width="2.625" style="81" customWidth="1"/>
    <col min="3" max="3" width="48.125" style="81" customWidth="1"/>
    <col min="4" max="4" width="0.625" style="161" customWidth="1"/>
    <col min="5" max="5" width="11.625" style="81" customWidth="1"/>
    <col min="6" max="18" width="10.625" style="81" customWidth="1"/>
    <col min="19" max="19" width="2.625" style="161" customWidth="1"/>
    <col min="20" max="20" width="14.875" style="263" bestFit="1" customWidth="1"/>
    <col min="21" max="21" width="7.75" style="161" customWidth="1"/>
    <col min="22" max="22" width="43.125" style="190" customWidth="1"/>
    <col min="23" max="23" width="2.875" style="81" customWidth="1"/>
    <col min="24" max="24" width="8.625" style="81" customWidth="1"/>
    <col min="25" max="25" width="7.125" style="81" bestFit="1" customWidth="1"/>
    <col min="26" max="16384" width="10.5" style="81"/>
  </cols>
  <sheetData>
    <row r="3" spans="3:43" ht="28.5" customHeight="1" x14ac:dyDescent="0.2">
      <c r="C3" s="165"/>
      <c r="D3" s="165"/>
      <c r="E3" s="177" t="s">
        <v>135</v>
      </c>
    </row>
    <row r="4" spans="3:43" ht="24" customHeight="1" x14ac:dyDescent="0.2">
      <c r="C4" s="140"/>
      <c r="D4" s="140"/>
      <c r="E4" s="377" t="str">
        <f ca="1">"AU "&amp;TEXT(TODAY(),"jj/mm/aaaa")</f>
        <v>AU 14/10/2025</v>
      </c>
      <c r="F4" s="377"/>
      <c r="G4" s="377"/>
      <c r="H4" s="377"/>
      <c r="I4" s="377"/>
    </row>
    <row r="5" spans="3:43" ht="18.600000000000001" customHeight="1" x14ac:dyDescent="0.2">
      <c r="C5" s="140"/>
      <c r="D5" s="140"/>
      <c r="E5" s="141"/>
      <c r="F5" s="199"/>
    </row>
    <row r="6" spans="3:43" ht="18.600000000000001" customHeight="1" x14ac:dyDescent="0.2">
      <c r="E6" s="181"/>
    </row>
    <row r="7" spans="3:43" ht="7.5" customHeight="1" x14ac:dyDescent="0.2"/>
    <row r="8" spans="3:43" ht="3" customHeight="1" thickBot="1" x14ac:dyDescent="0.25">
      <c r="C8" s="85"/>
      <c r="D8" s="162"/>
      <c r="E8" s="125">
        <v>45961</v>
      </c>
      <c r="F8" s="125">
        <v>45991</v>
      </c>
      <c r="G8" s="125">
        <v>46022</v>
      </c>
      <c r="H8" s="125">
        <v>46053</v>
      </c>
      <c r="I8" s="125">
        <v>46081</v>
      </c>
      <c r="J8" s="125">
        <v>46112</v>
      </c>
      <c r="K8" s="125">
        <v>46142</v>
      </c>
      <c r="L8" s="125">
        <v>46173</v>
      </c>
      <c r="M8" s="125">
        <v>46203</v>
      </c>
      <c r="N8" s="125">
        <v>46234</v>
      </c>
      <c r="O8" s="125">
        <v>46265</v>
      </c>
      <c r="P8" s="125">
        <v>46295</v>
      </c>
      <c r="Q8" s="85"/>
      <c r="R8" s="85"/>
      <c r="S8" s="162"/>
      <c r="T8" s="162"/>
      <c r="U8" s="162"/>
      <c r="V8" s="191"/>
      <c r="Y8" s="82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</row>
    <row r="9" spans="3:43" s="143" customFormat="1" ht="20.100000000000001" customHeight="1" thickTop="1" x14ac:dyDescent="0.2">
      <c r="C9" s="220" t="s">
        <v>1</v>
      </c>
      <c r="D9" s="173"/>
      <c r="E9" s="229">
        <v>45961</v>
      </c>
      <c r="F9" s="229">
        <v>45991</v>
      </c>
      <c r="G9" s="229">
        <v>46022</v>
      </c>
      <c r="H9" s="229">
        <v>46053</v>
      </c>
      <c r="I9" s="229">
        <v>46081</v>
      </c>
      <c r="J9" s="229">
        <v>46112</v>
      </c>
      <c r="K9" s="229">
        <v>46142</v>
      </c>
      <c r="L9" s="229">
        <v>46173</v>
      </c>
      <c r="M9" s="229">
        <v>46203</v>
      </c>
      <c r="N9" s="229">
        <v>46234</v>
      </c>
      <c r="O9" s="229">
        <v>46265</v>
      </c>
      <c r="P9" s="229">
        <v>46295</v>
      </c>
      <c r="Q9" s="229" t="s">
        <v>118</v>
      </c>
      <c r="R9" s="230" t="s">
        <v>54</v>
      </c>
      <c r="S9" s="160"/>
      <c r="T9" s="264"/>
      <c r="U9" s="160"/>
      <c r="V9" s="192"/>
      <c r="Y9" s="150"/>
    </row>
    <row r="10" spans="3:43" s="143" customFormat="1" ht="0.95" customHeight="1" x14ac:dyDescent="0.2">
      <c r="C10" s="221"/>
      <c r="D10" s="173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6"/>
      <c r="S10" s="160"/>
      <c r="T10" s="264"/>
      <c r="U10" s="160"/>
      <c r="V10" s="192"/>
      <c r="Y10" s="150"/>
    </row>
    <row r="11" spans="3:43" s="143" customFormat="1" ht="12.75" x14ac:dyDescent="0.2">
      <c r="C11" s="222"/>
      <c r="D11" s="174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231" t="str">
        <f>+IFERROR(Q11/$Q$16,"")</f>
        <v/>
      </c>
      <c r="S11" s="166"/>
      <c r="T11" s="265"/>
      <c r="U11" s="166"/>
      <c r="V11" s="193"/>
      <c r="W11" s="142"/>
    </row>
    <row r="12" spans="3:43" s="143" customFormat="1" ht="12.75" x14ac:dyDescent="0.2">
      <c r="C12" s="223" t="s">
        <v>69</v>
      </c>
      <c r="D12" s="172"/>
      <c r="E12" s="178">
        <f>+ENCAIS!E16</f>
        <v>0</v>
      </c>
      <c r="F12" s="178">
        <f>+ENCAIS!F16</f>
        <v>0</v>
      </c>
      <c r="G12" s="178">
        <f>+ENCAIS!G16</f>
        <v>0</v>
      </c>
      <c r="H12" s="178">
        <f>+ENCAIS!H16</f>
        <v>0</v>
      </c>
      <c r="I12" s="178">
        <f>+ENCAIS!I16</f>
        <v>0</v>
      </c>
      <c r="J12" s="178">
        <f>+ENCAIS!J16</f>
        <v>0</v>
      </c>
      <c r="K12" s="178">
        <f>+ENCAIS!K16</f>
        <v>0</v>
      </c>
      <c r="L12" s="178">
        <f>+ENCAIS!L16</f>
        <v>0</v>
      </c>
      <c r="M12" s="178">
        <f>+ENCAIS!M16</f>
        <v>0</v>
      </c>
      <c r="N12" s="178">
        <f>+ENCAIS!N16</f>
        <v>0</v>
      </c>
      <c r="O12" s="178">
        <f>+ENCAIS!O16</f>
        <v>0</v>
      </c>
      <c r="P12" s="178">
        <f>+ENCAIS!P16</f>
        <v>0</v>
      </c>
      <c r="Q12" s="178">
        <f>+SUM(E12:O12)</f>
        <v>0</v>
      </c>
      <c r="R12" s="231" t="str">
        <f t="shared" ref="R12:R14" si="0">+IFERROR(Q12/$Q$16,"")</f>
        <v/>
      </c>
      <c r="S12" s="166"/>
      <c r="T12" s="265"/>
      <c r="U12" s="166"/>
      <c r="V12" s="193"/>
      <c r="W12" s="142"/>
    </row>
    <row r="13" spans="3:43" s="143" customFormat="1" ht="12.75" x14ac:dyDescent="0.2">
      <c r="C13" s="222" t="s">
        <v>70</v>
      </c>
      <c r="D13" s="174"/>
      <c r="E13" s="179">
        <f>+ENCAIS!E28</f>
        <v>0</v>
      </c>
      <c r="F13" s="179">
        <f>+ENCAIS!F28</f>
        <v>0</v>
      </c>
      <c r="G13" s="179">
        <f>+ENCAIS!G28</f>
        <v>0</v>
      </c>
      <c r="H13" s="179">
        <f>+ENCAIS!H28</f>
        <v>0</v>
      </c>
      <c r="I13" s="179">
        <f>+ENCAIS!I28</f>
        <v>0</v>
      </c>
      <c r="J13" s="179">
        <f>+ENCAIS!J28</f>
        <v>0</v>
      </c>
      <c r="K13" s="179">
        <f>+ENCAIS!K28</f>
        <v>0</v>
      </c>
      <c r="L13" s="179">
        <f>+ENCAIS!L28</f>
        <v>0</v>
      </c>
      <c r="M13" s="179">
        <f>+ENCAIS!M28</f>
        <v>0</v>
      </c>
      <c r="N13" s="179">
        <f>+ENCAIS!N28</f>
        <v>0</v>
      </c>
      <c r="O13" s="179">
        <f>+ENCAIS!O28</f>
        <v>0</v>
      </c>
      <c r="P13" s="179">
        <f>+ENCAIS!P28</f>
        <v>0</v>
      </c>
      <c r="Q13" s="179">
        <f>+SUM(E13:O13)</f>
        <v>0</v>
      </c>
      <c r="R13" s="231" t="str">
        <f t="shared" si="0"/>
        <v/>
      </c>
      <c r="S13" s="167"/>
      <c r="T13" s="266"/>
      <c r="U13" s="167"/>
      <c r="V13" s="193"/>
      <c r="W13" s="142"/>
      <c r="X13" s="144"/>
    </row>
    <row r="14" spans="3:43" s="143" customFormat="1" ht="12.75" x14ac:dyDescent="0.2">
      <c r="C14" s="222" t="s">
        <v>91</v>
      </c>
      <c r="D14" s="174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231" t="str">
        <f t="shared" si="0"/>
        <v/>
      </c>
      <c r="S14" s="168"/>
      <c r="T14" s="267"/>
      <c r="U14" s="168"/>
      <c r="V14" s="193"/>
      <c r="W14" s="142"/>
      <c r="Y14" s="145"/>
    </row>
    <row r="15" spans="3:43" s="143" customFormat="1" ht="6.95" customHeight="1" x14ac:dyDescent="0.2">
      <c r="C15" s="221"/>
      <c r="D15" s="173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232"/>
      <c r="S15" s="168"/>
      <c r="T15" s="267"/>
      <c r="U15" s="168"/>
      <c r="V15" s="193"/>
      <c r="W15" s="142"/>
      <c r="Y15" s="145"/>
    </row>
    <row r="16" spans="3:43" s="143" customFormat="1" ht="20.100000000000001" customHeight="1" x14ac:dyDescent="0.2">
      <c r="C16" s="224" t="s">
        <v>92</v>
      </c>
      <c r="D16" s="175"/>
      <c r="E16" s="182">
        <f>+SUM(E11:E15)</f>
        <v>0</v>
      </c>
      <c r="F16" s="169">
        <f t="shared" ref="F16:Q16" si="1">+SUM(F11:F15)</f>
        <v>0</v>
      </c>
      <c r="G16" s="169">
        <f t="shared" si="1"/>
        <v>0</v>
      </c>
      <c r="H16" s="169">
        <f t="shared" si="1"/>
        <v>0</v>
      </c>
      <c r="I16" s="169">
        <f t="shared" si="1"/>
        <v>0</v>
      </c>
      <c r="J16" s="169">
        <f t="shared" si="1"/>
        <v>0</v>
      </c>
      <c r="K16" s="169">
        <f t="shared" si="1"/>
        <v>0</v>
      </c>
      <c r="L16" s="169">
        <f t="shared" si="1"/>
        <v>0</v>
      </c>
      <c r="M16" s="169">
        <f t="shared" si="1"/>
        <v>0</v>
      </c>
      <c r="N16" s="169">
        <f t="shared" si="1"/>
        <v>0</v>
      </c>
      <c r="O16" s="169">
        <f>+SUM(O11:O15)</f>
        <v>0</v>
      </c>
      <c r="P16" s="169">
        <f t="shared" si="1"/>
        <v>0</v>
      </c>
      <c r="Q16" s="169">
        <f t="shared" si="1"/>
        <v>0</v>
      </c>
      <c r="R16" s="233">
        <f>+SUM(R11:R13)</f>
        <v>0</v>
      </c>
      <c r="S16" s="168"/>
      <c r="T16" s="267"/>
      <c r="U16" s="168"/>
      <c r="V16" s="193"/>
      <c r="W16" s="142"/>
      <c r="Y16" s="145"/>
    </row>
    <row r="17" spans="3:25" s="143" customFormat="1" ht="0.95" customHeight="1" x14ac:dyDescent="0.2">
      <c r="C17" s="225"/>
      <c r="D17" s="176"/>
      <c r="E17" s="183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234"/>
      <c r="S17" s="168"/>
      <c r="T17" s="267"/>
      <c r="U17" s="168"/>
      <c r="V17" s="193"/>
      <c r="W17" s="142"/>
      <c r="Y17" s="145"/>
    </row>
    <row r="18" spans="3:25" s="143" customFormat="1" ht="12.75" x14ac:dyDescent="0.2">
      <c r="C18" s="222" t="s">
        <v>68</v>
      </c>
      <c r="D18" s="174"/>
      <c r="E18" s="180">
        <f>+SUMIFS(DEPENSES!$H:$H,DEPENSES!$J:$J,'Rapport Bilan'!$C18,DEPENSES!$B:$B,'Rapport Bilan'!E$8)</f>
        <v>0</v>
      </c>
      <c r="F18" s="180">
        <f>+SUMIFS(DEPENSES!$H:$H,DEPENSES!$J:$J,'Rapport Bilan'!$C18,DEPENSES!$B:$B,'Rapport Bilan'!F$8)</f>
        <v>0</v>
      </c>
      <c r="G18" s="180">
        <f>+SUMIFS(DEPENSES!$H:$H,DEPENSES!$J:$J,'Rapport Bilan'!$C18,DEPENSES!$B:$B,'Rapport Bilan'!G$8)</f>
        <v>0</v>
      </c>
      <c r="H18" s="180">
        <f>+SUMIFS(DEPENSES!$H:$H,DEPENSES!$J:$J,'Rapport Bilan'!$C18,DEPENSES!$B:$B,'Rapport Bilan'!H$8)</f>
        <v>0</v>
      </c>
      <c r="I18" s="180">
        <f>+SUMIFS(DEPENSES!$H:$H,DEPENSES!$J:$J,'Rapport Bilan'!$C18,DEPENSES!$B:$B,'Rapport Bilan'!I$8)</f>
        <v>0</v>
      </c>
      <c r="J18" s="180">
        <f>+SUMIFS(DEPENSES!$H:$H,DEPENSES!$J:$J,'Rapport Bilan'!$C18,DEPENSES!$B:$B,'Rapport Bilan'!J$8)</f>
        <v>0</v>
      </c>
      <c r="K18" s="180">
        <f>+SUMIFS(DEPENSES!$H:$H,DEPENSES!$J:$J,'Rapport Bilan'!$C18,DEPENSES!$B:$B,'Rapport Bilan'!K$8)</f>
        <v>0</v>
      </c>
      <c r="L18" s="180">
        <f>+SUMIFS(DEPENSES!$H:$H,DEPENSES!$J:$J,'Rapport Bilan'!$C18,DEPENSES!$B:$B,'Rapport Bilan'!L$8)</f>
        <v>0</v>
      </c>
      <c r="M18" s="180">
        <f>+SUMIFS(DEPENSES!$H:$H,DEPENSES!$J:$J,'Rapport Bilan'!$C18,DEPENSES!$B:$B,'Rapport Bilan'!M$8)</f>
        <v>0</v>
      </c>
      <c r="N18" s="180">
        <f>+SUMIFS(DEPENSES!$H:$H,DEPENSES!$J:$J,'Rapport Bilan'!$C18,DEPENSES!$B:$B,'Rapport Bilan'!N$8)</f>
        <v>0</v>
      </c>
      <c r="O18" s="180">
        <f>+SUMIFS(DEPENSES!$H:$H,DEPENSES!$J:$J,'Rapport Bilan'!$C18,DEPENSES!$B:$B,'Rapport Bilan'!O$8)</f>
        <v>0</v>
      </c>
      <c r="P18" s="180">
        <f>+SUMIFS(DEPENSES!$H:$H,DEPENSES!$J:$J,'Rapport Bilan'!$C18,DEPENSES!$B:$B,'Rapport Bilan'!P$8)</f>
        <v>0</v>
      </c>
      <c r="Q18" s="180">
        <f t="shared" ref="Q18:Q34" si="2">+SUM(E18:O18)</f>
        <v>0</v>
      </c>
      <c r="R18" s="231" t="str">
        <f>+IFERROR(Q18/$Q$35,"")</f>
        <v/>
      </c>
      <c r="S18" s="168"/>
      <c r="T18" s="267"/>
      <c r="U18" s="168"/>
      <c r="V18" s="193"/>
      <c r="W18" s="142"/>
      <c r="Y18" s="145"/>
    </row>
    <row r="19" spans="3:25" s="143" customFormat="1" ht="12.75" x14ac:dyDescent="0.2">
      <c r="C19" s="222" t="s">
        <v>5</v>
      </c>
      <c r="D19" s="174"/>
      <c r="E19" s="180">
        <f>+SUMIFS(DEPENSES!$H:$H,DEPENSES!$J:$J,'Rapport Bilan'!$C19,DEPENSES!$B:$B,'Rapport Bilan'!E$8)</f>
        <v>0</v>
      </c>
      <c r="F19" s="180">
        <f>+SUMIFS(DEPENSES!$H:$H,DEPENSES!$J:$J,'Rapport Bilan'!$C19,DEPENSES!$B:$B,'Rapport Bilan'!F$8)</f>
        <v>0</v>
      </c>
      <c r="G19" s="180">
        <f>+SUMIFS(DEPENSES!$H:$H,DEPENSES!$J:$J,'Rapport Bilan'!$C19,DEPENSES!$B:$B,'Rapport Bilan'!G$8)</f>
        <v>0</v>
      </c>
      <c r="H19" s="180">
        <f>+SUMIFS(DEPENSES!$H:$H,DEPENSES!$J:$J,'Rapport Bilan'!$C19,DEPENSES!$B:$B,'Rapport Bilan'!H$8)</f>
        <v>0</v>
      </c>
      <c r="I19" s="180">
        <f>+SUMIFS(DEPENSES!$H:$H,DEPENSES!$J:$J,'Rapport Bilan'!$C19,DEPENSES!$B:$B,'Rapport Bilan'!I$8)</f>
        <v>0</v>
      </c>
      <c r="J19" s="180">
        <f>+SUMIFS(DEPENSES!$H:$H,DEPENSES!$J:$J,'Rapport Bilan'!$C19,DEPENSES!$B:$B,'Rapport Bilan'!J$8)</f>
        <v>0</v>
      </c>
      <c r="K19" s="180">
        <f>+SUMIFS(DEPENSES!$H:$H,DEPENSES!$J:$J,'Rapport Bilan'!$C19,DEPENSES!$B:$B,'Rapport Bilan'!K$8)</f>
        <v>0</v>
      </c>
      <c r="L19" s="180">
        <f>+SUMIFS(DEPENSES!$H:$H,DEPENSES!$J:$J,'Rapport Bilan'!$C19,DEPENSES!$B:$B,'Rapport Bilan'!L$8)</f>
        <v>0</v>
      </c>
      <c r="M19" s="180">
        <f>+SUMIFS(DEPENSES!$H:$H,DEPENSES!$J:$J,'Rapport Bilan'!$C19,DEPENSES!$B:$B,'Rapport Bilan'!M$8)</f>
        <v>0</v>
      </c>
      <c r="N19" s="180">
        <f>+SUMIFS(DEPENSES!$H:$H,DEPENSES!$J:$J,'Rapport Bilan'!$C19,DEPENSES!$B:$B,'Rapport Bilan'!N$8)</f>
        <v>0</v>
      </c>
      <c r="O19" s="180">
        <f>+SUMIFS(DEPENSES!$H:$H,DEPENSES!$J:$J,'Rapport Bilan'!$C19,DEPENSES!$B:$B,'Rapport Bilan'!O$8)</f>
        <v>0</v>
      </c>
      <c r="P19" s="180">
        <f>+SUMIFS(DEPENSES!$H:$H,DEPENSES!$J:$J,'Rapport Bilan'!$C19,DEPENSES!$B:$B,'Rapport Bilan'!P$8)</f>
        <v>0</v>
      </c>
      <c r="Q19" s="180">
        <f t="shared" si="2"/>
        <v>0</v>
      </c>
      <c r="R19" s="231" t="str">
        <f t="shared" ref="R19:R34" si="3">+IFERROR(Q19/$Q$35,"")</f>
        <v/>
      </c>
      <c r="S19" s="168"/>
      <c r="T19" s="267"/>
      <c r="U19" s="168"/>
      <c r="V19" s="193"/>
      <c r="W19" s="142"/>
      <c r="Y19" s="145"/>
    </row>
    <row r="20" spans="3:25" s="143" customFormat="1" ht="12.75" x14ac:dyDescent="0.2">
      <c r="C20" s="222" t="s">
        <v>64</v>
      </c>
      <c r="D20" s="174"/>
      <c r="E20" s="180">
        <f>+SUMIFS(DEPENSES!$H:$H,DEPENSES!$J:$J,'Rapport Bilan'!$C20,DEPENSES!$B:$B,'Rapport Bilan'!E$8)</f>
        <v>0</v>
      </c>
      <c r="F20" s="180">
        <f>+SUMIFS(DEPENSES!$H:$H,DEPENSES!$J:$J,'Rapport Bilan'!$C20,DEPENSES!$B:$B,'Rapport Bilan'!F$8)</f>
        <v>0</v>
      </c>
      <c r="G20" s="180">
        <f>+SUMIFS(DEPENSES!$H:$H,DEPENSES!$J:$J,'Rapport Bilan'!$C20,DEPENSES!$B:$B,'Rapport Bilan'!G$8)</f>
        <v>0</v>
      </c>
      <c r="H20" s="180">
        <f>+SUMIFS(DEPENSES!$H:$H,DEPENSES!$J:$J,'Rapport Bilan'!$C20,DEPENSES!$B:$B,'Rapport Bilan'!H$8)</f>
        <v>0</v>
      </c>
      <c r="I20" s="180">
        <f>+SUMIFS(DEPENSES!$H:$H,DEPENSES!$J:$J,'Rapport Bilan'!$C20,DEPENSES!$B:$B,'Rapport Bilan'!I$8)</f>
        <v>0</v>
      </c>
      <c r="J20" s="180">
        <f>+SUMIFS(DEPENSES!$H:$H,DEPENSES!$J:$J,'Rapport Bilan'!$C20,DEPENSES!$B:$B,'Rapport Bilan'!J$8)</f>
        <v>0</v>
      </c>
      <c r="K20" s="180">
        <f>+SUMIFS(DEPENSES!$H:$H,DEPENSES!$J:$J,'Rapport Bilan'!$C20,DEPENSES!$B:$B,'Rapport Bilan'!K$8)</f>
        <v>0</v>
      </c>
      <c r="L20" s="180">
        <f>+SUMIFS(DEPENSES!$H:$H,DEPENSES!$J:$J,'Rapport Bilan'!$C20,DEPENSES!$B:$B,'Rapport Bilan'!L$8)</f>
        <v>0</v>
      </c>
      <c r="M20" s="180">
        <f>+SUMIFS(DEPENSES!$H:$H,DEPENSES!$J:$J,'Rapport Bilan'!$C20,DEPENSES!$B:$B,'Rapport Bilan'!M$8)</f>
        <v>0</v>
      </c>
      <c r="N20" s="180">
        <f>+SUMIFS(DEPENSES!$H:$H,DEPENSES!$J:$J,'Rapport Bilan'!$C20,DEPENSES!$B:$B,'Rapport Bilan'!N$8)</f>
        <v>0</v>
      </c>
      <c r="O20" s="180">
        <f>+SUMIFS(DEPENSES!$H:$H,DEPENSES!$J:$J,'Rapport Bilan'!$C20,DEPENSES!$B:$B,'Rapport Bilan'!O$8)</f>
        <v>0</v>
      </c>
      <c r="P20" s="180">
        <f>+SUMIFS(DEPENSES!$H:$H,DEPENSES!$J:$J,'Rapport Bilan'!$C20,DEPENSES!$B:$B,'Rapport Bilan'!P$8)</f>
        <v>0</v>
      </c>
      <c r="Q20" s="180">
        <f t="shared" si="2"/>
        <v>0</v>
      </c>
      <c r="R20" s="231" t="str">
        <f t="shared" si="3"/>
        <v/>
      </c>
      <c r="S20" s="168"/>
      <c r="T20" s="267"/>
      <c r="U20" s="168"/>
      <c r="V20" s="193"/>
      <c r="W20" s="142"/>
      <c r="Y20" s="145"/>
    </row>
    <row r="21" spans="3:25" s="143" customFormat="1" ht="12.75" x14ac:dyDescent="0.2">
      <c r="C21" s="222" t="s">
        <v>72</v>
      </c>
      <c r="D21" s="174"/>
      <c r="E21" s="180">
        <f>+SUMIFS(DEPENSES!$H:$H,DEPENSES!$J:$J,'Rapport Bilan'!$C21,DEPENSES!$B:$B,'Rapport Bilan'!E$8)</f>
        <v>0</v>
      </c>
      <c r="F21" s="180">
        <f>+SUMIFS(DEPENSES!$H:$H,DEPENSES!$J:$J,'Rapport Bilan'!$C21,DEPENSES!$B:$B,'Rapport Bilan'!F$8)</f>
        <v>0</v>
      </c>
      <c r="G21" s="180">
        <f>+SUMIFS(DEPENSES!$H:$H,DEPENSES!$J:$J,'Rapport Bilan'!$C21,DEPENSES!$B:$B,'Rapport Bilan'!G$8)</f>
        <v>0</v>
      </c>
      <c r="H21" s="180">
        <f>+SUMIFS(DEPENSES!$H:$H,DEPENSES!$J:$J,'Rapport Bilan'!$C21,DEPENSES!$B:$B,'Rapport Bilan'!H$8)</f>
        <v>0</v>
      </c>
      <c r="I21" s="180">
        <f>+SUMIFS(DEPENSES!$H:$H,DEPENSES!$J:$J,'Rapport Bilan'!$C21,DEPENSES!$B:$B,'Rapport Bilan'!I$8)</f>
        <v>0</v>
      </c>
      <c r="J21" s="180">
        <f>+SUMIFS(DEPENSES!$H:$H,DEPENSES!$J:$J,'Rapport Bilan'!$C21,DEPENSES!$B:$B,'Rapport Bilan'!J$8)</f>
        <v>0</v>
      </c>
      <c r="K21" s="180">
        <f>+SUMIFS(DEPENSES!$H:$H,DEPENSES!$J:$J,'Rapport Bilan'!$C21,DEPENSES!$B:$B,'Rapport Bilan'!K$8)</f>
        <v>0</v>
      </c>
      <c r="L21" s="180">
        <f>+SUMIFS(DEPENSES!$H:$H,DEPENSES!$J:$J,'Rapport Bilan'!$C21,DEPENSES!$B:$B,'Rapport Bilan'!L$8)</f>
        <v>0</v>
      </c>
      <c r="M21" s="180">
        <f>+SUMIFS(DEPENSES!$H:$H,DEPENSES!$J:$J,'Rapport Bilan'!$C21,DEPENSES!$B:$B,'Rapport Bilan'!M$8)</f>
        <v>0</v>
      </c>
      <c r="N21" s="180">
        <f>+SUMIFS(DEPENSES!$H:$H,DEPENSES!$J:$J,'Rapport Bilan'!$C21,DEPENSES!$B:$B,'Rapport Bilan'!N$8)</f>
        <v>0</v>
      </c>
      <c r="O21" s="180">
        <f>+SUMIFS(DEPENSES!$H:$H,DEPENSES!$J:$J,'Rapport Bilan'!$C21,DEPENSES!$B:$B,'Rapport Bilan'!O$8)</f>
        <v>0</v>
      </c>
      <c r="P21" s="180">
        <f>+SUMIFS(DEPENSES!$H:$H,DEPENSES!$J:$J,'Rapport Bilan'!$C21,DEPENSES!$B:$B,'Rapport Bilan'!P$8)</f>
        <v>0</v>
      </c>
      <c r="Q21" s="180">
        <f t="shared" si="2"/>
        <v>0</v>
      </c>
      <c r="R21" s="231" t="str">
        <f t="shared" si="3"/>
        <v/>
      </c>
      <c r="S21" s="168"/>
      <c r="T21" s="267"/>
      <c r="U21" s="168"/>
      <c r="V21" s="193"/>
      <c r="W21" s="142"/>
      <c r="Y21" s="145"/>
    </row>
    <row r="22" spans="3:25" s="143" customFormat="1" ht="12.75" x14ac:dyDescent="0.2">
      <c r="C22" s="222" t="s">
        <v>73</v>
      </c>
      <c r="D22" s="174"/>
      <c r="E22" s="180">
        <f>+SUMIFS(DEPENSES!$H:$H,DEPENSES!$J:$J,'Rapport Bilan'!$C22,DEPENSES!$B:$B,'Rapport Bilan'!E$8)</f>
        <v>0</v>
      </c>
      <c r="F22" s="180">
        <f>+SUMIFS(DEPENSES!$H:$H,DEPENSES!$J:$J,'Rapport Bilan'!$C22,DEPENSES!$B:$B,'Rapport Bilan'!F$8)</f>
        <v>0</v>
      </c>
      <c r="G22" s="180">
        <f>+SUMIFS(DEPENSES!$H:$H,DEPENSES!$J:$J,'Rapport Bilan'!$C22,DEPENSES!$B:$B,'Rapport Bilan'!G$8)</f>
        <v>0</v>
      </c>
      <c r="H22" s="180">
        <f>+SUMIFS(DEPENSES!$H:$H,DEPENSES!$J:$J,'Rapport Bilan'!$C22,DEPENSES!$B:$B,'Rapport Bilan'!H$8)</f>
        <v>0</v>
      </c>
      <c r="I22" s="180">
        <f>+SUMIFS(DEPENSES!$H:$H,DEPENSES!$J:$J,'Rapport Bilan'!$C22,DEPENSES!$B:$B,'Rapport Bilan'!I$8)</f>
        <v>0</v>
      </c>
      <c r="J22" s="180">
        <f>+SUMIFS(DEPENSES!$H:$H,DEPENSES!$J:$J,'Rapport Bilan'!$C22,DEPENSES!$B:$B,'Rapport Bilan'!J$8)</f>
        <v>0</v>
      </c>
      <c r="K22" s="180">
        <f>+SUMIFS(DEPENSES!$H:$H,DEPENSES!$J:$J,'Rapport Bilan'!$C22,DEPENSES!$B:$B,'Rapport Bilan'!K$8)</f>
        <v>0</v>
      </c>
      <c r="L22" s="180">
        <f>+SUMIFS(DEPENSES!$H:$H,DEPENSES!$J:$J,'Rapport Bilan'!$C22,DEPENSES!$B:$B,'Rapport Bilan'!L$8)</f>
        <v>0</v>
      </c>
      <c r="M22" s="180">
        <f>+SUMIFS(DEPENSES!$H:$H,DEPENSES!$J:$J,'Rapport Bilan'!$C22,DEPENSES!$B:$B,'Rapport Bilan'!M$8)</f>
        <v>0</v>
      </c>
      <c r="N22" s="180">
        <f>+SUMIFS(DEPENSES!$H:$H,DEPENSES!$J:$J,'Rapport Bilan'!$C22,DEPENSES!$B:$B,'Rapport Bilan'!N$8)</f>
        <v>0</v>
      </c>
      <c r="O22" s="180">
        <f>+SUMIFS(DEPENSES!$H:$H,DEPENSES!$J:$J,'Rapport Bilan'!$C22,DEPENSES!$B:$B,'Rapport Bilan'!O$8)</f>
        <v>0</v>
      </c>
      <c r="P22" s="180">
        <f>+SUMIFS(DEPENSES!$H:$H,DEPENSES!$J:$J,'Rapport Bilan'!$C22,DEPENSES!$B:$B,'Rapport Bilan'!P$8)</f>
        <v>0</v>
      </c>
      <c r="Q22" s="180">
        <f t="shared" si="2"/>
        <v>0</v>
      </c>
      <c r="R22" s="231" t="str">
        <f t="shared" si="3"/>
        <v/>
      </c>
      <c r="S22" s="168"/>
      <c r="T22" s="267"/>
      <c r="U22" s="168"/>
      <c r="V22" s="193"/>
      <c r="W22" s="142"/>
      <c r="Y22" s="145"/>
    </row>
    <row r="23" spans="3:25" s="143" customFormat="1" ht="12.75" x14ac:dyDescent="0.2">
      <c r="C23" s="222" t="s">
        <v>79</v>
      </c>
      <c r="D23" s="174"/>
      <c r="E23" s="180">
        <f>+SUMIFS(DEPENSES!$H:$H,DEPENSES!$J:$J,'Rapport Bilan'!$C23,DEPENSES!$B:$B,'Rapport Bilan'!E$8)</f>
        <v>0</v>
      </c>
      <c r="F23" s="180">
        <f>+SUMIFS(DEPENSES!$H:$H,DEPENSES!$J:$J,'Rapport Bilan'!$C23,DEPENSES!$B:$B,'Rapport Bilan'!F$8)</f>
        <v>0</v>
      </c>
      <c r="G23" s="180">
        <f>+SUMIFS(DEPENSES!$H:$H,DEPENSES!$J:$J,'Rapport Bilan'!$C23,DEPENSES!$B:$B,'Rapport Bilan'!G$8)</f>
        <v>0</v>
      </c>
      <c r="H23" s="180">
        <f>+SUMIFS(DEPENSES!$H:$H,DEPENSES!$J:$J,'Rapport Bilan'!$C23,DEPENSES!$B:$B,'Rapport Bilan'!H$8)</f>
        <v>0</v>
      </c>
      <c r="I23" s="180">
        <f>+SUMIFS(DEPENSES!$H:$H,DEPENSES!$J:$J,'Rapport Bilan'!$C23,DEPENSES!$B:$B,'Rapport Bilan'!I$8)</f>
        <v>0</v>
      </c>
      <c r="J23" s="180">
        <f>+SUMIFS(DEPENSES!$H:$H,DEPENSES!$J:$J,'Rapport Bilan'!$C23,DEPENSES!$B:$B,'Rapport Bilan'!J$8)</f>
        <v>0</v>
      </c>
      <c r="K23" s="180">
        <f>+SUMIFS(DEPENSES!$H:$H,DEPENSES!$J:$J,'Rapport Bilan'!$C23,DEPENSES!$B:$B,'Rapport Bilan'!K$8)</f>
        <v>0</v>
      </c>
      <c r="L23" s="180">
        <f>+SUMIFS(DEPENSES!$H:$H,DEPENSES!$J:$J,'Rapport Bilan'!$C23,DEPENSES!$B:$B,'Rapport Bilan'!L$8)</f>
        <v>0</v>
      </c>
      <c r="M23" s="180">
        <f>+SUMIFS(DEPENSES!$H:$H,DEPENSES!$J:$J,'Rapport Bilan'!$C23,DEPENSES!$B:$B,'Rapport Bilan'!M$8)</f>
        <v>0</v>
      </c>
      <c r="N23" s="180">
        <f>+SUMIFS(DEPENSES!$H:$H,DEPENSES!$J:$J,'Rapport Bilan'!$C23,DEPENSES!$B:$B,'Rapport Bilan'!N$8)</f>
        <v>0</v>
      </c>
      <c r="O23" s="180">
        <f>+SUMIFS(DEPENSES!$H:$H,DEPENSES!$J:$J,'Rapport Bilan'!$C23,DEPENSES!$B:$B,'Rapport Bilan'!O$8)</f>
        <v>0</v>
      </c>
      <c r="P23" s="180">
        <f>+SUMIFS(DEPENSES!$H:$H,DEPENSES!$J:$J,'Rapport Bilan'!$C23,DEPENSES!$B:$B,'Rapport Bilan'!P$8)</f>
        <v>0</v>
      </c>
      <c r="Q23" s="180">
        <f t="shared" si="2"/>
        <v>0</v>
      </c>
      <c r="R23" s="231" t="str">
        <f t="shared" si="3"/>
        <v/>
      </c>
      <c r="S23" s="168"/>
      <c r="T23" s="267"/>
      <c r="U23" s="168"/>
      <c r="V23" s="193"/>
      <c r="W23" s="142"/>
      <c r="Y23" s="145"/>
    </row>
    <row r="24" spans="3:25" s="143" customFormat="1" ht="12.75" x14ac:dyDescent="0.2">
      <c r="C24" s="222" t="s">
        <v>78</v>
      </c>
      <c r="D24" s="174"/>
      <c r="E24" s="180">
        <f>+SUMIFS(DEPENSES!$H:$H,DEPENSES!$J:$J,'Rapport Bilan'!$C24,DEPENSES!$B:$B,'Rapport Bilan'!E$8)</f>
        <v>0</v>
      </c>
      <c r="F24" s="180">
        <f>+SUMIFS(DEPENSES!$H:$H,DEPENSES!$J:$J,'Rapport Bilan'!$C24,DEPENSES!$B:$B,'Rapport Bilan'!F$8)</f>
        <v>0</v>
      </c>
      <c r="G24" s="180">
        <f>+SUMIFS(DEPENSES!$H:$H,DEPENSES!$J:$J,'Rapport Bilan'!$C24,DEPENSES!$B:$B,'Rapport Bilan'!G$8)</f>
        <v>0</v>
      </c>
      <c r="H24" s="180">
        <f>+SUMIFS(DEPENSES!$H:$H,DEPENSES!$J:$J,'Rapport Bilan'!$C24,DEPENSES!$B:$B,'Rapport Bilan'!H$8)</f>
        <v>0</v>
      </c>
      <c r="I24" s="180">
        <f>+SUMIFS(DEPENSES!$H:$H,DEPENSES!$J:$J,'Rapport Bilan'!$C24,DEPENSES!$B:$B,'Rapport Bilan'!I$8)</f>
        <v>0</v>
      </c>
      <c r="J24" s="180">
        <f>+SUMIFS(DEPENSES!$H:$H,DEPENSES!$J:$J,'Rapport Bilan'!$C24,DEPENSES!$B:$B,'Rapport Bilan'!J$8)</f>
        <v>0</v>
      </c>
      <c r="K24" s="180">
        <f>+SUMIFS(DEPENSES!$H:$H,DEPENSES!$J:$J,'Rapport Bilan'!$C24,DEPENSES!$B:$B,'Rapport Bilan'!K$8)</f>
        <v>0</v>
      </c>
      <c r="L24" s="180">
        <f>+SUMIFS(DEPENSES!$H:$H,DEPENSES!$J:$J,'Rapport Bilan'!$C24,DEPENSES!$B:$B,'Rapport Bilan'!L$8)</f>
        <v>0</v>
      </c>
      <c r="M24" s="180">
        <f>+SUMIFS(DEPENSES!$H:$H,DEPENSES!$J:$J,'Rapport Bilan'!$C24,DEPENSES!$B:$B,'Rapport Bilan'!M$8)</f>
        <v>0</v>
      </c>
      <c r="N24" s="180">
        <f>+SUMIFS(DEPENSES!$H:$H,DEPENSES!$J:$J,'Rapport Bilan'!$C24,DEPENSES!$B:$B,'Rapport Bilan'!N$8)</f>
        <v>0</v>
      </c>
      <c r="O24" s="180">
        <f>+SUMIFS(DEPENSES!$H:$H,DEPENSES!$J:$J,'Rapport Bilan'!$C24,DEPENSES!$B:$B,'Rapport Bilan'!O$8)</f>
        <v>0</v>
      </c>
      <c r="P24" s="180">
        <f>+SUMIFS(DEPENSES!$H:$H,DEPENSES!$J:$J,'Rapport Bilan'!$C24,DEPENSES!$B:$B,'Rapport Bilan'!P$8)</f>
        <v>0</v>
      </c>
      <c r="Q24" s="180">
        <f t="shared" si="2"/>
        <v>0</v>
      </c>
      <c r="R24" s="231" t="str">
        <f t="shared" si="3"/>
        <v/>
      </c>
      <c r="S24" s="168"/>
      <c r="T24" s="267"/>
      <c r="U24" s="168"/>
      <c r="V24" s="193"/>
      <c r="W24" s="142"/>
      <c r="Y24" s="145"/>
    </row>
    <row r="25" spans="3:25" s="143" customFormat="1" ht="12.75" x14ac:dyDescent="0.2">
      <c r="C25" s="222" t="s">
        <v>76</v>
      </c>
      <c r="D25" s="174"/>
      <c r="E25" s="180">
        <f>+SUMIFS(DEPENSES!$H:$H,DEPENSES!$J:$J,'Rapport Bilan'!$C25,DEPENSES!$B:$B,'Rapport Bilan'!E$8)</f>
        <v>0</v>
      </c>
      <c r="F25" s="180">
        <f>+SUMIFS(DEPENSES!$H:$H,DEPENSES!$J:$J,'Rapport Bilan'!$C25,DEPENSES!$B:$B,'Rapport Bilan'!F$8)</f>
        <v>0</v>
      </c>
      <c r="G25" s="180">
        <f>+SUMIFS(DEPENSES!$H:$H,DEPENSES!$J:$J,'Rapport Bilan'!$C25,DEPENSES!$B:$B,'Rapport Bilan'!G$8)</f>
        <v>0</v>
      </c>
      <c r="H25" s="180">
        <f>+SUMIFS(DEPENSES!$H:$H,DEPENSES!$J:$J,'Rapport Bilan'!$C25,DEPENSES!$B:$B,'Rapport Bilan'!H$8)</f>
        <v>0</v>
      </c>
      <c r="I25" s="180">
        <f>+SUMIFS(DEPENSES!$H:$H,DEPENSES!$J:$J,'Rapport Bilan'!$C25,DEPENSES!$B:$B,'Rapport Bilan'!I$8)</f>
        <v>0</v>
      </c>
      <c r="J25" s="180">
        <f>+SUMIFS(DEPENSES!$H:$H,DEPENSES!$J:$J,'Rapport Bilan'!$C25,DEPENSES!$B:$B,'Rapport Bilan'!J$8)</f>
        <v>0</v>
      </c>
      <c r="K25" s="180">
        <f>+SUMIFS(DEPENSES!$H:$H,DEPENSES!$J:$J,'Rapport Bilan'!$C25,DEPENSES!$B:$B,'Rapport Bilan'!K$8)</f>
        <v>0</v>
      </c>
      <c r="L25" s="180">
        <f>+SUMIFS(DEPENSES!$H:$H,DEPENSES!$J:$J,'Rapport Bilan'!$C25,DEPENSES!$B:$B,'Rapport Bilan'!L$8)</f>
        <v>0</v>
      </c>
      <c r="M25" s="180">
        <f>+SUMIFS(DEPENSES!$H:$H,DEPENSES!$J:$J,'Rapport Bilan'!$C25,DEPENSES!$B:$B,'Rapport Bilan'!M$8)</f>
        <v>0</v>
      </c>
      <c r="N25" s="180">
        <f>+SUMIFS(DEPENSES!$H:$H,DEPENSES!$J:$J,'Rapport Bilan'!$C25,DEPENSES!$B:$B,'Rapport Bilan'!N$8)</f>
        <v>0</v>
      </c>
      <c r="O25" s="180">
        <f>+SUMIFS(DEPENSES!$H:$H,DEPENSES!$J:$J,'Rapport Bilan'!$C25,DEPENSES!$B:$B,'Rapport Bilan'!O$8)</f>
        <v>0</v>
      </c>
      <c r="P25" s="180">
        <f>+SUMIFS(DEPENSES!$H:$H,DEPENSES!$J:$J,'Rapport Bilan'!$C25,DEPENSES!$B:$B,'Rapport Bilan'!P$8)</f>
        <v>0</v>
      </c>
      <c r="Q25" s="180">
        <f t="shared" si="2"/>
        <v>0</v>
      </c>
      <c r="R25" s="231" t="str">
        <f t="shared" si="3"/>
        <v/>
      </c>
      <c r="S25" s="168"/>
      <c r="T25" s="267"/>
      <c r="U25" s="168"/>
      <c r="V25" s="193"/>
      <c r="W25" s="142"/>
      <c r="Y25" s="145"/>
    </row>
    <row r="26" spans="3:25" s="143" customFormat="1" ht="12.75" x14ac:dyDescent="0.2">
      <c r="C26" s="222" t="s">
        <v>81</v>
      </c>
      <c r="D26" s="174"/>
      <c r="E26" s="180">
        <f>+SUMIFS(DEPENSES!$H:$H,DEPENSES!$J:$J,'Rapport Bilan'!$C26,DEPENSES!$B:$B,'Rapport Bilan'!E$8)</f>
        <v>0</v>
      </c>
      <c r="F26" s="180">
        <f>+SUMIFS(DEPENSES!$H:$H,DEPENSES!$J:$J,'Rapport Bilan'!$C26,DEPENSES!$B:$B,'Rapport Bilan'!F$8)</f>
        <v>0</v>
      </c>
      <c r="G26" s="180">
        <f>+SUMIFS(DEPENSES!$H:$H,DEPENSES!$J:$J,'Rapport Bilan'!$C26,DEPENSES!$B:$B,'Rapport Bilan'!G$8)</f>
        <v>0</v>
      </c>
      <c r="H26" s="180">
        <f>+SUMIFS(DEPENSES!$H:$H,DEPENSES!$J:$J,'Rapport Bilan'!$C26,DEPENSES!$B:$B,'Rapport Bilan'!H$8)</f>
        <v>0</v>
      </c>
      <c r="I26" s="180">
        <f>+SUMIFS(DEPENSES!$H:$H,DEPENSES!$J:$J,'Rapport Bilan'!$C26,DEPENSES!$B:$B,'Rapport Bilan'!I$8)</f>
        <v>0</v>
      </c>
      <c r="J26" s="180">
        <f>+SUMIFS(DEPENSES!$H:$H,DEPENSES!$J:$J,'Rapport Bilan'!$C26,DEPENSES!$B:$B,'Rapport Bilan'!J$8)</f>
        <v>0</v>
      </c>
      <c r="K26" s="180">
        <f>+SUMIFS(DEPENSES!$H:$H,DEPENSES!$J:$J,'Rapport Bilan'!$C26,DEPENSES!$B:$B,'Rapport Bilan'!K$8)</f>
        <v>0</v>
      </c>
      <c r="L26" s="180">
        <f>+SUMIFS(DEPENSES!$H:$H,DEPENSES!$J:$J,'Rapport Bilan'!$C26,DEPENSES!$B:$B,'Rapport Bilan'!L$8)</f>
        <v>0</v>
      </c>
      <c r="M26" s="180">
        <f>+SUMIFS(DEPENSES!$H:$H,DEPENSES!$J:$J,'Rapport Bilan'!$C26,DEPENSES!$B:$B,'Rapport Bilan'!M$8)</f>
        <v>0</v>
      </c>
      <c r="N26" s="180">
        <f>+SUMIFS(DEPENSES!$H:$H,DEPENSES!$J:$J,'Rapport Bilan'!$C26,DEPENSES!$B:$B,'Rapport Bilan'!N$8)</f>
        <v>0</v>
      </c>
      <c r="O26" s="180">
        <f>+SUMIFS(DEPENSES!$H:$H,DEPENSES!$J:$J,'Rapport Bilan'!$C26,DEPENSES!$B:$B,'Rapport Bilan'!O$8)</f>
        <v>0</v>
      </c>
      <c r="P26" s="180">
        <f>+SUMIFS(DEPENSES!$H:$H,DEPENSES!$J:$J,'Rapport Bilan'!$C26,DEPENSES!$B:$B,'Rapport Bilan'!P$8)</f>
        <v>0</v>
      </c>
      <c r="Q26" s="180">
        <f t="shared" si="2"/>
        <v>0</v>
      </c>
      <c r="R26" s="231" t="str">
        <f t="shared" si="3"/>
        <v/>
      </c>
      <c r="S26" s="168"/>
      <c r="T26" s="267"/>
      <c r="U26" s="168"/>
      <c r="V26" s="193"/>
      <c r="W26" s="142"/>
      <c r="Y26" s="145"/>
    </row>
    <row r="27" spans="3:25" s="143" customFormat="1" ht="12.75" x14ac:dyDescent="0.2">
      <c r="C27" s="222" t="s">
        <v>4</v>
      </c>
      <c r="D27" s="174"/>
      <c r="E27" s="180">
        <f>+SUMIFS(DEPENSES!$H:$H,DEPENSES!$J:$J,'Rapport Bilan'!$C27,DEPENSES!$B:$B,'Rapport Bilan'!E$8)</f>
        <v>0</v>
      </c>
      <c r="F27" s="180">
        <f>+SUMIFS(DEPENSES!$H:$H,DEPENSES!$J:$J,'Rapport Bilan'!$C27,DEPENSES!$B:$B,'Rapport Bilan'!F$8)</f>
        <v>0</v>
      </c>
      <c r="G27" s="180">
        <f>+SUMIFS(DEPENSES!$H:$H,DEPENSES!$J:$J,'Rapport Bilan'!$C27,DEPENSES!$B:$B,'Rapport Bilan'!G$8)</f>
        <v>0</v>
      </c>
      <c r="H27" s="180">
        <f>+SUMIFS(DEPENSES!$H:$H,DEPENSES!$J:$J,'Rapport Bilan'!$C27,DEPENSES!$B:$B,'Rapport Bilan'!H$8)</f>
        <v>0</v>
      </c>
      <c r="I27" s="180">
        <f>+SUMIFS(DEPENSES!$H:$H,DEPENSES!$J:$J,'Rapport Bilan'!$C27,DEPENSES!$B:$B,'Rapport Bilan'!I$8)</f>
        <v>0</v>
      </c>
      <c r="J27" s="180">
        <f>+SUMIFS(DEPENSES!$H:$H,DEPENSES!$J:$J,'Rapport Bilan'!$C27,DEPENSES!$B:$B,'Rapport Bilan'!J$8)</f>
        <v>0</v>
      </c>
      <c r="K27" s="180">
        <f>+SUMIFS(DEPENSES!$H:$H,DEPENSES!$J:$J,'Rapport Bilan'!$C27,DEPENSES!$B:$B,'Rapport Bilan'!K$8)</f>
        <v>0</v>
      </c>
      <c r="L27" s="180">
        <f>+SUMIFS(DEPENSES!$H:$H,DEPENSES!$J:$J,'Rapport Bilan'!$C27,DEPENSES!$B:$B,'Rapport Bilan'!L$8)</f>
        <v>0</v>
      </c>
      <c r="M27" s="180">
        <f>+SUMIFS(DEPENSES!$H:$H,DEPENSES!$J:$J,'Rapport Bilan'!$C27,DEPENSES!$B:$B,'Rapport Bilan'!M$8)</f>
        <v>0</v>
      </c>
      <c r="N27" s="180">
        <f>+SUMIFS(DEPENSES!$H:$H,DEPENSES!$J:$J,'Rapport Bilan'!$C27,DEPENSES!$B:$B,'Rapport Bilan'!N$8)</f>
        <v>0</v>
      </c>
      <c r="O27" s="180">
        <f>+SUMIFS(DEPENSES!$H:$H,DEPENSES!$J:$J,'Rapport Bilan'!$C27,DEPENSES!$B:$B,'Rapport Bilan'!O$8)</f>
        <v>0</v>
      </c>
      <c r="P27" s="180">
        <f>+SUMIFS(DEPENSES!$H:$H,DEPENSES!$J:$J,'Rapport Bilan'!$C27,DEPENSES!$B:$B,'Rapport Bilan'!P$8)</f>
        <v>0</v>
      </c>
      <c r="Q27" s="180">
        <f t="shared" si="2"/>
        <v>0</v>
      </c>
      <c r="R27" s="231" t="str">
        <f t="shared" si="3"/>
        <v/>
      </c>
      <c r="S27" s="168"/>
      <c r="T27" s="267"/>
      <c r="U27" s="168"/>
      <c r="V27" s="193"/>
      <c r="W27" s="142"/>
      <c r="Y27" s="145"/>
    </row>
    <row r="28" spans="3:25" s="143" customFormat="1" ht="12.75" x14ac:dyDescent="0.2">
      <c r="C28" s="222" t="s">
        <v>77</v>
      </c>
      <c r="D28" s="174"/>
      <c r="E28" s="180">
        <f>+SUMIFS(DEPENSES!$H:$H,DEPENSES!$J:$J,'Rapport Bilan'!$C28,DEPENSES!$B:$B,'Rapport Bilan'!E$8)</f>
        <v>0</v>
      </c>
      <c r="F28" s="180">
        <f>+SUMIFS(DEPENSES!$H:$H,DEPENSES!$J:$J,'Rapport Bilan'!$C28,DEPENSES!$B:$B,'Rapport Bilan'!F$8)</f>
        <v>0</v>
      </c>
      <c r="G28" s="180">
        <f>+SUMIFS(DEPENSES!$H:$H,DEPENSES!$J:$J,'Rapport Bilan'!$C28,DEPENSES!$B:$B,'Rapport Bilan'!G$8)</f>
        <v>0</v>
      </c>
      <c r="H28" s="180">
        <f>+SUMIFS(DEPENSES!$H:$H,DEPENSES!$J:$J,'Rapport Bilan'!$C28,DEPENSES!$B:$B,'Rapport Bilan'!H$8)</f>
        <v>0</v>
      </c>
      <c r="I28" s="180">
        <f>+SUMIFS(DEPENSES!$H:$H,DEPENSES!$J:$J,'Rapport Bilan'!$C28,DEPENSES!$B:$B,'Rapport Bilan'!I$8)</f>
        <v>0</v>
      </c>
      <c r="J28" s="180">
        <f>+SUMIFS(DEPENSES!$H:$H,DEPENSES!$J:$J,'Rapport Bilan'!$C28,DEPENSES!$B:$B,'Rapport Bilan'!J$8)</f>
        <v>0</v>
      </c>
      <c r="K28" s="180">
        <f>+SUMIFS(DEPENSES!$H:$H,DEPENSES!$J:$J,'Rapport Bilan'!$C28,DEPENSES!$B:$B,'Rapport Bilan'!K$8)</f>
        <v>0</v>
      </c>
      <c r="L28" s="180">
        <f>+SUMIFS(DEPENSES!$H:$H,DEPENSES!$J:$J,'Rapport Bilan'!$C28,DEPENSES!$B:$B,'Rapport Bilan'!L$8)</f>
        <v>0</v>
      </c>
      <c r="M28" s="180">
        <f>+SUMIFS(DEPENSES!$H:$H,DEPENSES!$J:$J,'Rapport Bilan'!$C28,DEPENSES!$B:$B,'Rapport Bilan'!M$8)</f>
        <v>0</v>
      </c>
      <c r="N28" s="180">
        <f>+SUMIFS(DEPENSES!$H:$H,DEPENSES!$J:$J,'Rapport Bilan'!$C28,DEPENSES!$B:$B,'Rapport Bilan'!N$8)</f>
        <v>0</v>
      </c>
      <c r="O28" s="180">
        <f>+SUMIFS(DEPENSES!$H:$H,DEPENSES!$J:$J,'Rapport Bilan'!$C28,DEPENSES!$B:$B,'Rapport Bilan'!O$8)</f>
        <v>0</v>
      </c>
      <c r="P28" s="180">
        <f>+SUMIFS(DEPENSES!$H:$H,DEPENSES!$J:$J,'Rapport Bilan'!$C28,DEPENSES!$B:$B,'Rapport Bilan'!P$8)</f>
        <v>0</v>
      </c>
      <c r="Q28" s="180">
        <f t="shared" si="2"/>
        <v>0</v>
      </c>
      <c r="R28" s="231" t="str">
        <f t="shared" si="3"/>
        <v/>
      </c>
      <c r="S28" s="168"/>
      <c r="T28" s="267"/>
      <c r="U28" s="168"/>
      <c r="V28" s="193"/>
      <c r="W28" s="142"/>
      <c r="Y28" s="145"/>
    </row>
    <row r="29" spans="3:25" s="143" customFormat="1" ht="12" customHeight="1" x14ac:dyDescent="0.2">
      <c r="C29" s="222" t="s">
        <v>2</v>
      </c>
      <c r="D29" s="174"/>
      <c r="E29" s="180">
        <f>+SUMIFS(DEPENSES!$H:$H,DEPENSES!$J:$J,'Rapport Bilan'!$C29,DEPENSES!$B:$B,'Rapport Bilan'!E$8)</f>
        <v>0</v>
      </c>
      <c r="F29" s="180">
        <f>+SUMIFS(DEPENSES!$H:$H,DEPENSES!$J:$J,'Rapport Bilan'!$C29,DEPENSES!$B:$B,'Rapport Bilan'!F$8)</f>
        <v>0</v>
      </c>
      <c r="G29" s="180">
        <f>+SUMIFS(DEPENSES!$H:$H,DEPENSES!$J:$J,'Rapport Bilan'!$C29,DEPENSES!$B:$B,'Rapport Bilan'!G$8)</f>
        <v>0</v>
      </c>
      <c r="H29" s="180">
        <f>+SUMIFS(DEPENSES!$H:$H,DEPENSES!$J:$J,'Rapport Bilan'!$C29,DEPENSES!$B:$B,'Rapport Bilan'!H$8)</f>
        <v>0</v>
      </c>
      <c r="I29" s="180">
        <f>+SUMIFS(DEPENSES!$H:$H,DEPENSES!$J:$J,'Rapport Bilan'!$C29,DEPENSES!$B:$B,'Rapport Bilan'!I$8)</f>
        <v>0</v>
      </c>
      <c r="J29" s="180">
        <f>+SUMIFS(DEPENSES!$H:$H,DEPENSES!$J:$J,'Rapport Bilan'!$C29,DEPENSES!$B:$B,'Rapport Bilan'!J$8)</f>
        <v>0</v>
      </c>
      <c r="K29" s="180">
        <f>+SUMIFS(DEPENSES!$H:$H,DEPENSES!$J:$J,'Rapport Bilan'!$C29,DEPENSES!$B:$B,'Rapport Bilan'!K$8)</f>
        <v>0</v>
      </c>
      <c r="L29" s="180">
        <f>+SUMIFS(DEPENSES!$H:$H,DEPENSES!$J:$J,'Rapport Bilan'!$C29,DEPENSES!$B:$B,'Rapport Bilan'!L$8)</f>
        <v>0</v>
      </c>
      <c r="M29" s="180">
        <f>+SUMIFS(DEPENSES!$H:$H,DEPENSES!$J:$J,'Rapport Bilan'!$C29,DEPENSES!$B:$B,'Rapport Bilan'!M$8)</f>
        <v>0</v>
      </c>
      <c r="N29" s="180">
        <f>+SUMIFS(DEPENSES!$H:$H,DEPENSES!$J:$J,'Rapport Bilan'!$C29,DEPENSES!$B:$B,'Rapport Bilan'!N$8)</f>
        <v>0</v>
      </c>
      <c r="O29" s="180">
        <f>+SUMIFS(DEPENSES!$H:$H,DEPENSES!$J:$J,'Rapport Bilan'!$C29,DEPENSES!$B:$B,'Rapport Bilan'!O$8)</f>
        <v>0</v>
      </c>
      <c r="P29" s="180">
        <f>+SUMIFS(DEPENSES!$H:$H,DEPENSES!$J:$J,'Rapport Bilan'!$C29,DEPENSES!$B:$B,'Rapport Bilan'!P$8)</f>
        <v>0</v>
      </c>
      <c r="Q29" s="180">
        <f t="shared" si="2"/>
        <v>0</v>
      </c>
      <c r="R29" s="231" t="str">
        <f t="shared" si="3"/>
        <v/>
      </c>
      <c r="S29" s="146"/>
      <c r="T29" s="268"/>
      <c r="U29" s="146"/>
      <c r="V29" s="193"/>
    </row>
    <row r="30" spans="3:25" s="143" customFormat="1" ht="12" customHeight="1" x14ac:dyDescent="0.2">
      <c r="C30" s="222" t="s">
        <v>94</v>
      </c>
      <c r="D30" s="174"/>
      <c r="E30" s="180">
        <f>+SUMIFS(DEPENSES!$H:$H,DEPENSES!$J:$J,'Rapport Bilan'!$C30,DEPENSES!$B:$B,'Rapport Bilan'!E$8)</f>
        <v>0</v>
      </c>
      <c r="F30" s="180">
        <f>+SUMIFS(DEPENSES!$H:$H,DEPENSES!$J:$J,'Rapport Bilan'!$C30,DEPENSES!$B:$B,'Rapport Bilan'!F$8)</f>
        <v>0</v>
      </c>
      <c r="G30" s="180">
        <f>+SUMIFS(DEPENSES!$H:$H,DEPENSES!$J:$J,'Rapport Bilan'!$C30,DEPENSES!$B:$B,'Rapport Bilan'!G$8)</f>
        <v>0</v>
      </c>
      <c r="H30" s="180">
        <f>+SUMIFS(DEPENSES!$H:$H,DEPENSES!$J:$J,'Rapport Bilan'!$C30,DEPENSES!$B:$B,'Rapport Bilan'!H$8)</f>
        <v>0</v>
      </c>
      <c r="I30" s="180">
        <f>+SUMIFS(DEPENSES!$H:$H,DEPENSES!$J:$J,'Rapport Bilan'!$C30,DEPENSES!$B:$B,'Rapport Bilan'!I$8)</f>
        <v>0</v>
      </c>
      <c r="J30" s="180">
        <f>+SUMIFS(DEPENSES!$H:$H,DEPENSES!$J:$J,'Rapport Bilan'!$C30,DEPENSES!$B:$B,'Rapport Bilan'!J$8)</f>
        <v>0</v>
      </c>
      <c r="K30" s="180">
        <f>+SUMIFS(DEPENSES!$H:$H,DEPENSES!$J:$J,'Rapport Bilan'!$C30,DEPENSES!$B:$B,'Rapport Bilan'!K$8)</f>
        <v>0</v>
      </c>
      <c r="L30" s="180">
        <f>+SUMIFS(DEPENSES!$H:$H,DEPENSES!$J:$J,'Rapport Bilan'!$C30,DEPENSES!$B:$B,'Rapport Bilan'!L$8)</f>
        <v>0</v>
      </c>
      <c r="M30" s="180">
        <f>+SUMIFS(DEPENSES!$H:$H,DEPENSES!$J:$J,'Rapport Bilan'!$C30,DEPENSES!$B:$B,'Rapport Bilan'!M$8)</f>
        <v>0</v>
      </c>
      <c r="N30" s="180">
        <f>+SUMIFS(DEPENSES!$H:$H,DEPENSES!$J:$J,'Rapport Bilan'!$C30,DEPENSES!$B:$B,'Rapport Bilan'!N$8)</f>
        <v>0</v>
      </c>
      <c r="O30" s="180">
        <f>+SUMIFS(DEPENSES!$H:$H,DEPENSES!$J:$J,'Rapport Bilan'!$C30,DEPENSES!$B:$B,'Rapport Bilan'!O$8)</f>
        <v>0</v>
      </c>
      <c r="P30" s="180">
        <f>+SUMIFS(DEPENSES!$H:$H,DEPENSES!$J:$J,'Rapport Bilan'!$C30,DEPENSES!$B:$B,'Rapport Bilan'!P$8)</f>
        <v>0</v>
      </c>
      <c r="Q30" s="180">
        <f t="shared" si="2"/>
        <v>0</v>
      </c>
      <c r="R30" s="231" t="str">
        <f t="shared" si="3"/>
        <v/>
      </c>
      <c r="S30" s="146"/>
      <c r="T30" s="268"/>
      <c r="U30" s="146"/>
      <c r="V30" s="194"/>
    </row>
    <row r="31" spans="3:25" s="143" customFormat="1" ht="12.75" x14ac:dyDescent="0.2">
      <c r="C31" s="222" t="s">
        <v>75</v>
      </c>
      <c r="D31" s="174"/>
      <c r="E31" s="180">
        <f>+SUMIFS(DEPENSES!$H:$H,DEPENSES!$J:$J,'Rapport Bilan'!$C31,DEPENSES!$B:$B,'Rapport Bilan'!E$8)</f>
        <v>0</v>
      </c>
      <c r="F31" s="180">
        <f>+SUMIFS(DEPENSES!$H:$H,DEPENSES!$J:$J,'Rapport Bilan'!$C31,DEPENSES!$B:$B,'Rapport Bilan'!F$8)</f>
        <v>0</v>
      </c>
      <c r="G31" s="180">
        <f>+SUMIFS(DEPENSES!$H:$H,DEPENSES!$J:$J,'Rapport Bilan'!$C31,DEPENSES!$B:$B,'Rapport Bilan'!G$8)</f>
        <v>0</v>
      </c>
      <c r="H31" s="180">
        <f>+SUMIFS(DEPENSES!$H:$H,DEPENSES!$J:$J,'Rapport Bilan'!$C31,DEPENSES!$B:$B,'Rapport Bilan'!H$8)</f>
        <v>0</v>
      </c>
      <c r="I31" s="180">
        <f>+SUMIFS(DEPENSES!$H:$H,DEPENSES!$J:$J,'Rapport Bilan'!$C31,DEPENSES!$B:$B,'Rapport Bilan'!I$8)</f>
        <v>0</v>
      </c>
      <c r="J31" s="180">
        <f>+SUMIFS(DEPENSES!$H:$H,DEPENSES!$J:$J,'Rapport Bilan'!$C31,DEPENSES!$B:$B,'Rapport Bilan'!J$8)</f>
        <v>0</v>
      </c>
      <c r="K31" s="180">
        <f>+SUMIFS(DEPENSES!$H:$H,DEPENSES!$J:$J,'Rapport Bilan'!$C31,DEPENSES!$B:$B,'Rapport Bilan'!K$8)</f>
        <v>0</v>
      </c>
      <c r="L31" s="180">
        <f>+SUMIFS(DEPENSES!$H:$H,DEPENSES!$J:$J,'Rapport Bilan'!$C31,DEPENSES!$B:$B,'Rapport Bilan'!L$8)</f>
        <v>0</v>
      </c>
      <c r="M31" s="180">
        <f>+SUMIFS(DEPENSES!$H:$H,DEPENSES!$J:$J,'Rapport Bilan'!$C31,DEPENSES!$B:$B,'Rapport Bilan'!M$8)</f>
        <v>0</v>
      </c>
      <c r="N31" s="180">
        <f>+SUMIFS(DEPENSES!$H:$H,DEPENSES!$J:$J,'Rapport Bilan'!$C31,DEPENSES!$B:$B,'Rapport Bilan'!N$8)</f>
        <v>0</v>
      </c>
      <c r="O31" s="180">
        <f>+SUMIFS(DEPENSES!$H:$H,DEPENSES!$J:$J,'Rapport Bilan'!$C31,DEPENSES!$B:$B,'Rapport Bilan'!O$8)</f>
        <v>0</v>
      </c>
      <c r="P31" s="180">
        <f>+SUMIFS(DEPENSES!$H:$H,DEPENSES!$J:$J,'Rapport Bilan'!$C31,DEPENSES!$B:$B,'Rapport Bilan'!P$8)</f>
        <v>0</v>
      </c>
      <c r="Q31" s="180">
        <f t="shared" si="2"/>
        <v>0</v>
      </c>
      <c r="R31" s="231" t="str">
        <f t="shared" si="3"/>
        <v/>
      </c>
      <c r="S31" s="146"/>
      <c r="T31" s="268"/>
      <c r="U31" s="146"/>
      <c r="V31" s="195"/>
      <c r="W31" s="151"/>
      <c r="X31" s="152"/>
    </row>
    <row r="32" spans="3:25" s="143" customFormat="1" ht="12.75" x14ac:dyDescent="0.2">
      <c r="C32" s="222" t="s">
        <v>74</v>
      </c>
      <c r="D32" s="174"/>
      <c r="E32" s="180">
        <f>+SUMIFS(DEPENSES!$I:$I,DEPENSES!$B:$B,'Rapport Bilan'!E$8)</f>
        <v>0</v>
      </c>
      <c r="F32" s="180">
        <f>+SUMIFS(DEPENSES!$I:$I,DEPENSES!$B:$B,'Rapport Bilan'!F$8)</f>
        <v>0</v>
      </c>
      <c r="G32" s="180">
        <f>+SUMIFS(DEPENSES!$I:$I,DEPENSES!$B:$B,'Rapport Bilan'!G$8)</f>
        <v>0</v>
      </c>
      <c r="H32" s="180">
        <f>+SUMIFS(DEPENSES!$I:$I,DEPENSES!$B:$B,'Rapport Bilan'!H$8)</f>
        <v>0</v>
      </c>
      <c r="I32" s="180">
        <f>+SUMIFS(DEPENSES!$I:$I,DEPENSES!$B:$B,'Rapport Bilan'!I$8)</f>
        <v>0</v>
      </c>
      <c r="J32" s="180">
        <f>+SUMIFS(DEPENSES!$I:$I,DEPENSES!$B:$B,'Rapport Bilan'!J$8)</f>
        <v>0</v>
      </c>
      <c r="K32" s="180">
        <f>+SUMIFS(DEPENSES!$I:$I,DEPENSES!$B:$B,'Rapport Bilan'!K$8)</f>
        <v>0</v>
      </c>
      <c r="L32" s="180">
        <f>+SUMIFS(DEPENSES!$I:$I,DEPENSES!$B:$B,'Rapport Bilan'!L$8)</f>
        <v>0</v>
      </c>
      <c r="M32" s="180">
        <f>+SUMIFS(DEPENSES!$I:$I,DEPENSES!$B:$B,'Rapport Bilan'!M$8)</f>
        <v>0</v>
      </c>
      <c r="N32" s="180">
        <f>+SUMIFS(DEPENSES!$I:$I,DEPENSES!$B:$B,'Rapport Bilan'!N$8)</f>
        <v>0</v>
      </c>
      <c r="O32" s="180">
        <f>+SUMIFS(DEPENSES!$I:$I,DEPENSES!$B:$B,'Rapport Bilan'!O$8)</f>
        <v>0</v>
      </c>
      <c r="P32" s="180">
        <f>+SUMIFS(DEPENSES!$I:$I,DEPENSES!$B:$B,'Rapport Bilan'!P$8)</f>
        <v>0</v>
      </c>
      <c r="Q32" s="180">
        <f t="shared" si="2"/>
        <v>0</v>
      </c>
      <c r="R32" s="231" t="str">
        <f t="shared" si="3"/>
        <v/>
      </c>
      <c r="S32" s="146"/>
      <c r="T32" s="268"/>
      <c r="U32" s="146"/>
      <c r="V32" s="196"/>
    </row>
    <row r="33" spans="3:22" s="143" customFormat="1" ht="12.75" x14ac:dyDescent="0.2">
      <c r="C33" s="222" t="s">
        <v>0</v>
      </c>
      <c r="D33" s="174"/>
      <c r="E33" s="180">
        <f>+SUMIFS(DEPENSES!$H:$H,DEPENSES!$J:$J,'Rapport Bilan'!$C33,DEPENSES!$B:$B,'Rapport Bilan'!E$8)</f>
        <v>0</v>
      </c>
      <c r="F33" s="180">
        <f>+SUMIFS(DEPENSES!$H:$H,DEPENSES!$J:$J,'Rapport Bilan'!$C33,DEPENSES!$B:$B,'Rapport Bilan'!F$8)</f>
        <v>0</v>
      </c>
      <c r="G33" s="180">
        <f>+SUMIFS(DEPENSES!$H:$H,DEPENSES!$J:$J,'Rapport Bilan'!$C33,DEPENSES!$B:$B,'Rapport Bilan'!G$8)</f>
        <v>0</v>
      </c>
      <c r="H33" s="180">
        <f>+SUMIFS(DEPENSES!$H:$H,DEPENSES!$J:$J,'Rapport Bilan'!$C33,DEPENSES!$B:$B,'Rapport Bilan'!H$8)</f>
        <v>0</v>
      </c>
      <c r="I33" s="180">
        <f>+SUMIFS(DEPENSES!$H:$H,DEPENSES!$J:$J,'Rapport Bilan'!$C33,DEPENSES!$B:$B,'Rapport Bilan'!I$8)</f>
        <v>0</v>
      </c>
      <c r="J33" s="180">
        <f>+SUMIFS(DEPENSES!$H:$H,DEPENSES!$J:$J,'Rapport Bilan'!$C33,DEPENSES!$B:$B,'Rapport Bilan'!J$8)</f>
        <v>0</v>
      </c>
      <c r="K33" s="180">
        <f>+SUMIFS(DEPENSES!$H:$H,DEPENSES!$J:$J,'Rapport Bilan'!$C33,DEPENSES!$B:$B,'Rapport Bilan'!K$8)</f>
        <v>0</v>
      </c>
      <c r="L33" s="180">
        <f>+SUMIFS(DEPENSES!$H:$H,DEPENSES!$J:$J,'Rapport Bilan'!$C33,DEPENSES!$B:$B,'Rapport Bilan'!L$8)</f>
        <v>0</v>
      </c>
      <c r="M33" s="180">
        <f>+SUMIFS(DEPENSES!$H:$H,DEPENSES!$J:$J,'Rapport Bilan'!$C33,DEPENSES!$B:$B,'Rapport Bilan'!M$8)</f>
        <v>0</v>
      </c>
      <c r="N33" s="180">
        <f>+SUMIFS(DEPENSES!$H:$H,DEPENSES!$J:$J,'Rapport Bilan'!$C33,DEPENSES!$B:$B,'Rapport Bilan'!N$8)</f>
        <v>0</v>
      </c>
      <c r="O33" s="180">
        <f>+SUMIFS(DEPENSES!$H:$H,DEPENSES!$J:$J,'Rapport Bilan'!$C33,DEPENSES!$B:$B,'Rapport Bilan'!O$8)</f>
        <v>0</v>
      </c>
      <c r="P33" s="180">
        <f>+SUMIFS(DEPENSES!$H:$H,DEPENSES!$J:$J,'Rapport Bilan'!$C33,DEPENSES!$B:$B,'Rapport Bilan'!P$8)</f>
        <v>0</v>
      </c>
      <c r="Q33" s="180">
        <f t="shared" si="2"/>
        <v>0</v>
      </c>
      <c r="R33" s="231" t="str">
        <f t="shared" si="3"/>
        <v/>
      </c>
      <c r="S33" s="146"/>
      <c r="T33" s="268"/>
      <c r="U33" s="146"/>
      <c r="V33" s="196"/>
    </row>
    <row r="34" spans="3:22" s="143" customFormat="1" ht="12.75" x14ac:dyDescent="0.2">
      <c r="C34" s="222" t="s">
        <v>82</v>
      </c>
      <c r="D34" s="174"/>
      <c r="E34" s="180">
        <f>+SUMIFS(DEPENSES!$H:$H,DEPENSES!$J:$J,'Rapport Bilan'!$C34,DEPENSES!$B:$B,'Rapport Bilan'!E$8)</f>
        <v>0</v>
      </c>
      <c r="F34" s="180">
        <f>+SUMIFS(DEPENSES!$H:$H,DEPENSES!$J:$J,'Rapport Bilan'!$C34,DEPENSES!$B:$B,'Rapport Bilan'!F$8)</f>
        <v>0</v>
      </c>
      <c r="G34" s="180">
        <f>+SUMIFS(DEPENSES!$H:$H,DEPENSES!$J:$J,'Rapport Bilan'!$C34,DEPENSES!$B:$B,'Rapport Bilan'!G$8)</f>
        <v>0</v>
      </c>
      <c r="H34" s="180">
        <f>+SUMIFS(DEPENSES!$H:$H,DEPENSES!$J:$J,'Rapport Bilan'!$C34,DEPENSES!$B:$B,'Rapport Bilan'!H$8)</f>
        <v>0</v>
      </c>
      <c r="I34" s="180">
        <f>+SUMIFS(DEPENSES!$H:$H,DEPENSES!$J:$J,'Rapport Bilan'!$C34,DEPENSES!$B:$B,'Rapport Bilan'!I$8)</f>
        <v>0</v>
      </c>
      <c r="J34" s="180">
        <f>+SUMIFS(DEPENSES!$H:$H,DEPENSES!$J:$J,'Rapport Bilan'!$C34,DEPENSES!$B:$B,'Rapport Bilan'!J$8)</f>
        <v>0</v>
      </c>
      <c r="K34" s="180">
        <f>+SUMIFS(DEPENSES!$H:$H,DEPENSES!$J:$J,'Rapport Bilan'!$C34,DEPENSES!$B:$B,'Rapport Bilan'!K$8)</f>
        <v>0</v>
      </c>
      <c r="L34" s="180">
        <f>+SUMIFS(DEPENSES!$H:$H,DEPENSES!$J:$J,'Rapport Bilan'!$C34,DEPENSES!$B:$B,'Rapport Bilan'!L$8)</f>
        <v>0</v>
      </c>
      <c r="M34" s="180">
        <f>+SUMIFS(DEPENSES!$H:$H,DEPENSES!$J:$J,'Rapport Bilan'!$C34,DEPENSES!$B:$B,'Rapport Bilan'!M$8)</f>
        <v>0</v>
      </c>
      <c r="N34" s="180">
        <f>+SUMIFS(DEPENSES!$H:$H,DEPENSES!$J:$J,'Rapport Bilan'!$C34,DEPENSES!$B:$B,'Rapport Bilan'!N$8)</f>
        <v>0</v>
      </c>
      <c r="O34" s="180">
        <f>+SUMIFS(DEPENSES!$H:$H,DEPENSES!$J:$J,'Rapport Bilan'!$C34,DEPENSES!$B:$B,'Rapport Bilan'!O$8)</f>
        <v>0</v>
      </c>
      <c r="P34" s="180">
        <f>+SUMIFS(DEPENSES!$H:$H,DEPENSES!$J:$J,'Rapport Bilan'!$C34,DEPENSES!$B:$B,'Rapport Bilan'!P$8)</f>
        <v>0</v>
      </c>
      <c r="Q34" s="180">
        <f t="shared" si="2"/>
        <v>0</v>
      </c>
      <c r="R34" s="231" t="str">
        <f t="shared" si="3"/>
        <v/>
      </c>
      <c r="S34" s="146"/>
      <c r="T34" s="268"/>
      <c r="U34" s="146"/>
      <c r="V34" s="196"/>
    </row>
    <row r="35" spans="3:22" s="143" customFormat="1" ht="20.100000000000001" customHeight="1" x14ac:dyDescent="0.2">
      <c r="C35" s="224" t="s">
        <v>93</v>
      </c>
      <c r="D35" s="175"/>
      <c r="E35" s="182">
        <f>+SUM(E18:E34)</f>
        <v>0</v>
      </c>
      <c r="F35" s="169">
        <f>+SUM(F18:F34)</f>
        <v>0</v>
      </c>
      <c r="G35" s="169">
        <f t="shared" ref="G35:M35" si="4">+SUM(G18:G34)</f>
        <v>0</v>
      </c>
      <c r="H35" s="169">
        <f t="shared" si="4"/>
        <v>0</v>
      </c>
      <c r="I35" s="169">
        <f t="shared" si="4"/>
        <v>0</v>
      </c>
      <c r="J35" s="169">
        <f t="shared" si="4"/>
        <v>0</v>
      </c>
      <c r="K35" s="169">
        <f t="shared" si="4"/>
        <v>0</v>
      </c>
      <c r="L35" s="169">
        <f t="shared" si="4"/>
        <v>0</v>
      </c>
      <c r="M35" s="169">
        <f t="shared" si="4"/>
        <v>0</v>
      </c>
      <c r="N35" s="169">
        <f>+SUM(N18:N34)</f>
        <v>0</v>
      </c>
      <c r="O35" s="169">
        <f t="shared" ref="O35:P35" si="5">+SUM(O18:O34)</f>
        <v>0</v>
      </c>
      <c r="P35" s="169">
        <f t="shared" si="5"/>
        <v>0</v>
      </c>
      <c r="Q35" s="169">
        <f>SUM(Q18:Q34)</f>
        <v>0</v>
      </c>
      <c r="R35" s="233">
        <f>+SUM(R18:R34)</f>
        <v>0</v>
      </c>
      <c r="S35" s="189"/>
      <c r="T35" s="269"/>
      <c r="U35" s="189"/>
      <c r="V35" s="196"/>
    </row>
    <row r="36" spans="3:22" s="143" customFormat="1" ht="5.0999999999999996" customHeight="1" x14ac:dyDescent="0.2"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6"/>
      <c r="T36" s="268"/>
      <c r="U36" s="146"/>
      <c r="V36" s="196"/>
    </row>
    <row r="37" spans="3:22" s="143" customFormat="1" ht="20.100000000000001" customHeight="1" x14ac:dyDescent="0.2">
      <c r="C37" s="224" t="s">
        <v>6</v>
      </c>
      <c r="D37" s="175"/>
      <c r="E37" s="171">
        <f t="shared" ref="E37:M37" si="6">+E16-E35</f>
        <v>0</v>
      </c>
      <c r="F37" s="169">
        <f t="shared" si="6"/>
        <v>0</v>
      </c>
      <c r="G37" s="169">
        <f t="shared" si="6"/>
        <v>0</v>
      </c>
      <c r="H37" s="169">
        <f t="shared" si="6"/>
        <v>0</v>
      </c>
      <c r="I37" s="169">
        <f t="shared" si="6"/>
        <v>0</v>
      </c>
      <c r="J37" s="169">
        <f t="shared" si="6"/>
        <v>0</v>
      </c>
      <c r="K37" s="169">
        <f t="shared" si="6"/>
        <v>0</v>
      </c>
      <c r="L37" s="169">
        <f t="shared" si="6"/>
        <v>0</v>
      </c>
      <c r="M37" s="169">
        <f t="shared" si="6"/>
        <v>0</v>
      </c>
      <c r="N37" s="169">
        <f t="shared" ref="N37" si="7">+N16-N35</f>
        <v>0</v>
      </c>
      <c r="O37" s="169">
        <f>+O16-O35</f>
        <v>0</v>
      </c>
      <c r="P37" s="169">
        <f>+P16-P35</f>
        <v>0</v>
      </c>
      <c r="Q37" s="169">
        <f>+Q16-Q35</f>
        <v>0</v>
      </c>
      <c r="R37" s="235"/>
      <c r="S37" s="184"/>
      <c r="T37" s="184"/>
      <c r="U37" s="184"/>
      <c r="V37" s="196"/>
    </row>
    <row r="38" spans="3:22" s="143" customFormat="1" ht="5.0999999999999996" customHeight="1" x14ac:dyDescent="0.2"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6"/>
      <c r="T38" s="268"/>
      <c r="U38" s="146"/>
      <c r="V38" s="196"/>
    </row>
    <row r="39" spans="3:22" s="143" customFormat="1" ht="20.100000000000001" customHeight="1" thickBot="1" x14ac:dyDescent="0.25">
      <c r="C39" s="226" t="s">
        <v>83</v>
      </c>
      <c r="D39" s="175"/>
      <c r="E39" s="228">
        <f>+E37</f>
        <v>0</v>
      </c>
      <c r="F39" s="227">
        <f t="shared" ref="F39:L39" si="8">+E39+F37</f>
        <v>0</v>
      </c>
      <c r="G39" s="227">
        <f t="shared" si="8"/>
        <v>0</v>
      </c>
      <c r="H39" s="227">
        <f t="shared" si="8"/>
        <v>0</v>
      </c>
      <c r="I39" s="227">
        <f t="shared" si="8"/>
        <v>0</v>
      </c>
      <c r="J39" s="227">
        <f t="shared" si="8"/>
        <v>0</v>
      </c>
      <c r="K39" s="227">
        <f t="shared" si="8"/>
        <v>0</v>
      </c>
      <c r="L39" s="227">
        <f t="shared" si="8"/>
        <v>0</v>
      </c>
      <c r="M39" s="227">
        <f>+L39+M37</f>
        <v>0</v>
      </c>
      <c r="N39" s="227">
        <f>+M39+N37</f>
        <v>0</v>
      </c>
      <c r="O39" s="227">
        <f>+N39+O37</f>
        <v>0</v>
      </c>
      <c r="P39" s="227">
        <f>+O39+P37</f>
        <v>0</v>
      </c>
      <c r="Q39" s="227">
        <f>+P39</f>
        <v>0</v>
      </c>
      <c r="R39" s="236"/>
      <c r="S39" s="146"/>
      <c r="T39" s="268"/>
      <c r="U39" s="146"/>
      <c r="V39" s="196"/>
    </row>
    <row r="40" spans="3:22" s="143" customFormat="1" ht="14.25" customHeight="1" thickTop="1" thickBot="1" x14ac:dyDescent="0.25"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6"/>
      <c r="T40" s="268"/>
      <c r="U40" s="146"/>
      <c r="V40" s="196"/>
    </row>
    <row r="41" spans="3:22" s="147" customFormat="1" ht="13.5" thickTop="1" x14ac:dyDescent="0.2">
      <c r="C41" s="153"/>
      <c r="D41" s="164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6"/>
      <c r="T41" s="270"/>
      <c r="V41" s="197"/>
    </row>
    <row r="42" spans="3:22" s="147" customFormat="1" ht="24" customHeight="1" x14ac:dyDescent="0.2">
      <c r="C42" s="260" t="s">
        <v>90</v>
      </c>
      <c r="D42" s="261"/>
      <c r="E42" s="262">
        <f>+Q39</f>
        <v>0</v>
      </c>
      <c r="F42" s="237"/>
      <c r="G42" s="238"/>
      <c r="H42" s="237"/>
      <c r="I42" s="237"/>
      <c r="J42" s="237"/>
      <c r="K42" s="237"/>
      <c r="L42" s="239"/>
      <c r="M42" s="240"/>
      <c r="N42" s="240"/>
      <c r="O42" s="240"/>
      <c r="P42" s="240"/>
      <c r="Q42" s="239"/>
      <c r="R42" s="188"/>
      <c r="T42" s="270"/>
      <c r="V42" s="197"/>
    </row>
    <row r="43" spans="3:22" s="147" customFormat="1" ht="6.6" customHeight="1" x14ac:dyDescent="0.2">
      <c r="C43" s="154"/>
      <c r="D43" s="241"/>
      <c r="E43" s="242"/>
      <c r="F43" s="243"/>
      <c r="G43" s="243"/>
      <c r="H43" s="240"/>
      <c r="I43" s="240"/>
      <c r="J43" s="240"/>
      <c r="K43" s="240"/>
      <c r="L43" s="239"/>
      <c r="M43" s="240"/>
      <c r="N43" s="240"/>
      <c r="O43" s="240"/>
      <c r="P43" s="240"/>
      <c r="Q43" s="239"/>
      <c r="R43" s="188"/>
      <c r="T43" s="270"/>
      <c r="V43" s="197"/>
    </row>
    <row r="44" spans="3:22" s="143" customFormat="1" ht="20.100000000000001" customHeight="1" x14ac:dyDescent="0.2">
      <c r="C44" s="259" t="s">
        <v>101</v>
      </c>
      <c r="D44" s="244"/>
      <c r="E44" s="255" t="s">
        <v>65</v>
      </c>
      <c r="F44" s="255" t="s">
        <v>134</v>
      </c>
      <c r="G44" s="255" t="s">
        <v>7</v>
      </c>
      <c r="H44" s="255" t="s">
        <v>55</v>
      </c>
      <c r="I44" s="255" t="s">
        <v>8</v>
      </c>
      <c r="J44" s="255" t="s">
        <v>9</v>
      </c>
      <c r="K44" s="255" t="s">
        <v>10</v>
      </c>
      <c r="L44" s="255" t="s">
        <v>11</v>
      </c>
      <c r="M44" s="255" t="s">
        <v>12</v>
      </c>
      <c r="N44" s="255" t="s">
        <v>13</v>
      </c>
      <c r="O44" s="256" t="s">
        <v>15</v>
      </c>
      <c r="Q44" s="239"/>
      <c r="R44" s="188"/>
      <c r="S44" s="146"/>
      <c r="T44" s="268"/>
      <c r="U44" s="146"/>
      <c r="V44" s="196"/>
    </row>
    <row r="45" spans="3:22" s="147" customFormat="1" ht="18.600000000000001" customHeight="1" x14ac:dyDescent="0.2">
      <c r="C45" s="252" t="s">
        <v>100</v>
      </c>
      <c r="D45" s="253"/>
      <c r="E45" s="254">
        <f>+ENCAIS!D5</f>
        <v>0</v>
      </c>
      <c r="F45" s="254">
        <f>+ENCAIS!D6</f>
        <v>0</v>
      </c>
      <c r="G45" s="254">
        <f>+ENCAIS!D7</f>
        <v>0</v>
      </c>
      <c r="H45" s="254">
        <f>+ENCAIS!D8</f>
        <v>0</v>
      </c>
      <c r="I45" s="254">
        <f>+ENCAIS!D9</f>
        <v>0</v>
      </c>
      <c r="J45" s="254">
        <f>+ENCAIS!D10</f>
        <v>0</v>
      </c>
      <c r="K45" s="254">
        <f>+ENCAIS!D11</f>
        <v>0</v>
      </c>
      <c r="L45" s="254">
        <f>+ENCAIS!D12</f>
        <v>0</v>
      </c>
      <c r="M45" s="254">
        <f>+ENCAIS!D13</f>
        <v>0</v>
      </c>
      <c r="N45" s="254">
        <f>+ENCAIS!D14</f>
        <v>0</v>
      </c>
      <c r="O45" s="257">
        <f>+SUM(E45:N45)</f>
        <v>0</v>
      </c>
      <c r="Q45" s="239"/>
      <c r="R45" s="188" t="s">
        <v>11</v>
      </c>
      <c r="T45" s="270"/>
      <c r="V45" s="197"/>
    </row>
    <row r="46" spans="3:22" s="147" customFormat="1" ht="18.600000000000001" customHeight="1" x14ac:dyDescent="0.2">
      <c r="C46" s="252" t="s">
        <v>102</v>
      </c>
      <c r="D46" s="253"/>
      <c r="E46" s="254">
        <f>+ENCAIS!R5</f>
        <v>0</v>
      </c>
      <c r="F46" s="254">
        <f>+ENCAIS!R6</f>
        <v>0</v>
      </c>
      <c r="G46" s="254">
        <f>+ENCAIS!R7</f>
        <v>0</v>
      </c>
      <c r="H46" s="254">
        <f>+ENCAIS!R8</f>
        <v>0</v>
      </c>
      <c r="I46" s="254">
        <f>+ENCAIS!R9</f>
        <v>0</v>
      </c>
      <c r="J46" s="254">
        <f>+ENCAIS!R10</f>
        <v>0</v>
      </c>
      <c r="K46" s="254">
        <f>+ENCAIS!R11</f>
        <v>0</v>
      </c>
      <c r="L46" s="254">
        <f>+ENCAIS!R12</f>
        <v>0</v>
      </c>
      <c r="M46" s="254">
        <f>+ENCAIS!R13</f>
        <v>0</v>
      </c>
      <c r="N46" s="254">
        <f>+ENCAIS!R14</f>
        <v>0</v>
      </c>
      <c r="O46" s="258">
        <f>+SUM(E46:N46)</f>
        <v>0</v>
      </c>
      <c r="Q46" s="239"/>
      <c r="R46" s="188"/>
      <c r="T46" s="270"/>
      <c r="V46" s="197"/>
    </row>
    <row r="47" spans="3:22" s="147" customFormat="1" ht="9" customHeight="1" x14ac:dyDescent="0.2">
      <c r="C47" s="159"/>
      <c r="D47" s="245"/>
      <c r="E47" s="208"/>
      <c r="F47" s="209"/>
      <c r="G47" s="209"/>
      <c r="H47" s="209"/>
      <c r="I47" s="209"/>
      <c r="J47" s="209"/>
      <c r="K47" s="209"/>
      <c r="L47" s="210"/>
      <c r="M47" s="246"/>
      <c r="N47" s="246"/>
      <c r="O47" s="246"/>
      <c r="P47" s="246"/>
      <c r="Q47" s="239"/>
      <c r="R47" s="188"/>
      <c r="T47" s="270"/>
      <c r="V47" s="197"/>
    </row>
    <row r="48" spans="3:22" s="147" customFormat="1" ht="15" customHeight="1" x14ac:dyDescent="0.2">
      <c r="C48" s="159" t="s">
        <v>95</v>
      </c>
      <c r="D48" s="247"/>
      <c r="E48" s="248">
        <v>10</v>
      </c>
      <c r="F48" s="378" t="s">
        <v>96</v>
      </c>
      <c r="G48" s="378"/>
      <c r="H48" s="378"/>
      <c r="I48" s="378"/>
      <c r="J48" s="378"/>
      <c r="K48" s="378"/>
      <c r="L48" s="378"/>
      <c r="M48" s="378"/>
      <c r="N48" s="272"/>
      <c r="O48" s="272"/>
      <c r="P48" s="273"/>
      <c r="Q48" s="247"/>
      <c r="R48" s="188"/>
      <c r="T48" s="270"/>
      <c r="V48" s="197"/>
    </row>
    <row r="49" spans="2:22" s="147" customFormat="1" ht="12.95" customHeight="1" x14ac:dyDescent="0.2">
      <c r="C49" s="154"/>
      <c r="D49" s="241"/>
      <c r="E49" s="249"/>
      <c r="F49" s="378"/>
      <c r="G49" s="378"/>
      <c r="H49" s="378"/>
      <c r="I49" s="378"/>
      <c r="J49" s="378"/>
      <c r="K49" s="378"/>
      <c r="L49" s="378"/>
      <c r="M49" s="378"/>
      <c r="N49" s="272"/>
      <c r="O49" s="272"/>
      <c r="P49" s="273"/>
      <c r="Q49" s="240"/>
      <c r="R49" s="188"/>
      <c r="T49" s="270"/>
      <c r="V49" s="197"/>
    </row>
    <row r="50" spans="2:22" s="148" customFormat="1" ht="15" customHeight="1" x14ac:dyDescent="0.25">
      <c r="C50" s="187"/>
      <c r="D50" s="237"/>
      <c r="E50" s="250"/>
      <c r="F50" s="251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155"/>
      <c r="S50" s="163"/>
      <c r="T50" s="271"/>
      <c r="U50" s="163"/>
      <c r="V50" s="198"/>
    </row>
    <row r="51" spans="2:22" s="143" customFormat="1" ht="15" customHeight="1" x14ac:dyDescent="0.2">
      <c r="B51" s="353" t="s">
        <v>71</v>
      </c>
      <c r="C51" s="187"/>
      <c r="D51" s="247"/>
      <c r="E51" s="379" t="s">
        <v>163</v>
      </c>
      <c r="F51" s="379"/>
      <c r="G51" s="379"/>
      <c r="H51" s="379"/>
      <c r="I51" s="379"/>
      <c r="J51" s="379"/>
      <c r="K51" s="379"/>
      <c r="L51" s="379"/>
      <c r="M51" s="379"/>
      <c r="N51" s="379"/>
      <c r="O51" s="379"/>
      <c r="P51" s="379"/>
      <c r="Q51" s="380"/>
      <c r="R51" s="156"/>
      <c r="S51" s="146"/>
      <c r="T51" s="268"/>
      <c r="U51" s="146"/>
      <c r="V51" s="196"/>
    </row>
    <row r="52" spans="2:22" s="143" customFormat="1" ht="15" customHeight="1" x14ac:dyDescent="0.2">
      <c r="B52" s="353" t="s">
        <v>80</v>
      </c>
      <c r="C52" s="187"/>
      <c r="D52" s="247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80"/>
      <c r="R52" s="156"/>
      <c r="S52" s="146"/>
      <c r="T52" s="268"/>
      <c r="U52" s="146"/>
      <c r="V52" s="196"/>
    </row>
    <row r="53" spans="2:22" s="143" customFormat="1" ht="15" customHeight="1" x14ac:dyDescent="0.2">
      <c r="B53" s="353" t="s">
        <v>99</v>
      </c>
      <c r="C53" s="187"/>
      <c r="D53" s="247"/>
      <c r="E53" s="379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9"/>
      <c r="Q53" s="380"/>
      <c r="R53" s="156"/>
      <c r="S53" s="146"/>
      <c r="T53" s="268"/>
      <c r="U53" s="146"/>
      <c r="V53" s="196"/>
    </row>
    <row r="54" spans="2:22" s="143" customFormat="1" ht="48.6" customHeight="1" x14ac:dyDescent="0.2">
      <c r="B54" s="149"/>
      <c r="C54" s="187"/>
      <c r="D54" s="247"/>
      <c r="E54" s="379"/>
      <c r="F54" s="379"/>
      <c r="G54" s="379"/>
      <c r="H54" s="379"/>
      <c r="I54" s="379"/>
      <c r="J54" s="379"/>
      <c r="K54" s="379"/>
      <c r="L54" s="379"/>
      <c r="M54" s="379"/>
      <c r="N54" s="379"/>
      <c r="O54" s="379"/>
      <c r="P54" s="379"/>
      <c r="Q54" s="380"/>
      <c r="R54" s="156"/>
      <c r="S54" s="146"/>
      <c r="T54" s="268"/>
      <c r="U54" s="146"/>
      <c r="V54" s="196"/>
    </row>
    <row r="55" spans="2:22" s="143" customFormat="1" ht="12.6" customHeight="1" thickBot="1" x14ac:dyDescent="0.25">
      <c r="B55" s="149"/>
      <c r="C55" s="211"/>
      <c r="D55" s="212"/>
      <c r="E55" s="213"/>
      <c r="F55" s="214"/>
      <c r="G55" s="212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8"/>
      <c r="S55" s="146"/>
      <c r="T55" s="268"/>
      <c r="U55" s="146"/>
      <c r="V55" s="196"/>
    </row>
    <row r="56" spans="2:22" s="143" customFormat="1" ht="8.1" customHeight="1" thickTop="1" x14ac:dyDescent="0.2">
      <c r="B56" s="149"/>
      <c r="C56" s="215"/>
      <c r="D56" s="216"/>
      <c r="E56" s="217"/>
      <c r="F56" s="218"/>
      <c r="G56" s="216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146"/>
      <c r="T56" s="268"/>
      <c r="U56" s="146"/>
      <c r="V56" s="196"/>
    </row>
    <row r="57" spans="2:22" s="143" customFormat="1" ht="12.75" x14ac:dyDescent="0.2">
      <c r="D57" s="146"/>
      <c r="S57" s="146"/>
      <c r="T57" s="268"/>
      <c r="U57" s="146"/>
      <c r="V57" s="196"/>
    </row>
    <row r="58" spans="2:22" s="143" customFormat="1" ht="12.75" x14ac:dyDescent="0.2">
      <c r="D58" s="146"/>
      <c r="S58" s="146"/>
      <c r="T58" s="268"/>
      <c r="U58" s="146"/>
      <c r="V58" s="196"/>
    </row>
  </sheetData>
  <mergeCells count="4">
    <mergeCell ref="E41:R41"/>
    <mergeCell ref="E4:I4"/>
    <mergeCell ref="F48:M49"/>
    <mergeCell ref="E51:Q5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0"/>
  </sheetPr>
  <dimension ref="B2:Q52"/>
  <sheetViews>
    <sheetView showGridLines="0" showRowColHeaders="0" view="pageBreakPreview" zoomScaleNormal="80" zoomScaleSheetLayoutView="10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C4" sqref="C4:J6"/>
    </sheetView>
  </sheetViews>
  <sheetFormatPr baseColWidth="10" defaultColWidth="10.5" defaultRowHeight="12" x14ac:dyDescent="0.25"/>
  <cols>
    <col min="1" max="1" width="2.625" style="77" customWidth="1"/>
    <col min="2" max="2" width="3.125" style="126" customWidth="1"/>
    <col min="3" max="3" width="9.25" style="77" bestFit="1" customWidth="1"/>
    <col min="4" max="4" width="8.875" style="77" customWidth="1"/>
    <col min="5" max="5" width="14.625" style="77" customWidth="1"/>
    <col min="6" max="6" width="8.5" style="77" customWidth="1"/>
    <col min="7" max="7" width="46" style="77" customWidth="1"/>
    <col min="8" max="8" width="9.875" style="77" customWidth="1"/>
    <col min="9" max="9" width="9.75" style="77" customWidth="1"/>
    <col min="10" max="10" width="30.875" style="77" customWidth="1"/>
    <col min="11" max="11" width="1.625" style="77" customWidth="1"/>
    <col min="12" max="12" width="2.75" style="77" customWidth="1"/>
    <col min="13" max="16384" width="10.5" style="77"/>
  </cols>
  <sheetData>
    <row r="2" spans="2:17" ht="12.75" thickBot="1" x14ac:dyDescent="0.3"/>
    <row r="3" spans="2:17" ht="23.25" customHeight="1" thickTop="1" x14ac:dyDescent="0.25">
      <c r="C3" s="202" t="s">
        <v>98</v>
      </c>
      <c r="D3" s="203" t="s">
        <v>97</v>
      </c>
      <c r="E3" s="89" t="s">
        <v>67</v>
      </c>
      <c r="F3" s="89" t="s">
        <v>51</v>
      </c>
      <c r="G3" s="90" t="s">
        <v>47</v>
      </c>
      <c r="H3" s="91" t="s">
        <v>46</v>
      </c>
      <c r="I3" s="92" t="s">
        <v>52</v>
      </c>
      <c r="J3" s="93" t="s">
        <v>53</v>
      </c>
    </row>
    <row r="4" spans="2:17" s="133" customFormat="1" x14ac:dyDescent="0.25">
      <c r="B4" s="127">
        <f t="shared" ref="B4:B45" si="0">+EOMONTH(C4,0)</f>
        <v>31</v>
      </c>
      <c r="C4" s="139"/>
      <c r="D4" s="200"/>
      <c r="E4" s="136"/>
      <c r="F4" s="136"/>
      <c r="G4" s="137"/>
      <c r="H4" s="138"/>
      <c r="I4" s="354"/>
      <c r="J4" s="357"/>
      <c r="K4" s="132"/>
    </row>
    <row r="5" spans="2:17" s="133" customFormat="1" x14ac:dyDescent="0.25">
      <c r="B5" s="127">
        <f t="shared" si="0"/>
        <v>31</v>
      </c>
      <c r="C5" s="139"/>
      <c r="D5" s="200"/>
      <c r="E5" s="136"/>
      <c r="F5" s="136"/>
      <c r="G5" s="137"/>
      <c r="H5" s="138"/>
      <c r="I5" s="354"/>
      <c r="J5" s="357"/>
      <c r="K5" s="132"/>
    </row>
    <row r="6" spans="2:17" s="133" customFormat="1" x14ac:dyDescent="0.25">
      <c r="B6" s="127">
        <f t="shared" si="0"/>
        <v>31</v>
      </c>
      <c r="C6" s="139"/>
      <c r="D6" s="200"/>
      <c r="E6" s="136"/>
      <c r="F6" s="136"/>
      <c r="G6" s="137"/>
      <c r="H6" s="138"/>
      <c r="I6" s="354"/>
      <c r="J6" s="357"/>
      <c r="K6" s="132"/>
    </row>
    <row r="7" spans="2:17" s="133" customFormat="1" x14ac:dyDescent="0.25">
      <c r="B7" s="127">
        <f t="shared" si="0"/>
        <v>31</v>
      </c>
      <c r="C7" s="139"/>
      <c r="D7" s="200"/>
      <c r="E7" s="136"/>
      <c r="F7" s="136"/>
      <c r="G7" s="137"/>
      <c r="H7" s="138"/>
      <c r="I7" s="354"/>
      <c r="J7" s="357"/>
      <c r="K7" s="132"/>
    </row>
    <row r="8" spans="2:17" s="133" customFormat="1" x14ac:dyDescent="0.25">
      <c r="B8" s="127">
        <f t="shared" si="0"/>
        <v>31</v>
      </c>
      <c r="C8" s="139"/>
      <c r="D8" s="200"/>
      <c r="E8" s="136"/>
      <c r="F8" s="136"/>
      <c r="G8" s="137"/>
      <c r="H8" s="138"/>
      <c r="I8" s="354"/>
      <c r="J8" s="357"/>
      <c r="K8" s="132"/>
    </row>
    <row r="9" spans="2:17" s="133" customFormat="1" x14ac:dyDescent="0.25">
      <c r="B9" s="127">
        <f t="shared" si="0"/>
        <v>31</v>
      </c>
      <c r="C9" s="139"/>
      <c r="D9" s="200"/>
      <c r="E9" s="136"/>
      <c r="F9" s="136"/>
      <c r="G9" s="137"/>
      <c r="H9" s="138"/>
      <c r="I9" s="354"/>
      <c r="J9" s="357"/>
      <c r="K9" s="132"/>
    </row>
    <row r="10" spans="2:17" s="133" customFormat="1" x14ac:dyDescent="0.25">
      <c r="B10" s="127">
        <f t="shared" si="0"/>
        <v>31</v>
      </c>
      <c r="C10" s="139"/>
      <c r="D10" s="200"/>
      <c r="E10" s="136"/>
      <c r="F10" s="136"/>
      <c r="G10" s="137"/>
      <c r="H10" s="138"/>
      <c r="I10" s="354"/>
      <c r="J10" s="357"/>
      <c r="K10" s="132"/>
    </row>
    <row r="11" spans="2:17" s="133" customFormat="1" x14ac:dyDescent="0.25">
      <c r="B11" s="127">
        <f t="shared" si="0"/>
        <v>31</v>
      </c>
      <c r="C11" s="139"/>
      <c r="D11" s="200"/>
      <c r="E11" s="136"/>
      <c r="F11" s="136"/>
      <c r="G11" s="137"/>
      <c r="H11" s="138"/>
      <c r="I11" s="354"/>
      <c r="J11" s="357"/>
      <c r="K11" s="132"/>
      <c r="Q11" s="133">
        <f ca="1">O2:Q11</f>
        <v>0</v>
      </c>
    </row>
    <row r="12" spans="2:17" s="133" customFormat="1" x14ac:dyDescent="0.25">
      <c r="B12" s="127">
        <f t="shared" si="0"/>
        <v>31</v>
      </c>
      <c r="C12" s="139"/>
      <c r="D12" s="200"/>
      <c r="E12" s="136"/>
      <c r="F12" s="136"/>
      <c r="G12" s="137"/>
      <c r="H12" s="138"/>
      <c r="I12" s="354"/>
      <c r="J12" s="357"/>
      <c r="K12" s="132"/>
    </row>
    <row r="13" spans="2:17" s="133" customFormat="1" x14ac:dyDescent="0.25">
      <c r="B13" s="127">
        <f t="shared" si="0"/>
        <v>31</v>
      </c>
      <c r="C13" s="139"/>
      <c r="D13" s="200"/>
      <c r="E13" s="136"/>
      <c r="F13" s="136"/>
      <c r="G13" s="137"/>
      <c r="H13" s="138"/>
      <c r="I13" s="354"/>
      <c r="J13" s="357"/>
      <c r="K13" s="132"/>
    </row>
    <row r="14" spans="2:17" s="133" customFormat="1" x14ac:dyDescent="0.25">
      <c r="B14" s="127">
        <f t="shared" si="0"/>
        <v>31</v>
      </c>
      <c r="C14" s="139"/>
      <c r="D14" s="200"/>
      <c r="E14" s="136"/>
      <c r="F14" s="136"/>
      <c r="G14" s="137"/>
      <c r="H14" s="138"/>
      <c r="I14" s="354"/>
      <c r="J14" s="357"/>
      <c r="K14" s="132"/>
    </row>
    <row r="15" spans="2:17" s="133" customFormat="1" x14ac:dyDescent="0.25">
      <c r="B15" s="127">
        <f t="shared" si="0"/>
        <v>31</v>
      </c>
      <c r="C15" s="139"/>
      <c r="D15" s="200"/>
      <c r="E15" s="136"/>
      <c r="F15" s="136"/>
      <c r="G15" s="137"/>
      <c r="H15" s="138"/>
      <c r="I15" s="354"/>
      <c r="J15" s="357"/>
      <c r="K15" s="132"/>
    </row>
    <row r="16" spans="2:17" s="133" customFormat="1" x14ac:dyDescent="0.25">
      <c r="B16" s="127">
        <f t="shared" si="0"/>
        <v>31</v>
      </c>
      <c r="C16" s="139"/>
      <c r="D16" s="200"/>
      <c r="E16" s="136"/>
      <c r="F16" s="136"/>
      <c r="G16" s="137"/>
      <c r="H16" s="138"/>
      <c r="I16" s="354"/>
      <c r="J16" s="357"/>
      <c r="K16" s="132"/>
    </row>
    <row r="17" spans="2:11" s="133" customFormat="1" x14ac:dyDescent="0.25">
      <c r="B17" s="127">
        <f t="shared" si="0"/>
        <v>31</v>
      </c>
      <c r="C17" s="139"/>
      <c r="D17" s="200"/>
      <c r="E17" s="136"/>
      <c r="F17" s="136"/>
      <c r="G17" s="137"/>
      <c r="H17" s="138"/>
      <c r="I17" s="354"/>
      <c r="J17" s="357"/>
      <c r="K17" s="132"/>
    </row>
    <row r="18" spans="2:11" s="133" customFormat="1" x14ac:dyDescent="0.25">
      <c r="B18" s="127">
        <f t="shared" si="0"/>
        <v>31</v>
      </c>
      <c r="C18" s="139"/>
      <c r="D18" s="200"/>
      <c r="E18" s="136"/>
      <c r="F18" s="136"/>
      <c r="G18" s="137"/>
      <c r="H18" s="138"/>
      <c r="I18" s="354"/>
      <c r="J18" s="357"/>
      <c r="K18" s="132"/>
    </row>
    <row r="19" spans="2:11" s="133" customFormat="1" x14ac:dyDescent="0.25">
      <c r="B19" s="127">
        <f t="shared" si="0"/>
        <v>31</v>
      </c>
      <c r="C19" s="139"/>
      <c r="D19" s="200"/>
      <c r="E19" s="136"/>
      <c r="F19" s="136"/>
      <c r="G19" s="137"/>
      <c r="H19" s="138"/>
      <c r="I19" s="354"/>
      <c r="J19" s="357"/>
      <c r="K19" s="132"/>
    </row>
    <row r="20" spans="2:11" s="133" customFormat="1" x14ac:dyDescent="0.25">
      <c r="B20" s="127">
        <f t="shared" si="0"/>
        <v>31</v>
      </c>
      <c r="C20" s="139"/>
      <c r="D20" s="200"/>
      <c r="E20" s="136"/>
      <c r="F20" s="136"/>
      <c r="G20" s="137"/>
      <c r="H20" s="138"/>
      <c r="I20" s="354"/>
      <c r="J20" s="357"/>
      <c r="K20" s="132"/>
    </row>
    <row r="21" spans="2:11" s="133" customFormat="1" x14ac:dyDescent="0.25">
      <c r="B21" s="127">
        <f t="shared" si="0"/>
        <v>31</v>
      </c>
      <c r="C21" s="139"/>
      <c r="D21" s="200"/>
      <c r="E21" s="136"/>
      <c r="F21" s="136"/>
      <c r="G21" s="137"/>
      <c r="H21" s="138"/>
      <c r="I21" s="354"/>
      <c r="J21" s="357"/>
      <c r="K21" s="132"/>
    </row>
    <row r="22" spans="2:11" s="133" customFormat="1" x14ac:dyDescent="0.25">
      <c r="B22" s="127">
        <f t="shared" si="0"/>
        <v>31</v>
      </c>
      <c r="C22" s="139"/>
      <c r="D22" s="200"/>
      <c r="E22" s="136"/>
      <c r="F22" s="136"/>
      <c r="G22" s="137"/>
      <c r="H22" s="138"/>
      <c r="I22" s="354"/>
      <c r="J22" s="357"/>
      <c r="K22" s="132"/>
    </row>
    <row r="23" spans="2:11" s="133" customFormat="1" x14ac:dyDescent="0.25">
      <c r="B23" s="127">
        <f t="shared" si="0"/>
        <v>31</v>
      </c>
      <c r="C23" s="139"/>
      <c r="D23" s="200"/>
      <c r="E23" s="136"/>
      <c r="F23" s="136"/>
      <c r="G23" s="137"/>
      <c r="H23" s="138"/>
      <c r="I23" s="354"/>
      <c r="J23" s="357"/>
      <c r="K23" s="132"/>
    </row>
    <row r="24" spans="2:11" s="133" customFormat="1" x14ac:dyDescent="0.25">
      <c r="B24" s="127">
        <f t="shared" si="0"/>
        <v>31</v>
      </c>
      <c r="C24" s="139"/>
      <c r="D24" s="200"/>
      <c r="E24" s="136"/>
      <c r="F24" s="136"/>
      <c r="G24" s="137"/>
      <c r="H24" s="138"/>
      <c r="I24" s="354"/>
      <c r="J24" s="357"/>
      <c r="K24" s="132"/>
    </row>
    <row r="25" spans="2:11" s="133" customFormat="1" x14ac:dyDescent="0.25">
      <c r="B25" s="127">
        <f t="shared" si="0"/>
        <v>31</v>
      </c>
      <c r="C25" s="139"/>
      <c r="D25" s="200"/>
      <c r="E25" s="136"/>
      <c r="F25" s="136"/>
      <c r="G25" s="137"/>
      <c r="H25" s="138"/>
      <c r="I25" s="354"/>
      <c r="J25" s="357"/>
      <c r="K25" s="132"/>
    </row>
    <row r="26" spans="2:11" s="133" customFormat="1" x14ac:dyDescent="0.25">
      <c r="B26" s="127">
        <f t="shared" si="0"/>
        <v>31</v>
      </c>
      <c r="C26" s="139"/>
      <c r="D26" s="200"/>
      <c r="E26" s="136"/>
      <c r="F26" s="136"/>
      <c r="G26" s="137"/>
      <c r="H26" s="138"/>
      <c r="I26" s="354"/>
      <c r="J26" s="357"/>
      <c r="K26" s="132"/>
    </row>
    <row r="27" spans="2:11" s="133" customFormat="1" x14ac:dyDescent="0.25">
      <c r="B27" s="127">
        <f t="shared" si="0"/>
        <v>31</v>
      </c>
      <c r="C27" s="139"/>
      <c r="D27" s="200"/>
      <c r="E27" s="136"/>
      <c r="F27" s="136"/>
      <c r="G27" s="137"/>
      <c r="H27" s="138"/>
      <c r="I27" s="354"/>
      <c r="J27" s="357"/>
      <c r="K27" s="132"/>
    </row>
    <row r="28" spans="2:11" s="133" customFormat="1" x14ac:dyDescent="0.25">
      <c r="B28" s="127">
        <f t="shared" si="0"/>
        <v>31</v>
      </c>
      <c r="C28" s="139"/>
      <c r="D28" s="200"/>
      <c r="E28" s="136"/>
      <c r="F28" s="136"/>
      <c r="G28" s="137"/>
      <c r="H28" s="138"/>
      <c r="I28" s="354"/>
      <c r="J28" s="357"/>
      <c r="K28" s="132"/>
    </row>
    <row r="29" spans="2:11" s="133" customFormat="1" x14ac:dyDescent="0.25">
      <c r="B29" s="127">
        <f t="shared" si="0"/>
        <v>31</v>
      </c>
      <c r="C29" s="139"/>
      <c r="D29" s="200"/>
      <c r="E29" s="136"/>
      <c r="F29" s="136"/>
      <c r="G29" s="137"/>
      <c r="H29" s="138"/>
      <c r="I29" s="354"/>
      <c r="J29" s="357"/>
      <c r="K29" s="132"/>
    </row>
    <row r="30" spans="2:11" s="78" customFormat="1" x14ac:dyDescent="0.25">
      <c r="B30" s="127">
        <f t="shared" si="0"/>
        <v>31</v>
      </c>
      <c r="C30" s="94"/>
      <c r="D30" s="201"/>
      <c r="E30" s="95"/>
      <c r="F30" s="95"/>
      <c r="G30" s="96"/>
      <c r="H30" s="97"/>
      <c r="I30" s="355"/>
      <c r="J30" s="357"/>
      <c r="K30" s="77"/>
    </row>
    <row r="31" spans="2:11" s="78" customFormat="1" x14ac:dyDescent="0.25">
      <c r="B31" s="127">
        <f t="shared" si="0"/>
        <v>31</v>
      </c>
      <c r="C31" s="94"/>
      <c r="D31" s="201"/>
      <c r="E31" s="95"/>
      <c r="F31" s="95"/>
      <c r="G31" s="96"/>
      <c r="H31" s="97"/>
      <c r="I31" s="355"/>
      <c r="J31" s="357"/>
      <c r="K31" s="77"/>
    </row>
    <row r="32" spans="2:11" s="78" customFormat="1" x14ac:dyDescent="0.25">
      <c r="B32" s="127">
        <f t="shared" si="0"/>
        <v>31</v>
      </c>
      <c r="C32" s="94"/>
      <c r="D32" s="201"/>
      <c r="E32" s="95"/>
      <c r="F32" s="95"/>
      <c r="G32" s="96"/>
      <c r="H32" s="97"/>
      <c r="I32" s="355"/>
      <c r="J32" s="357"/>
      <c r="K32" s="77"/>
    </row>
    <row r="33" spans="2:11" s="78" customFormat="1" x14ac:dyDescent="0.25">
      <c r="B33" s="127">
        <f t="shared" si="0"/>
        <v>31</v>
      </c>
      <c r="C33" s="94"/>
      <c r="D33" s="201"/>
      <c r="E33" s="95"/>
      <c r="F33" s="95"/>
      <c r="G33" s="96"/>
      <c r="H33" s="97"/>
      <c r="I33" s="355"/>
      <c r="J33" s="357"/>
      <c r="K33" s="77"/>
    </row>
    <row r="34" spans="2:11" s="78" customFormat="1" x14ac:dyDescent="0.25">
      <c r="B34" s="127">
        <f t="shared" si="0"/>
        <v>31</v>
      </c>
      <c r="C34" s="94"/>
      <c r="D34" s="201"/>
      <c r="E34" s="95"/>
      <c r="F34" s="95"/>
      <c r="G34" s="96"/>
      <c r="H34" s="97"/>
      <c r="I34" s="355"/>
      <c r="J34" s="357"/>
      <c r="K34" s="77"/>
    </row>
    <row r="35" spans="2:11" s="78" customFormat="1" x14ac:dyDescent="0.25">
      <c r="B35" s="127">
        <f t="shared" si="0"/>
        <v>31</v>
      </c>
      <c r="C35" s="94"/>
      <c r="D35" s="201"/>
      <c r="E35" s="95"/>
      <c r="F35" s="95"/>
      <c r="G35" s="96"/>
      <c r="H35" s="97"/>
      <c r="I35" s="355"/>
      <c r="J35" s="357"/>
      <c r="K35" s="77"/>
    </row>
    <row r="36" spans="2:11" s="78" customFormat="1" x14ac:dyDescent="0.25">
      <c r="B36" s="127">
        <f t="shared" si="0"/>
        <v>31</v>
      </c>
      <c r="C36" s="94"/>
      <c r="D36" s="201"/>
      <c r="E36" s="95"/>
      <c r="F36" s="95"/>
      <c r="G36" s="96"/>
      <c r="H36" s="97"/>
      <c r="I36" s="355"/>
      <c r="J36" s="357"/>
      <c r="K36" s="77"/>
    </row>
    <row r="37" spans="2:11" s="78" customFormat="1" x14ac:dyDescent="0.25">
      <c r="B37" s="127">
        <f t="shared" si="0"/>
        <v>31</v>
      </c>
      <c r="C37" s="94"/>
      <c r="D37" s="201"/>
      <c r="E37" s="95"/>
      <c r="F37" s="95"/>
      <c r="G37" s="96"/>
      <c r="H37" s="97"/>
      <c r="I37" s="355"/>
      <c r="J37" s="357"/>
      <c r="K37" s="77"/>
    </row>
    <row r="38" spans="2:11" s="78" customFormat="1" x14ac:dyDescent="0.25">
      <c r="B38" s="127">
        <f t="shared" si="0"/>
        <v>31</v>
      </c>
      <c r="C38" s="94"/>
      <c r="D38" s="201"/>
      <c r="E38" s="95"/>
      <c r="F38" s="95"/>
      <c r="G38" s="96"/>
      <c r="H38" s="97"/>
      <c r="I38" s="355"/>
      <c r="J38" s="357"/>
      <c r="K38" s="77"/>
    </row>
    <row r="39" spans="2:11" s="78" customFormat="1" x14ac:dyDescent="0.25">
      <c r="B39" s="127">
        <f t="shared" si="0"/>
        <v>31</v>
      </c>
      <c r="C39" s="94"/>
      <c r="D39" s="201"/>
      <c r="E39" s="95"/>
      <c r="F39" s="95"/>
      <c r="G39" s="96"/>
      <c r="H39" s="97"/>
      <c r="I39" s="355"/>
      <c r="J39" s="357"/>
      <c r="K39" s="77"/>
    </row>
    <row r="40" spans="2:11" s="78" customFormat="1" x14ac:dyDescent="0.25">
      <c r="B40" s="127">
        <f t="shared" si="0"/>
        <v>31</v>
      </c>
      <c r="C40" s="94"/>
      <c r="D40" s="201"/>
      <c r="E40" s="95"/>
      <c r="F40" s="95"/>
      <c r="G40" s="96"/>
      <c r="H40" s="97"/>
      <c r="I40" s="355"/>
      <c r="J40" s="357"/>
      <c r="K40" s="77"/>
    </row>
    <row r="41" spans="2:11" s="78" customFormat="1" x14ac:dyDescent="0.25">
      <c r="B41" s="127">
        <f t="shared" si="0"/>
        <v>31</v>
      </c>
      <c r="C41" s="94"/>
      <c r="D41" s="201"/>
      <c r="E41" s="95"/>
      <c r="F41" s="95"/>
      <c r="G41" s="96"/>
      <c r="H41" s="97"/>
      <c r="I41" s="355"/>
      <c r="J41" s="357"/>
      <c r="K41" s="77"/>
    </row>
    <row r="42" spans="2:11" s="78" customFormat="1" x14ac:dyDescent="0.25">
      <c r="B42" s="127">
        <f t="shared" si="0"/>
        <v>31</v>
      </c>
      <c r="C42" s="94"/>
      <c r="D42" s="201"/>
      <c r="E42" s="95"/>
      <c r="F42" s="95"/>
      <c r="G42" s="96"/>
      <c r="H42" s="97"/>
      <c r="I42" s="355"/>
      <c r="J42" s="357"/>
      <c r="K42" s="77"/>
    </row>
    <row r="43" spans="2:11" s="78" customFormat="1" x14ac:dyDescent="0.25">
      <c r="B43" s="127">
        <f t="shared" si="0"/>
        <v>31</v>
      </c>
      <c r="C43" s="94"/>
      <c r="D43" s="201"/>
      <c r="E43" s="95"/>
      <c r="F43" s="95"/>
      <c r="G43" s="96"/>
      <c r="H43" s="97"/>
      <c r="I43" s="355"/>
      <c r="J43" s="357"/>
      <c r="K43" s="77"/>
    </row>
    <row r="44" spans="2:11" s="78" customFormat="1" x14ac:dyDescent="0.25">
      <c r="B44" s="127">
        <f t="shared" si="0"/>
        <v>31</v>
      </c>
      <c r="C44" s="94"/>
      <c r="D44" s="201"/>
      <c r="E44" s="95"/>
      <c r="F44" s="95"/>
      <c r="G44" s="96"/>
      <c r="H44" s="97"/>
      <c r="I44" s="355"/>
      <c r="J44" s="357"/>
      <c r="K44" s="77"/>
    </row>
    <row r="45" spans="2:11" s="78" customFormat="1" x14ac:dyDescent="0.25">
      <c r="B45" s="127">
        <f t="shared" si="0"/>
        <v>31</v>
      </c>
      <c r="C45" s="94"/>
      <c r="D45" s="201"/>
      <c r="E45" s="95"/>
      <c r="F45" s="95"/>
      <c r="G45" s="96"/>
      <c r="H45" s="97"/>
      <c r="I45" s="355"/>
      <c r="J45" s="357"/>
      <c r="K45" s="77"/>
    </row>
    <row r="46" spans="2:11" s="78" customFormat="1" x14ac:dyDescent="0.25">
      <c r="B46" s="127">
        <f t="shared" ref="B46" si="1">+EOMONTH(C46,0)</f>
        <v>31</v>
      </c>
      <c r="C46" s="94"/>
      <c r="D46" s="201"/>
      <c r="E46" s="95"/>
      <c r="F46" s="95"/>
      <c r="G46" s="96"/>
      <c r="H46" s="97"/>
      <c r="I46" s="355"/>
      <c r="J46" s="357"/>
      <c r="K46" s="77"/>
    </row>
    <row r="47" spans="2:11" s="78" customFormat="1" x14ac:dyDescent="0.25">
      <c r="B47" s="127"/>
      <c r="C47" s="94"/>
      <c r="D47" s="201"/>
      <c r="E47" s="95"/>
      <c r="F47" s="95"/>
      <c r="G47" s="96"/>
      <c r="H47" s="97"/>
      <c r="I47" s="355"/>
      <c r="J47" s="357"/>
      <c r="K47" s="77"/>
    </row>
    <row r="48" spans="2:11" s="78" customFormat="1" x14ac:dyDescent="0.25">
      <c r="B48" s="127"/>
      <c r="C48" s="94"/>
      <c r="D48" s="201"/>
      <c r="E48" s="95"/>
      <c r="F48" s="95"/>
      <c r="G48" s="98"/>
      <c r="H48" s="97"/>
      <c r="I48" s="355"/>
      <c r="J48" s="357"/>
      <c r="K48" s="77"/>
    </row>
    <row r="49" spans="2:11" s="78" customFormat="1" ht="12.75" thickBot="1" x14ac:dyDescent="0.3">
      <c r="B49" s="127"/>
      <c r="C49" s="381" t="s">
        <v>15</v>
      </c>
      <c r="D49" s="382"/>
      <c r="E49" s="383"/>
      <c r="F49" s="383"/>
      <c r="G49" s="383"/>
      <c r="H49" s="99">
        <f>+SUM(H4:H48)</f>
        <v>0</v>
      </c>
      <c r="I49" s="356">
        <f>+SUM(I4:I48)</f>
        <v>0</v>
      </c>
      <c r="J49" s="358"/>
      <c r="K49" s="77"/>
    </row>
    <row r="50" spans="2:11" s="78" customFormat="1" ht="12.75" thickTop="1" x14ac:dyDescent="0.25">
      <c r="B50" s="127"/>
      <c r="C50" s="77"/>
      <c r="D50" s="77"/>
      <c r="E50" s="77"/>
      <c r="F50" s="77"/>
      <c r="G50" s="77"/>
      <c r="H50" s="79"/>
      <c r="I50" s="79"/>
      <c r="J50" s="79"/>
      <c r="K50" s="77"/>
    </row>
    <row r="51" spans="2:11" s="78" customFormat="1" x14ac:dyDescent="0.25">
      <c r="B51" s="127"/>
      <c r="C51" s="77"/>
      <c r="D51" s="77"/>
      <c r="E51" s="77"/>
      <c r="F51" s="77"/>
      <c r="G51" s="77"/>
      <c r="H51" s="80"/>
      <c r="I51" s="80"/>
      <c r="J51" s="80"/>
      <c r="K51" s="77"/>
    </row>
    <row r="52" spans="2:11" s="78" customFormat="1" x14ac:dyDescent="0.25">
      <c r="B52" s="127"/>
      <c r="C52" s="77"/>
      <c r="D52" s="77"/>
      <c r="E52" s="77"/>
      <c r="F52" s="77"/>
      <c r="G52" s="77"/>
      <c r="H52" s="80"/>
      <c r="I52" s="80"/>
      <c r="J52" s="80"/>
      <c r="K52" s="77"/>
    </row>
  </sheetData>
  <mergeCells count="1">
    <mergeCell ref="C49:G49"/>
  </mergeCells>
  <conditionalFormatting sqref="E31 E30:F30">
    <cfRule type="duplicateValues" dxfId="21" priority="156"/>
  </conditionalFormatting>
  <conditionalFormatting sqref="E32">
    <cfRule type="duplicateValues" dxfId="20" priority="147"/>
  </conditionalFormatting>
  <conditionalFormatting sqref="E33">
    <cfRule type="duplicateValues" dxfId="19" priority="149"/>
  </conditionalFormatting>
  <conditionalFormatting sqref="E35">
    <cfRule type="duplicateValues" dxfId="18" priority="153"/>
  </conditionalFormatting>
  <conditionalFormatting sqref="E36">
    <cfRule type="duplicateValues" dxfId="17" priority="152"/>
  </conditionalFormatting>
  <conditionalFormatting sqref="E37">
    <cfRule type="duplicateValues" dxfId="16" priority="151"/>
  </conditionalFormatting>
  <conditionalFormatting sqref="E38">
    <cfRule type="duplicateValues" dxfId="15" priority="150"/>
  </conditionalFormatting>
  <conditionalFormatting sqref="E40">
    <cfRule type="duplicateValues" dxfId="14" priority="144"/>
  </conditionalFormatting>
  <conditionalFormatting sqref="E41">
    <cfRule type="duplicateValues" dxfId="13" priority="142"/>
  </conditionalFormatting>
  <conditionalFormatting sqref="E42">
    <cfRule type="duplicateValues" dxfId="12" priority="146"/>
  </conditionalFormatting>
  <conditionalFormatting sqref="E43:E44">
    <cfRule type="duplicateValues" dxfId="11" priority="143"/>
  </conditionalFormatting>
  <conditionalFormatting sqref="E45">
    <cfRule type="duplicateValues" dxfId="10" priority="140"/>
  </conditionalFormatting>
  <conditionalFormatting sqref="E4:F8">
    <cfRule type="duplicateValues" dxfId="9" priority="187"/>
  </conditionalFormatting>
  <conditionalFormatting sqref="E34:F34">
    <cfRule type="duplicateValues" dxfId="8" priority="155"/>
  </conditionalFormatting>
  <conditionalFormatting sqref="E47:F47">
    <cfRule type="duplicateValues" dxfId="7" priority="168"/>
  </conditionalFormatting>
  <conditionalFormatting sqref="E48:F48">
    <cfRule type="duplicateValues" dxfId="6" priority="169"/>
  </conditionalFormatting>
  <conditionalFormatting sqref="F45">
    <cfRule type="duplicateValues" dxfId="5" priority="141"/>
  </conditionalFormatting>
  <conditionalFormatting sqref="E9:F29">
    <cfRule type="duplicateValues" dxfId="4" priority="1"/>
  </conditionalFormatting>
  <conditionalFormatting sqref="E39">
    <cfRule type="duplicateValues" dxfId="3" priority="219"/>
  </conditionalFormatting>
  <conditionalFormatting sqref="F31:F33 F35:F44">
    <cfRule type="duplicateValues" dxfId="2" priority="220"/>
  </conditionalFormatting>
  <conditionalFormatting sqref="F46">
    <cfRule type="duplicateValues" dxfId="1" priority="222"/>
  </conditionalFormatting>
  <conditionalFormatting sqref="E46">
    <cfRule type="duplicateValues" dxfId="0" priority="223"/>
  </conditionalFormatting>
  <pageMargins left="0.7" right="0.7" top="0.75" bottom="0.75" header="0.3" footer="0.3"/>
  <pageSetup paperSize="9" scale="28" orientation="portrait" horizontalDpi="300" r:id="rId1"/>
  <rowBreaks count="1" manualBreakCount="1">
    <brk id="5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'Rapport Bilan'!$C$18:$C$34</xm:f>
          </x14:formula1>
          <xm:sqref>J4:J47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15</vt:i4>
      </vt:variant>
    </vt:vector>
  </HeadingPairs>
  <TitlesOfParts>
    <vt:vector size="30" baseType="lpstr">
      <vt:lpstr>Salaires</vt:lpstr>
      <vt:lpstr>Enseignants</vt:lpstr>
      <vt:lpstr>GARDERIE</vt:lpstr>
      <vt:lpstr>PS</vt:lpstr>
      <vt:lpstr>MS</vt:lpstr>
      <vt:lpstr>GS</vt:lpstr>
      <vt:lpstr>CI</vt:lpstr>
      <vt:lpstr>CP</vt:lpstr>
      <vt:lpstr>CE1</vt:lpstr>
      <vt:lpstr>CE2</vt:lpstr>
      <vt:lpstr>CM1</vt:lpstr>
      <vt:lpstr>CM2</vt:lpstr>
      <vt:lpstr>ENCAIS</vt:lpstr>
      <vt:lpstr>Rapport Bilan</vt:lpstr>
      <vt:lpstr>DEPENSES</vt:lpstr>
      <vt:lpstr>'CE1'!Zone_d_impression</vt:lpstr>
      <vt:lpstr>'CE2'!Zone_d_impression</vt:lpstr>
      <vt:lpstr>CI!Zone_d_impression</vt:lpstr>
      <vt:lpstr>'CM1'!Zone_d_impression</vt:lpstr>
      <vt:lpstr>'CM2'!Zone_d_impression</vt:lpstr>
      <vt:lpstr>CP!Zone_d_impression</vt:lpstr>
      <vt:lpstr>DEPENSES!Zone_d_impression</vt:lpstr>
      <vt:lpstr>ENCAIS!Zone_d_impression</vt:lpstr>
      <vt:lpstr>Enseignants!Zone_d_impression</vt:lpstr>
      <vt:lpstr>GARDERIE!Zone_d_impression</vt:lpstr>
      <vt:lpstr>GS!Zone_d_impression</vt:lpstr>
      <vt:lpstr>MS!Zone_d_impression</vt:lpstr>
      <vt:lpstr>PS!Zone_d_impression</vt:lpstr>
      <vt:lpstr>'Rapport Bilan'!Zone_d_impression</vt:lpstr>
      <vt:lpstr>Salaires!Zone_d_impression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Lassana TRAORE</dc:creator>
  <cp:lastModifiedBy>Lastra</cp:lastModifiedBy>
  <cp:lastPrinted>2025-10-05T11:53:19Z</cp:lastPrinted>
  <dcterms:created xsi:type="dcterms:W3CDTF">2023-02-06T17:46:51Z</dcterms:created>
  <dcterms:modified xsi:type="dcterms:W3CDTF">2025-10-14T18:49:09Z</dcterms:modified>
</cp:coreProperties>
</file>